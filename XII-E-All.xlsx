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bookViews>
  <sheets>
    <sheet name="XII-OVERALL" sheetId="1" r:id="rId1"/>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3" i="1" l="1"/>
  <c r="AV4" i="1"/>
  <c r="BE4" i="1" s="1"/>
  <c r="AV5" i="1"/>
  <c r="AV6" i="1"/>
  <c r="AV7" i="1"/>
  <c r="AV8" i="1"/>
  <c r="BE8" i="1" s="1"/>
  <c r="AV9" i="1"/>
  <c r="AV10" i="1"/>
  <c r="AV11" i="1"/>
  <c r="AV12" i="1"/>
  <c r="BE12" i="1" s="1"/>
  <c r="AV13" i="1"/>
  <c r="BE13" i="1" s="1"/>
  <c r="AV14" i="1"/>
  <c r="BE14" i="1" s="1"/>
  <c r="AV15" i="1"/>
  <c r="AV16" i="1"/>
  <c r="BE16" i="1" s="1"/>
  <c r="AV17" i="1"/>
  <c r="AV18" i="1"/>
  <c r="AV19" i="1"/>
  <c r="AV20" i="1"/>
  <c r="BE20" i="1" s="1"/>
  <c r="AV21" i="1"/>
  <c r="AV22" i="1"/>
  <c r="AV23" i="1"/>
  <c r="AV24" i="1"/>
  <c r="AV25" i="1"/>
  <c r="BE25" i="1" s="1"/>
  <c r="AV26" i="1"/>
  <c r="BE26" i="1" s="1"/>
  <c r="AV27" i="1"/>
  <c r="AV28" i="1"/>
  <c r="BE28" i="1" s="1"/>
  <c r="AV29" i="1"/>
  <c r="AV30" i="1"/>
  <c r="AV31" i="1"/>
  <c r="AV2" i="1"/>
  <c r="AY3" i="1"/>
  <c r="AZ3" i="1"/>
  <c r="BA3" i="1"/>
  <c r="BB3" i="1"/>
  <c r="BC3" i="1"/>
  <c r="BD3" i="1"/>
  <c r="BE3" i="1"/>
  <c r="AY4" i="1"/>
  <c r="AZ4" i="1"/>
  <c r="BA4" i="1"/>
  <c r="BB4" i="1"/>
  <c r="BD4" i="1"/>
  <c r="AY5" i="1"/>
  <c r="AZ5" i="1"/>
  <c r="BA5" i="1"/>
  <c r="BB5" i="1"/>
  <c r="BC5" i="1"/>
  <c r="BD5" i="1"/>
  <c r="BE5" i="1"/>
  <c r="AY6" i="1"/>
  <c r="AZ6" i="1"/>
  <c r="BA6" i="1"/>
  <c r="BB6" i="1"/>
  <c r="BD6" i="1"/>
  <c r="BE6" i="1"/>
  <c r="AY7" i="1"/>
  <c r="AZ7" i="1"/>
  <c r="BA7" i="1"/>
  <c r="BB7" i="1"/>
  <c r="BD7" i="1"/>
  <c r="BE7" i="1"/>
  <c r="AY8" i="1"/>
  <c r="AZ8" i="1"/>
  <c r="BA8" i="1"/>
  <c r="BB8" i="1"/>
  <c r="BD8" i="1"/>
  <c r="AY9" i="1"/>
  <c r="AZ9" i="1"/>
  <c r="BA9" i="1"/>
  <c r="BB9" i="1"/>
  <c r="BD9" i="1"/>
  <c r="BE9" i="1"/>
  <c r="AY10" i="1"/>
  <c r="AZ10" i="1"/>
  <c r="BA10" i="1"/>
  <c r="BB10" i="1"/>
  <c r="BD10" i="1"/>
  <c r="BE10" i="1"/>
  <c r="AY11" i="1"/>
  <c r="AZ11" i="1"/>
  <c r="BA11" i="1"/>
  <c r="BB11" i="1"/>
  <c r="BD11" i="1"/>
  <c r="BE11" i="1"/>
  <c r="AY12" i="1"/>
  <c r="AZ12" i="1"/>
  <c r="BA12" i="1"/>
  <c r="BB12" i="1"/>
  <c r="BC12" i="1"/>
  <c r="BD12" i="1"/>
  <c r="AY13" i="1"/>
  <c r="AZ13" i="1"/>
  <c r="BA13" i="1"/>
  <c r="BB13" i="1"/>
  <c r="BD13" i="1"/>
  <c r="AY14" i="1"/>
  <c r="AZ14" i="1"/>
  <c r="BA14" i="1"/>
  <c r="BB14" i="1"/>
  <c r="BD14" i="1"/>
  <c r="AY15" i="1"/>
  <c r="AZ15" i="1"/>
  <c r="BA15" i="1"/>
  <c r="BB15" i="1"/>
  <c r="BD15" i="1"/>
  <c r="BE15" i="1"/>
  <c r="AY16" i="1"/>
  <c r="AZ16" i="1"/>
  <c r="BA16" i="1"/>
  <c r="BB16" i="1"/>
  <c r="BD16" i="1"/>
  <c r="AY17" i="1"/>
  <c r="AZ17" i="1"/>
  <c r="BA17" i="1"/>
  <c r="BB17" i="1"/>
  <c r="BD17" i="1"/>
  <c r="BE17" i="1"/>
  <c r="AY18" i="1"/>
  <c r="AZ18" i="1"/>
  <c r="BA18" i="1"/>
  <c r="BB18" i="1"/>
  <c r="BD18" i="1"/>
  <c r="BE18" i="1"/>
  <c r="AY19" i="1"/>
  <c r="AZ19" i="1"/>
  <c r="BA19" i="1"/>
  <c r="BB19" i="1"/>
  <c r="BC19" i="1"/>
  <c r="BD19" i="1"/>
  <c r="BE19" i="1"/>
  <c r="AY20" i="1"/>
  <c r="AZ20" i="1"/>
  <c r="BA20" i="1"/>
  <c r="BB20" i="1"/>
  <c r="BD20" i="1"/>
  <c r="AY21" i="1"/>
  <c r="AZ21" i="1"/>
  <c r="BA21" i="1"/>
  <c r="BB21" i="1"/>
  <c r="BC21" i="1"/>
  <c r="BD21" i="1"/>
  <c r="BE21" i="1"/>
  <c r="AY22" i="1"/>
  <c r="AZ22" i="1"/>
  <c r="BA22" i="1"/>
  <c r="BB22" i="1"/>
  <c r="BD22" i="1"/>
  <c r="BE22" i="1"/>
  <c r="AY23" i="1"/>
  <c r="AZ23" i="1"/>
  <c r="BA23" i="1"/>
  <c r="BB23" i="1"/>
  <c r="BD23" i="1"/>
  <c r="BE23" i="1"/>
  <c r="AY24" i="1"/>
  <c r="AZ24" i="1"/>
  <c r="BA24" i="1"/>
  <c r="BB24" i="1"/>
  <c r="BD24" i="1"/>
  <c r="BE24" i="1"/>
  <c r="AY25" i="1"/>
  <c r="AZ25" i="1"/>
  <c r="BA25" i="1"/>
  <c r="BB25" i="1"/>
  <c r="BD25" i="1"/>
  <c r="AY26" i="1"/>
  <c r="AZ26" i="1"/>
  <c r="BA26" i="1"/>
  <c r="BB26" i="1"/>
  <c r="BD26" i="1"/>
  <c r="AY27" i="1"/>
  <c r="AZ27" i="1"/>
  <c r="BA27" i="1"/>
  <c r="BB27" i="1"/>
  <c r="BD27" i="1"/>
  <c r="BE27" i="1"/>
  <c r="AY28" i="1"/>
  <c r="AZ28" i="1"/>
  <c r="BA28" i="1"/>
  <c r="BB28" i="1"/>
  <c r="BD28" i="1"/>
  <c r="AY29" i="1"/>
  <c r="AZ29" i="1"/>
  <c r="BA29" i="1"/>
  <c r="BB29" i="1"/>
  <c r="BD29" i="1"/>
  <c r="BE29" i="1"/>
  <c r="AY30" i="1"/>
  <c r="AZ30" i="1"/>
  <c r="BA30" i="1"/>
  <c r="BB30" i="1"/>
  <c r="BC30" i="1"/>
  <c r="BD30" i="1"/>
  <c r="BE30" i="1"/>
  <c r="AY31" i="1"/>
  <c r="AZ31" i="1"/>
  <c r="BA31" i="1"/>
  <c r="BB31" i="1"/>
  <c r="BC31" i="1"/>
  <c r="BD31" i="1"/>
  <c r="BE31" i="1"/>
  <c r="BD2" i="1"/>
  <c r="BB2" i="1"/>
  <c r="BE2" i="1"/>
  <c r="BA2" i="1"/>
  <c r="AZ2" i="1"/>
  <c r="AY2" i="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2" i="1"/>
  <c r="AT13" i="1"/>
  <c r="BC13" i="1" s="1"/>
  <c r="AT3" i="1"/>
  <c r="AT4" i="1"/>
  <c r="BC4" i="1" s="1"/>
  <c r="AT5" i="1"/>
  <c r="AT6" i="1"/>
  <c r="BC6" i="1" s="1"/>
  <c r="AT7" i="1"/>
  <c r="BC7" i="1" s="1"/>
  <c r="AT8" i="1"/>
  <c r="BC8" i="1" s="1"/>
  <c r="AT9" i="1"/>
  <c r="BC9" i="1" s="1"/>
  <c r="AT10" i="1"/>
  <c r="BC10" i="1" s="1"/>
  <c r="AT11" i="1"/>
  <c r="BC11" i="1" s="1"/>
  <c r="AT12" i="1"/>
  <c r="AT14" i="1"/>
  <c r="BC14" i="1" s="1"/>
  <c r="AT15" i="1"/>
  <c r="BC15" i="1" s="1"/>
  <c r="AT16" i="1"/>
  <c r="BC16" i="1" s="1"/>
  <c r="AT17" i="1"/>
  <c r="BC17" i="1" s="1"/>
  <c r="AT18" i="1"/>
  <c r="BC18" i="1" s="1"/>
  <c r="AT19" i="1"/>
  <c r="AT20" i="1"/>
  <c r="BC20" i="1" s="1"/>
  <c r="AT21" i="1"/>
  <c r="AT22" i="1"/>
  <c r="BC22" i="1" s="1"/>
  <c r="AT23" i="1"/>
  <c r="BC23" i="1" s="1"/>
  <c r="AT24" i="1"/>
  <c r="BC24" i="1" s="1"/>
  <c r="AT25" i="1"/>
  <c r="BC25" i="1" s="1"/>
  <c r="AT26" i="1"/>
  <c r="BC26" i="1" s="1"/>
  <c r="AT27" i="1"/>
  <c r="BC27" i="1" s="1"/>
  <c r="AT28" i="1"/>
  <c r="BC28" i="1" s="1"/>
  <c r="AT29" i="1"/>
  <c r="BC29" i="1" s="1"/>
  <c r="AT30" i="1"/>
  <c r="AT31" i="1"/>
  <c r="AT2" i="1"/>
  <c r="BC2" i="1" s="1"/>
</calcChain>
</file>

<file path=xl/sharedStrings.xml><?xml version="1.0" encoding="utf-8"?>
<sst xmlns="http://schemas.openxmlformats.org/spreadsheetml/2006/main" count="521" uniqueCount="113">
  <si>
    <t>Roll_No</t>
  </si>
  <si>
    <t>CLASSSEC</t>
  </si>
  <si>
    <t>Adno</t>
  </si>
  <si>
    <t>name</t>
  </si>
  <si>
    <t>Exam</t>
  </si>
  <si>
    <t>English</t>
  </si>
  <si>
    <t>Physical_Education</t>
  </si>
  <si>
    <t>X_XII_UT-1</t>
  </si>
  <si>
    <t>AB</t>
  </si>
  <si>
    <t>ab</t>
  </si>
  <si>
    <t xml:space="preserve">											</t>
  </si>
  <si>
    <t xml:space="preserve">												</t>
  </si>
  <si>
    <t xml:space="preserve">													</t>
  </si>
  <si>
    <t xml:space="preserve">														</t>
  </si>
  <si>
    <t xml:space="preserve">															Â  Result</t>
  </si>
  <si>
    <t xml:space="preserve">										</t>
  </si>
  <si>
    <t>X_XII_UT-2</t>
  </si>
  <si>
    <t>X_XII_UT-3</t>
  </si>
  <si>
    <t>Quarterly</t>
  </si>
  <si>
    <t>Quarterly- IA / Practicals</t>
  </si>
  <si>
    <t>OD</t>
  </si>
  <si>
    <t>Accountancy</t>
  </si>
  <si>
    <t>Business_Studies</t>
  </si>
  <si>
    <t>Economics</t>
  </si>
  <si>
    <t>Applied_Maths</t>
  </si>
  <si>
    <t>Legal_Studies</t>
  </si>
  <si>
    <t>A</t>
  </si>
  <si>
    <t>T1</t>
  </si>
  <si>
    <t>T2</t>
  </si>
  <si>
    <t>T3</t>
  </si>
  <si>
    <t>Att</t>
  </si>
  <si>
    <t>Scholastic</t>
  </si>
  <si>
    <t>Sports</t>
  </si>
  <si>
    <t>Yes</t>
  </si>
  <si>
    <t>Good</t>
  </si>
  <si>
    <t>Regular</t>
  </si>
  <si>
    <t xml:space="preserve">      </t>
  </si>
  <si>
    <t>110/117</t>
  </si>
  <si>
    <t>Marketing</t>
  </si>
  <si>
    <t>XII-E</t>
  </si>
  <si>
    <t>U NIRUPAMA</t>
  </si>
  <si>
    <t>PRAHLADHA NARASIMHAN PADMANABHAN</t>
  </si>
  <si>
    <t>S SAI SARVESH</t>
  </si>
  <si>
    <t>S SAMYUKTHAA SREE</t>
  </si>
  <si>
    <t>S SHRADHDHA</t>
  </si>
  <si>
    <t>A K SHWETHA</t>
  </si>
  <si>
    <t>SUSHIL KRISHNA V</t>
  </si>
  <si>
    <t>SWATHY RAKSHAA B</t>
  </si>
  <si>
    <t>VAIKUNTH K S</t>
  </si>
  <si>
    <t>VARSHINI N</t>
  </si>
  <si>
    <t>L VEDANTH</t>
  </si>
  <si>
    <t>VENKATA SURYA HAYATI PODUGU</t>
  </si>
  <si>
    <t>P R AISHWARIYA LAKSHMI</t>
  </si>
  <si>
    <t>ANANYAA M</t>
  </si>
  <si>
    <t>ARNAV MAHADEVAN</t>
  </si>
  <si>
    <t>JYOTSNA A</t>
  </si>
  <si>
    <t>G KAATHYAYANI</t>
  </si>
  <si>
    <t>SAI VENKAT V</t>
  </si>
  <si>
    <t>TANUJA SRI N S</t>
  </si>
  <si>
    <t>V TEJASRAM</t>
  </si>
  <si>
    <t>H M ASHWATHAMAA</t>
  </si>
  <si>
    <t>R BHAVYA JAIN</t>
  </si>
  <si>
    <t>T GOWRI SHANKAR</t>
  </si>
  <si>
    <t>HEMANTH P</t>
  </si>
  <si>
    <t>JEEVITHA I M</t>
  </si>
  <si>
    <t>REMYA K</t>
  </si>
  <si>
    <t>K SANJAY</t>
  </si>
  <si>
    <t>V SHRIHARI</t>
  </si>
  <si>
    <t>S SRI NANDHA KUMAR</t>
  </si>
  <si>
    <t>R S SRISHTI</t>
  </si>
  <si>
    <t>od</t>
  </si>
  <si>
    <t>1.Was a Volunteer for P.S. Amble an inter-school commerce fest for the event Legalia 2.Completed a certificate course in Management certificate course in Management and entrepreneurship conducted by P.S.Senior Secondary School along with Great Lake Institute. OUTSIDE ACHIEVEMENTS: Has participated in the event Basketball in Kalpakosha and Maithri</t>
  </si>
  <si>
    <t xml:space="preserve">1.Sapphire house captain for the year 2024-25 2.Winners in South Zone-I Football tournament U-19 and qualified for nationals 3.Vice captain of the school Throwball team 4.Runners up in Throwball intra-Murals 5.Winners in Football intra-Murals 6.Second runners up in Basketball intra-Murals 7.Participated in the Football Tournament conducted by Lalji Memorial Omega International School 8.Semi-finalist in Throwball tournament conducted by St.Britto College 9.Runners up in the Throwball tournament conducted by P.S Educational Society 10.Participated in 1500m  shotput and discus throw Conducted by P.S.Senior Secondry School     </t>
  </si>
  <si>
    <t xml:space="preserve">1. Completed the certificate course conducted by GLPSS and won 2nd prize for the best project 2.-Participated in IIT data science course 3. Participated in commerce Olympiad conducted by SOF 2024 4. Led the projection and technical team in auditorium </t>
  </si>
  <si>
    <t xml:space="preserve"> Was a Volunteer for the event block and tackle and Part of ppt team for scintillation (an inter-school cultural event). 4.AMBLE -Part of sponsorship team Part of certificate design team Part of the ppt team 5.LITRERY FEAST Head of operations vivadha medai Inter-School Cultural Kalpakosha - participated in dumb charades Kalanjali- participated in IPL auction Participated in annual day quiz [19:48  9/24/2024] Rajeshwari: Only 18 studen INTRAMURALS 1st prize in table tennis -Represented topaz team.    </t>
  </si>
  <si>
    <t>1.Scintillations - Event Head of IPL auction . 2.Inter-School Cultural Kalpakosha - Participated in IPL auction 3.Maithree - Won 1st place in box cricket 4.Participated in Lakeview MUN 5. Completed Management certificate course conducted by GLPSS . 6.Was part of Manali trek. 7.Participated in commerce Olympiad exam conducted by SOF -2024.</t>
  </si>
  <si>
    <t>1.Editor of TFE Board of the school for the year 2024-25 2â€¢IIT Madras - E-21 Entrepreneurship Summit - E cell - Qualified in the top 15 among 800 teams for the finals. Ranked Fifth Overall in India and received a special mention. Pitched in the idea to various investors at the IIT Madras campus who showed their interest towards investing in it. 3â€¢Participated in IIT Madras -E summit - E- thletics -Problem solving and Entrepreneurship competition - 4</t>
  </si>
  <si>
    <t xml:space="preserve">â€¢IInd prize in Hindi - on the spot writing competition 5.â€¢Participated in Hindi elocution competition 6.Organising: â€¢Fest head - Rhetoric '24 (Overall ) â€¢Fest head - Vivadha Medai'24 ( Overall) PS Amble- 2024 â€¢Event head - PS Hustle 2.0-4 â€¢Scintillations-2024 Event head - Stress Interview - 7.Completed Management certificate course conducted by GLPSS. Runner up -in Basketball Intramurals represented Emerald house in Annual Sports meet 2024-25     </t>
  </si>
  <si>
    <t>1.P.S AMBLE - event Head of Profit-o-logy 2.â–ªï¸ŽCompleted Management certificate course conducted by GLPSS e and got 1st place for our project " FASTBULANCE" 3. Annual day Achievements a) Subject topper in Economics (2023-24) b) Subject topper in Business Studies (2023-24) c) Willis Faber scholarship (2023-24) 4â–ªï¸ŽParticipated in annual day quiz competition 5â–ªï¸ŽScintillations - volunteer of dumb charades 6â–ªï¸Ž Was a part of MANALI TREK '24</t>
  </si>
  <si>
    <t xml:space="preserve">1) Team captain of school's throwball girls team 2) Secured 1st place in shotput in super seniors girl category { sports day } 3) Runner up in throwball match ( girls) conducted by e P.S. Educational Society on the eve of GOLDEN JUBILEE celebration. 4) Semifinalist in the throwball match conducted by St Britto College 5) Secured 1st place in throwball intramurals ( girls)      </t>
  </si>
  <si>
    <t>1. Student Council Member for the year 2024-25 (TFE team) 2.Event head for Economics Debate at P .S.AMBLE'24 3.Compered for Validation of P.S.AMBLE'24 4.Event head for Dumb Charades at Scintillations'24 5.Completed Management certificate course conducted by GLPSS 6.Outside Achievements: a. Participated in MOPMUN'24 b. Participated in VITCMUN'24 c. Finalist for Boardroom at E-Summit IITM 7. Participated in Finnathlon - Stock Trading competition 8. Promoted to finals for PitchCafe'24 organized by IIIT Delhi 9. Participated in quiz at Kalpakosha'24 10. Part of EconUnited</t>
  </si>
  <si>
    <t xml:space="preserve"> an international economics club and completed 10 hours of volunteering 11. Participated in commerce Olympiad conducted by SOF -24.      </t>
  </si>
  <si>
    <t>Scintillations- 1. Volunteer for IPL Auction. 2.PS amble - Volunteer for Economics Debate. 3.2nd place in Annual Endowment Quiz2023-24 4.Completed a certificate course in management and entrepreneurship conducted by P.S.Senior Secondary School along with Great Lakes Institute.</t>
  </si>
  <si>
    <t>P S AMBLE - Volunteer of CEO in the house *Scintillations- Volunteer of Improve acting *Completed a certificate course in management and entrepreneurship conducted by P.S.Senior Secondary School along with Great Lake Institute of Management and Entrepreneurship. *Part of Manali Trek'24</t>
  </si>
  <si>
    <t>Culturals: 1.Kalpakosha - Participated in IPL Auction 2.Maithri - Won 1st place in Box Cricket 3. MUN: Participated in Lakeview MUN 4.Completed certificate a course on Management and Entrepreneurship conducted by P.S.Senior Secondary School along with Great Lake Institute of Management and Entrepreneurship e and got 1st place for our project "Fastbulance"</t>
  </si>
  <si>
    <t>1 â€¢ P.S AMBLE- Event Head of the event Stock Showdown 2. Scintillations- Host performance - band music 3.â€¢Culturals: a) Participated in Kalanajali 24 Event- band music b) Participated in Maithri 24 Event- band music 4.â€¢Part of the trek club- Manali 2024 5.â€¢Wrote IIT Data science course qualifier exam Cleared the examination and enrolled into the data science course. 6.Participated in Commerce Olympiad secured School 10th Rank with medal conducted by Science Olympiad Foundation. 7. Completed certificate course on management and entrepreneurship conducted by P.S.Senior Secondary School and Great Lake Institute of management and entrepreneurship</t>
  </si>
  <si>
    <t>1.PS AMBLE- event head in Biz quiz 2.Scintillations - Head of Registration Team 3.Completed Certificate course in management and entrepreneurship conducted by P.S.Senior Secondary School along with Great Lake Institute and won 3rd place for the project. 4.Participated in Commerce Olympiad- and won School Rank 9th with medal conducted by science Olympiad foundation.</t>
  </si>
  <si>
    <t>1. Student Council Member for the year 2024-25 2.Event head for Green Screen at Scintillations'24 3.Core Member of Organising Committee for Literary Fest'24 &amp; Rhetoric'24 - Head of External Affairs 4.Volunteer for PS AMBLE'24 at Stock Showdown 5.Completed certificate course on management and entrepreneurship conducted by P.S.Senior Secondary School along with Great Lake Institute. 6.2nd Place Winner at English Elocution Competition of S. Anantharamakrishnan Memorial Inter Schools Elocution Contest 2024 7. Part of Manali Trek'24 8.Outside Achievements: a. MUNs: USG Delegate Affairs and USG EB Affairs at EDIFICE MUN'24 b. Vanguard MUN'24 - UNHRC - Special Mention 1 c. Participated in: VITCMUN'24 GMUN'24 AXISMUN'24 MOPMUN'24 9. Finalists of Block and Tackle at Kalpakosha 24 10.Participated in Finathlon Stock Trading Competition. 11.Promoted to finals for Pitchcafe '24 organised by IIT Delhi.</t>
  </si>
  <si>
    <t xml:space="preserve">Compere for Annual Sports Day'24 and Primary Sports Day'24      </t>
  </si>
  <si>
    <t>1.P.S. AMBLE - Volunteer in food Stall 2.Scintillations - volunteer in green screen 3.Completed a certificate course in Management and entrepreneurship conducted by P.S.Senior Secondary School and Great Lakes Institute. 4.Part of Manali trek '24</t>
  </si>
  <si>
    <t xml:space="preserve">1â€¢ International open karate championship 2024 1st Prize in kata(performance) - e 2. 2nd Prize in kumite(sparing) 3â€¢ 3rd Prize in 2nd state level silambam championship      </t>
  </si>
  <si>
    <t>1.Student council member for the year 2024-25 2.Head of Finance for PS Amble'24 &amp; 3.Scintillations'24 Event Head of Biz Quiz - 4.Head of Operations for Vivaadha Medai'24 and Literary Fest 5.Part of Classical dance team in Annual day program'24 6.Participated in Solo Classical Dance event of Maithri'24 (Chettinad Vidyashram culturals) 7. Completed a certificate course in Management and Entrepreneurship conducted by P.S.Senior Secondary School along with Great Lake Institute. and Our team won 3rd place in the Ideathon contest for product SLOPPY as part of the Entrepreneurship course</t>
  </si>
  <si>
    <t>School roles- 1.Cultural Secretary of PS Senior for the year 2024-25 2.Head Organiser for Scintillations 2024 and PS Amble 2024 3. Head of Logistics for Rhetoric 2024 4. Director General of Clarion PSMUN 2024 5.Overall Achievements- a.IIT Madras E-21 Entrepreneurship Summit - qualified for the final round in the top 15 among 800 teams. Placed as 5th in all over India and received a special mention at the IITM campus for the same. Presented the idea to several investors at the IIT campus who showed their interest towards investing in the idea. b.IIT Madras E-thletics - Problem solving and Entrepreneurship competition conducted during the E-Summit. c. c. Participated and placed 3rd among several teams. The Only school team to place in the podium. 6. MUN Achievements- a. Reporter- GMUNSOCâ€™24 - IPC - High Commendation b.MITiMUNâ€™24(College) - IPC - High Commendation c.LAKEVIEWMUNâ€™24 - IPC - Best Reporter d.VNMUNâ€™24 - IPC - Best Reporter 7.Chair- a.VMUNSOCâ€™24 - IPC - Chairperson b.CHINMUNâ€™24 - IPC - Chairperson c. Clarion PSMUNâ€™24 - IPC - Chairperson 8.Annual Day Achievements- a. Subject Topper in Legal Studies for the year 2023-24 b. Most Promising Student of Class 11 for 2023-24 c. Willis Faber Scholarship 2023-24 9. KALPAKOSHA 2024 Green Screen - 1st place Adzap - 1st place Winners Event - 5th place Expectation Vs Reality - Finalist 10. KALANJALI 2024 Participate in Dumb Charades - 11. REFLECTIONS 2024 Green Screen - Finalist Shark Tank - 1st place Expectation Vs Reality - 1st place 12.MAITHRI 2024- Channel Surfing - 2nd place Won an Indian Terrain Voucher for Rs.1000 13.Completed a Certificate course in Management and entrepreneurship conducted by P.S.Senior Secondary School along with Great Lake Institute 14.Commerce Olympiad - Class Topper Rank with medal conducted by Science Olympiad Foundation</t>
  </si>
  <si>
    <t>1.P.S AMBLE - volunteer of profit -o-logy 2. Scintillations- volunteer of green screen 3. GLPSS- Completed a course in glpss 4. Part of MANALI TREK '24</t>
  </si>
  <si>
    <t>1. P.S AMBLE - Part of registrations and design 2.Scintillations - Part of registrations 3.Rhetoric - Head of operations for vivadha medai Culturals: 1.Participated in Kalpakosha 24 2.Event- group dance GLPSS- Completed a course in glpss</t>
  </si>
  <si>
    <t>1. PS AMBLE - Legalia event head 2. Scintillations volunteer for lawyers up event 3.completed GLPSS course 4.Part of Manali trek</t>
  </si>
  <si>
    <t>1. P.S. AMBLE - volunteer in legalia 2. Scintillations- volunteer in green screen 3. GLPSS - completed a course in glpss</t>
  </si>
  <si>
    <t>1. Vice Captain of Topaz House and won the shield for march past in the school's sports day 2. Completed a course from Great Lakes Institute and won 2nd place with a medal and voucher 3. Was part of the Manali Trek. 4. Won the endowments tournament conducted by the school in table tennis in 2023. 5. Won the school intramurals for table tennis representing topaz house. 6. Was ranked 35th in the school in the SOP International Commerce Olympiad.</t>
  </si>
  <si>
    <t xml:space="preserve">1. State Number 1 in Mini Cadet boys during the year 2017 and won 5 state titles 2. State Number 3 in Cadet Boys during the years 2018 and 2019 and won many cups and medals throughout the year. 3. Represented Tamil Nadu in the National Championships in his category and won Gold in 2019 and Silver in 2018 in team events. 4. Was ranked India number 8 in the year 2019. 5. Represented Tamil Nadu in the Sub junior National Championship in Indore in 2021 and ended the year as state rank 3. 6. Won Gold in CBSE clusters state level in u17 boys team event in 2022 and ended the year as State Number 6 in U15 category. 7. Won Silver in U17 category at CBSE clusters state level and was state Number 6 in U17 boys singles in 2023 and was ranked 15 across India. 8. In 2024  ranked 6 in the state level in u17 boys category.     </t>
  </si>
  <si>
    <t>1. PS AMBLE - Decor volunteer 2. Scintillations - hospitality volunteer 3. Glpss - Our team won 3rd place in the Ideathon contest for product SLOPPY as part of the Entrepreneurship course. Culturals - 1. Kalpa 24 - Participated in fasion parade 2. Maitri 24 - 1st place in box cricket. Cleared 1st phase in entrepreneurship expo conducted by IIT Bombay</t>
  </si>
  <si>
    <t xml:space="preserve">1. Participated in junior badminton competition conducted by fitminton association . 2. 3rd place in badminton intramurals.      </t>
  </si>
  <si>
    <t>P.S AMBLE - Head of the event (CEO IN THE HOUSE) Scintillations - head of the event (dumb charades) GLPSS- completed a course in glpss Culturals KALPAKOSHA 2024 ADZAP- 1st place EXPECTATION VS REALITY- finalist FASHION PARADE- qualifier Was part of manali trek</t>
  </si>
  <si>
    <t xml:space="preserve">Runners up in the mcc u19 cricket tournament INTRAMURALS BADMINTON -2nd place BASKETBALL-4th place Sports day prize 1st place in relay 4Ã—100ms Short put qualifier round      </t>
  </si>
  <si>
    <t>1. P.S AMBLE-member of media part of the ppt team 2. SCINTILLARIONS-photographer and media team head 3. GLPSS-Completed a course in glpss 4. Culturals: Participated in meme creation in KALPAKOSHA'24 5. MUN'S Tottaly participated in 4 muns Won 2 special mentions in photography in Edmun24 &amp; Vanguard mun24 Participated in Edmun24 Vanguard mun24 Lakeview mun 24 Axismun24 6. Participated in manali trek '24 7. wrote iit data science course qualifier exam</t>
  </si>
  <si>
    <t xml:space="preserve">1. Won first prize in football in school intramurals 2. Won runners up in football in omega international school 3. Won second prize in relay for running race in school sports day'24 4. Photographer for sports day'24      </t>
  </si>
  <si>
    <t>1. Scintillation- volunteer of dance. 2. Ps ambel- volunteer of the food team. 3. GLPSS- complete the course and got the first prize for our project 'FASTBULANCE'. 4. Was a part of the manali trek.</t>
  </si>
  <si>
    <t>PS AMBLE - Member of prize committee and design. * Scintillations - volunteer in Dumb charades .. * completed glpss program * participated in annual day quiz competition .. * Culturals - KAlPAKOSHA '24 Event : fashion parade .</t>
  </si>
  <si>
    <t xml:space="preserve">a) St britto college conducted throwball match for girls - 3rd runner up b) Ps golden jubilee conducted throwball match for girls of class 11 and 12 - Runners up C) Throwball intramurals ( girls ) conducted by PS Senior Secondary School..      </t>
  </si>
  <si>
    <t>*Glpss program- completed the 1year program *Scintillations- Event head for box cricket Maithree 2024- box cricket winners</t>
  </si>
  <si>
    <t xml:space="preserve">*Cricket 1. Got selected for U12 city camp held at chepauk in the year 2018 2. Representerd city 2 in U 16 Tnca round robin tournament in 2022 3.represented team 3 in u16 in Tnca combined round robin tournament in 2022 4.represented city 6 in U19 tnca round robin tournament in 2023 5.Represented for TNCA junior colts state team in 2023 touring hyderabad 6. Represented city 5 in Tnca u19 round robin tournament in 2024 7. Represented tamil nadu 4 in Tnca combined round robin tournament in 2024 8. Got the promising cricketer award in MCC u 19 cricket tournament 9. Captain of the PS Senior secondary school u19 cricket team captain 10. Registered a hat trick in serenity tournament in 2023      </t>
  </si>
  <si>
    <t>Ps amble- economics debate volunteer . Scintilations- hospitality volunteer Completed glass course Kalanjali 24 - participated in ipl auction Attended data science foundation exam of iitm Muns : Participated in Vanguard mun Participated in Lakeview mun Participated in collegiate mun and won honorable mention 1. UDG manager of equimun</t>
  </si>
  <si>
    <t>* P.S. Amble - Event head Ceo in the house. *Scintillations - Volunteer of Block and Tackle *Participated in annual day quiz competition *GLPSS program - completed Glpss Annual day achievements - Subject Topper in marketing for the year 2023-24 Willis Faber Scholarship 2023-24</t>
  </si>
  <si>
    <t>TERM1-100</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</si>
</sst>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43"/>
  <sheetViews>
    <sheetView tabSelected="1" topLeftCell="J1" workbookViewId="0">
      <selection activeCell="AE1" sqref="AE1"/>
    </sheetView>
  </sheetViews>
  <sheetFormatPr defaultColWidth="11.7109375" defaultRowHeight="15" x14ac:dyDescent="0.25"/>
  <cols>
    <col min="12" max="45" width="8.85546875"/>
    <col min="47" max="47" width="8.85546875"/>
    <col min="58" max="59" width="8.85546875"/>
  </cols>
  <sheetData>
    <row r="1" spans="1:64" x14ac:dyDescent="0.25">
      <c r="A1" t="s">
        <v>0</v>
      </c>
      <c r="B1" t="s">
        <v>1</v>
      </c>
      <c r="C1" t="s">
        <v>2</v>
      </c>
      <c r="D1" t="s">
        <v>3</v>
      </c>
      <c r="E1" t="s">
        <v>7</v>
      </c>
      <c r="F1" t="s">
        <v>5</v>
      </c>
      <c r="G1" t="s">
        <v>21</v>
      </c>
      <c r="H1" t="s">
        <v>23</v>
      </c>
      <c r="I1" t="s">
        <v>38</v>
      </c>
      <c r="J1" t="s">
        <v>22</v>
      </c>
      <c r="K1" t="s">
        <v>24</v>
      </c>
      <c r="L1" t="s">
        <v>25</v>
      </c>
      <c r="M1" t="s">
        <v>6</v>
      </c>
      <c r="N1" t="s">
        <v>16</v>
      </c>
      <c r="O1" t="s">
        <v>5</v>
      </c>
      <c r="P1" t="s">
        <v>21</v>
      </c>
      <c r="Q1" t="s">
        <v>23</v>
      </c>
      <c r="R1" t="s">
        <v>38</v>
      </c>
      <c r="S1" t="s">
        <v>22</v>
      </c>
      <c r="T1" t="s">
        <v>24</v>
      </c>
      <c r="U1" t="s">
        <v>25</v>
      </c>
      <c r="V1" t="s">
        <v>6</v>
      </c>
      <c r="W1" t="s">
        <v>17</v>
      </c>
      <c r="X1" t="s">
        <v>5</v>
      </c>
      <c r="Y1" t="s">
        <v>21</v>
      </c>
      <c r="Z1" t="s">
        <v>23</v>
      </c>
      <c r="AA1" t="s">
        <v>38</v>
      </c>
      <c r="AB1" t="s">
        <v>22</v>
      </c>
      <c r="AC1" t="s">
        <v>24</v>
      </c>
      <c r="AD1" t="s">
        <v>25</v>
      </c>
      <c r="AE1" t="s">
        <v>18</v>
      </c>
      <c r="AF1" t="s">
        <v>5</v>
      </c>
      <c r="AG1" t="s">
        <v>21</v>
      </c>
      <c r="AH1" t="s">
        <v>23</v>
      </c>
      <c r="AI1" t="s">
        <v>38</v>
      </c>
      <c r="AJ1" t="s">
        <v>22</v>
      </c>
      <c r="AK1" t="s">
        <v>24</v>
      </c>
      <c r="AL1" t="s">
        <v>25</v>
      </c>
      <c r="AM1" t="s">
        <v>6</v>
      </c>
      <c r="AN1" t="s">
        <v>19</v>
      </c>
      <c r="AO1" t="s">
        <v>5</v>
      </c>
      <c r="AP1" t="s">
        <v>21</v>
      </c>
      <c r="AQ1" t="s">
        <v>23</v>
      </c>
      <c r="AR1" t="s">
        <v>38</v>
      </c>
      <c r="AS1" t="s">
        <v>22</v>
      </c>
      <c r="AT1" s="1" t="s">
        <v>24</v>
      </c>
      <c r="AU1" t="s">
        <v>25</v>
      </c>
      <c r="AV1" s="1" t="s">
        <v>6</v>
      </c>
      <c r="AW1" s="1" t="s">
        <v>112</v>
      </c>
      <c r="AX1" s="1" t="s">
        <v>5</v>
      </c>
      <c r="AY1" s="1" t="s">
        <v>21</v>
      </c>
      <c r="AZ1" s="1" t="s">
        <v>23</v>
      </c>
      <c r="BA1" s="1" t="s">
        <v>38</v>
      </c>
      <c r="BB1" s="1" t="s">
        <v>22</v>
      </c>
      <c r="BC1" s="1" t="s">
        <v>24</v>
      </c>
      <c r="BD1" s="1" t="s">
        <v>25</v>
      </c>
      <c r="BE1" s="1" t="s">
        <v>6</v>
      </c>
      <c r="BF1" t="s">
        <v>4</v>
      </c>
      <c r="BG1" t="s">
        <v>27</v>
      </c>
      <c r="BH1" t="s">
        <v>28</v>
      </c>
      <c r="BI1" t="s">
        <v>29</v>
      </c>
      <c r="BJ1" t="s">
        <v>30</v>
      </c>
      <c r="BK1" t="s">
        <v>31</v>
      </c>
      <c r="BL1" t="s">
        <v>32</v>
      </c>
    </row>
    <row r="2" spans="1:64" x14ac:dyDescent="0.25">
      <c r="A2">
        <v>1</v>
      </c>
      <c r="B2" t="s">
        <v>39</v>
      </c>
      <c r="C2">
        <v>14351</v>
      </c>
      <c r="D2" t="s">
        <v>40</v>
      </c>
      <c r="E2" t="s">
        <v>7</v>
      </c>
      <c r="F2">
        <v>37</v>
      </c>
      <c r="G2">
        <v>28</v>
      </c>
      <c r="H2">
        <v>20</v>
      </c>
      <c r="I2">
        <v>0</v>
      </c>
      <c r="J2">
        <v>15</v>
      </c>
      <c r="K2">
        <v>28</v>
      </c>
      <c r="L2">
        <v>0</v>
      </c>
      <c r="M2">
        <v>0</v>
      </c>
      <c r="N2" t="s">
        <v>16</v>
      </c>
      <c r="O2">
        <v>24.5</v>
      </c>
      <c r="P2">
        <v>24</v>
      </c>
      <c r="Q2">
        <v>20</v>
      </c>
      <c r="R2">
        <v>0</v>
      </c>
      <c r="S2">
        <v>23</v>
      </c>
      <c r="T2">
        <v>20.5</v>
      </c>
      <c r="U2">
        <v>0</v>
      </c>
      <c r="V2">
        <v>0</v>
      </c>
      <c r="W2" t="s">
        <v>17</v>
      </c>
      <c r="X2">
        <v>25</v>
      </c>
      <c r="Y2">
        <v>24</v>
      </c>
      <c r="Z2">
        <v>21</v>
      </c>
      <c r="AA2">
        <v>0</v>
      </c>
      <c r="AB2">
        <v>24</v>
      </c>
      <c r="AC2">
        <v>20</v>
      </c>
      <c r="AD2">
        <v>0</v>
      </c>
      <c r="AE2" t="s">
        <v>18</v>
      </c>
      <c r="AF2">
        <v>40.5</v>
      </c>
      <c r="AG2">
        <v>39</v>
      </c>
      <c r="AH2">
        <v>46</v>
      </c>
      <c r="AI2">
        <v>0</v>
      </c>
      <c r="AJ2">
        <v>45</v>
      </c>
      <c r="AK2">
        <v>55</v>
      </c>
      <c r="AL2">
        <v>0</v>
      </c>
      <c r="AM2">
        <v>0</v>
      </c>
      <c r="AN2" t="s">
        <v>19</v>
      </c>
      <c r="AO2">
        <v>16</v>
      </c>
      <c r="AP2">
        <v>16</v>
      </c>
      <c r="AQ2">
        <v>20</v>
      </c>
      <c r="AR2">
        <v>0</v>
      </c>
      <c r="AS2">
        <v>19</v>
      </c>
      <c r="AT2" s="1">
        <f>CEILING((N(K2)+N(T2)+N(AC2))/120*20,0.5)</f>
        <v>11.5</v>
      </c>
      <c r="AU2">
        <v>0</v>
      </c>
      <c r="AV2" s="1">
        <f>CEILING((N(M2)+N(V2))/70*30,0.5)</f>
        <v>0</v>
      </c>
      <c r="AW2" s="1" t="s">
        <v>112</v>
      </c>
      <c r="AX2" s="1">
        <f>ROUND(N(AF2)+N(AO2),0)</f>
        <v>57</v>
      </c>
      <c r="AY2" s="1">
        <f t="shared" ref="AY2:BE2" si="0">ROUND(N(AG2)+N(AP2),0)</f>
        <v>55</v>
      </c>
      <c r="AZ2" s="1">
        <f t="shared" si="0"/>
        <v>66</v>
      </c>
      <c r="BA2" s="1">
        <f t="shared" si="0"/>
        <v>0</v>
      </c>
      <c r="BB2" s="1">
        <f>ROUND(N(AJ2)+N(AS2),0)</f>
        <v>64</v>
      </c>
      <c r="BC2" s="1">
        <f>ROUND(N(AK2)+N(AT2),0)</f>
        <v>67</v>
      </c>
      <c r="BD2" s="1">
        <f>ROUND(N(AL2)+N(AU2),0)</f>
        <v>0</v>
      </c>
      <c r="BE2" s="1">
        <f t="shared" si="0"/>
        <v>0</v>
      </c>
      <c r="BF2" t="s">
        <v>18</v>
      </c>
      <c r="BG2" t="s">
        <v>33</v>
      </c>
      <c r="BH2" t="s">
        <v>34</v>
      </c>
      <c r="BI2" t="s">
        <v>35</v>
      </c>
      <c r="BJ2" t="s">
        <v>37</v>
      </c>
      <c r="BK2" t="s">
        <v>71</v>
      </c>
      <c r="BL2" t="s">
        <v>72</v>
      </c>
    </row>
    <row r="3" spans="1:64" x14ac:dyDescent="0.25">
      <c r="A3">
        <v>2</v>
      </c>
      <c r="B3" t="s">
        <v>39</v>
      </c>
      <c r="C3">
        <v>14369</v>
      </c>
      <c r="D3" t="s">
        <v>41</v>
      </c>
      <c r="E3" t="s">
        <v>7</v>
      </c>
      <c r="F3">
        <v>22</v>
      </c>
      <c r="G3">
        <v>30</v>
      </c>
      <c r="H3">
        <v>23</v>
      </c>
      <c r="I3">
        <v>0</v>
      </c>
      <c r="J3">
        <v>22</v>
      </c>
      <c r="K3">
        <v>25.5</v>
      </c>
      <c r="L3">
        <v>0</v>
      </c>
      <c r="M3">
        <v>0</v>
      </c>
      <c r="N3" t="s">
        <v>16</v>
      </c>
      <c r="O3">
        <v>26</v>
      </c>
      <c r="P3">
        <v>24</v>
      </c>
      <c r="Q3">
        <v>14</v>
      </c>
      <c r="R3">
        <v>0</v>
      </c>
      <c r="S3">
        <v>28</v>
      </c>
      <c r="T3">
        <v>19</v>
      </c>
      <c r="U3">
        <v>0</v>
      </c>
      <c r="V3">
        <v>0</v>
      </c>
      <c r="W3" t="s">
        <v>17</v>
      </c>
      <c r="X3">
        <v>18.5</v>
      </c>
      <c r="Y3">
        <v>27</v>
      </c>
      <c r="Z3">
        <v>20</v>
      </c>
      <c r="AA3">
        <v>0</v>
      </c>
      <c r="AB3">
        <v>25</v>
      </c>
      <c r="AC3">
        <v>14</v>
      </c>
      <c r="AD3">
        <v>0</v>
      </c>
      <c r="AE3" t="s">
        <v>18</v>
      </c>
      <c r="AF3">
        <v>42</v>
      </c>
      <c r="AG3">
        <v>48</v>
      </c>
      <c r="AH3">
        <v>52</v>
      </c>
      <c r="AI3">
        <v>0</v>
      </c>
      <c r="AJ3">
        <v>51</v>
      </c>
      <c r="AK3">
        <v>37.5</v>
      </c>
      <c r="AL3">
        <v>0</v>
      </c>
      <c r="AM3">
        <v>0</v>
      </c>
      <c r="AN3" t="s">
        <v>19</v>
      </c>
      <c r="AO3">
        <v>15</v>
      </c>
      <c r="AP3">
        <v>18</v>
      </c>
      <c r="AQ3">
        <v>20</v>
      </c>
      <c r="AR3">
        <v>0</v>
      </c>
      <c r="AS3">
        <v>18</v>
      </c>
      <c r="AT3" s="1">
        <f t="shared" ref="AT3:AT31" si="1">CEILING((N(K3)+N(T3)+N(AC3))/120*20,0.5)</f>
        <v>10</v>
      </c>
      <c r="AU3">
        <v>0</v>
      </c>
      <c r="AV3" s="1">
        <f t="shared" ref="AV3:AV31" si="2">CEILING((N(M3)+N(V3))/70*30,0.5)</f>
        <v>0</v>
      </c>
      <c r="AW3" s="1" t="s">
        <v>112</v>
      </c>
      <c r="AX3" s="1">
        <f t="shared" ref="AX3:AX31" si="3">ROUND(N(AF3)+N(AO3),0)</f>
        <v>57</v>
      </c>
      <c r="AY3" s="1">
        <f t="shared" ref="AY3:AY31" si="4">ROUND(N(AG3)+N(AP3),0)</f>
        <v>66</v>
      </c>
      <c r="AZ3" s="1">
        <f t="shared" ref="AZ3:AZ31" si="5">ROUND(N(AH3)+N(AQ3),0)</f>
        <v>72</v>
      </c>
      <c r="BA3" s="1">
        <f t="shared" ref="BA3:BA31" si="6">ROUND(N(AI3)+N(AR3),0)</f>
        <v>0</v>
      </c>
      <c r="BB3" s="1">
        <f t="shared" ref="BB3:BB31" si="7">ROUND(N(AJ3)+N(AS3),0)</f>
        <v>69</v>
      </c>
      <c r="BC3" s="1">
        <f t="shared" ref="BC3:BC31" si="8">ROUND(N(AK3)+N(AT3),0)</f>
        <v>48</v>
      </c>
      <c r="BD3" s="1">
        <f t="shared" ref="BD3:BD31" si="9">ROUND(N(AL3)+N(AU3),0)</f>
        <v>0</v>
      </c>
      <c r="BE3" s="1">
        <f t="shared" ref="BE3:BE31" si="10">ROUND(N(AM3)+N(AV3),0)</f>
        <v>0</v>
      </c>
      <c r="BF3" t="s">
        <v>18</v>
      </c>
      <c r="BG3" t="s">
        <v>33</v>
      </c>
      <c r="BH3" t="s">
        <v>34</v>
      </c>
      <c r="BI3" t="s">
        <v>35</v>
      </c>
      <c r="BJ3">
        <v>108.5</v>
      </c>
      <c r="BK3" t="s">
        <v>73</v>
      </c>
      <c r="BL3" t="s">
        <v>74</v>
      </c>
    </row>
    <row r="4" spans="1:64" x14ac:dyDescent="0.25">
      <c r="A4">
        <v>3</v>
      </c>
      <c r="B4" t="s">
        <v>39</v>
      </c>
      <c r="C4">
        <v>14389</v>
      </c>
      <c r="D4" t="s">
        <v>42</v>
      </c>
      <c r="E4" t="s">
        <v>7</v>
      </c>
      <c r="F4">
        <v>35</v>
      </c>
      <c r="G4">
        <v>26</v>
      </c>
      <c r="H4">
        <v>25</v>
      </c>
      <c r="I4">
        <v>0</v>
      </c>
      <c r="J4">
        <v>29</v>
      </c>
      <c r="K4">
        <v>27.5</v>
      </c>
      <c r="L4">
        <v>0</v>
      </c>
      <c r="M4">
        <v>0</v>
      </c>
      <c r="N4" t="s">
        <v>16</v>
      </c>
      <c r="O4">
        <v>22.5</v>
      </c>
      <c r="P4">
        <v>24</v>
      </c>
      <c r="Q4">
        <v>14</v>
      </c>
      <c r="R4">
        <v>0</v>
      </c>
      <c r="S4">
        <v>29</v>
      </c>
      <c r="T4">
        <v>25</v>
      </c>
      <c r="U4">
        <v>0</v>
      </c>
      <c r="V4">
        <v>0</v>
      </c>
      <c r="W4" t="s">
        <v>17</v>
      </c>
      <c r="X4">
        <v>28.5</v>
      </c>
      <c r="Y4">
        <v>26</v>
      </c>
      <c r="Z4">
        <v>19</v>
      </c>
      <c r="AA4">
        <v>0</v>
      </c>
      <c r="AB4">
        <v>33</v>
      </c>
      <c r="AC4">
        <v>32.5</v>
      </c>
      <c r="AD4">
        <v>0</v>
      </c>
      <c r="AE4" t="s">
        <v>18</v>
      </c>
      <c r="AF4">
        <v>45.5</v>
      </c>
      <c r="AG4">
        <v>49</v>
      </c>
      <c r="AH4">
        <v>46</v>
      </c>
      <c r="AI4">
        <v>0</v>
      </c>
      <c r="AJ4">
        <v>54</v>
      </c>
      <c r="AK4">
        <v>58.5</v>
      </c>
      <c r="AL4">
        <v>0</v>
      </c>
      <c r="AM4">
        <v>0</v>
      </c>
      <c r="AN4" t="s">
        <v>19</v>
      </c>
      <c r="AO4">
        <v>16</v>
      </c>
      <c r="AP4">
        <v>18</v>
      </c>
      <c r="AQ4">
        <v>17</v>
      </c>
      <c r="AR4">
        <v>0</v>
      </c>
      <c r="AS4">
        <v>20</v>
      </c>
      <c r="AT4" s="1">
        <f t="shared" si="1"/>
        <v>14.5</v>
      </c>
      <c r="AU4">
        <v>0</v>
      </c>
      <c r="AV4" s="1">
        <f t="shared" si="2"/>
        <v>0</v>
      </c>
      <c r="AW4" s="1" t="s">
        <v>112</v>
      </c>
      <c r="AX4" s="1">
        <f t="shared" si="3"/>
        <v>62</v>
      </c>
      <c r="AY4" s="1">
        <f t="shared" si="4"/>
        <v>67</v>
      </c>
      <c r="AZ4" s="1">
        <f t="shared" si="5"/>
        <v>63</v>
      </c>
      <c r="BA4" s="1">
        <f t="shared" si="6"/>
        <v>0</v>
      </c>
      <c r="BB4" s="1">
        <f t="shared" si="7"/>
        <v>74</v>
      </c>
      <c r="BC4" s="1">
        <f t="shared" si="8"/>
        <v>73</v>
      </c>
      <c r="BD4" s="1">
        <f t="shared" si="9"/>
        <v>0</v>
      </c>
      <c r="BE4" s="1">
        <f t="shared" si="10"/>
        <v>0</v>
      </c>
      <c r="BF4" t="s">
        <v>18</v>
      </c>
      <c r="BG4" t="s">
        <v>33</v>
      </c>
      <c r="BH4" t="s">
        <v>34</v>
      </c>
      <c r="BI4" t="s">
        <v>35</v>
      </c>
      <c r="BJ4">
        <v>102.5</v>
      </c>
      <c r="BK4" t="s">
        <v>75</v>
      </c>
      <c r="BL4" t="s">
        <v>36</v>
      </c>
    </row>
    <row r="5" spans="1:64" x14ac:dyDescent="0.25">
      <c r="A5">
        <v>4</v>
      </c>
      <c r="B5" t="s">
        <v>39</v>
      </c>
      <c r="C5">
        <v>16724</v>
      </c>
      <c r="D5" t="s">
        <v>43</v>
      </c>
      <c r="E5" t="s">
        <v>7</v>
      </c>
      <c r="F5">
        <v>34.5</v>
      </c>
      <c r="G5">
        <v>36</v>
      </c>
      <c r="H5">
        <v>34</v>
      </c>
      <c r="I5">
        <v>0</v>
      </c>
      <c r="J5">
        <v>35</v>
      </c>
      <c r="K5">
        <v>38</v>
      </c>
      <c r="L5">
        <v>0</v>
      </c>
      <c r="M5">
        <v>0</v>
      </c>
      <c r="N5" t="s">
        <v>16</v>
      </c>
      <c r="O5">
        <v>28</v>
      </c>
      <c r="P5">
        <v>38</v>
      </c>
      <c r="Q5">
        <v>31</v>
      </c>
      <c r="R5">
        <v>0</v>
      </c>
      <c r="S5">
        <v>37</v>
      </c>
      <c r="T5">
        <v>36</v>
      </c>
      <c r="U5">
        <v>0</v>
      </c>
      <c r="V5">
        <v>0</v>
      </c>
      <c r="W5" t="s">
        <v>17</v>
      </c>
      <c r="X5">
        <v>30.5</v>
      </c>
      <c r="Y5">
        <v>35</v>
      </c>
      <c r="Z5">
        <v>36</v>
      </c>
      <c r="AA5">
        <v>0</v>
      </c>
      <c r="AB5">
        <v>36</v>
      </c>
      <c r="AC5">
        <v>37.5</v>
      </c>
      <c r="AD5">
        <v>0</v>
      </c>
      <c r="AE5" t="s">
        <v>18</v>
      </c>
      <c r="AF5">
        <v>59</v>
      </c>
      <c r="AG5">
        <v>47</v>
      </c>
      <c r="AH5">
        <v>63</v>
      </c>
      <c r="AI5">
        <v>0</v>
      </c>
      <c r="AJ5">
        <v>60</v>
      </c>
      <c r="AK5">
        <v>71.5</v>
      </c>
      <c r="AL5">
        <v>0</v>
      </c>
      <c r="AM5">
        <v>0</v>
      </c>
      <c r="AN5" t="s">
        <v>19</v>
      </c>
      <c r="AO5">
        <v>16</v>
      </c>
      <c r="AP5">
        <v>19</v>
      </c>
      <c r="AQ5">
        <v>20</v>
      </c>
      <c r="AR5">
        <v>0</v>
      </c>
      <c r="AS5">
        <v>20</v>
      </c>
      <c r="AT5" s="1">
        <f t="shared" si="1"/>
        <v>19</v>
      </c>
      <c r="AU5">
        <v>0</v>
      </c>
      <c r="AV5" s="1">
        <f t="shared" si="2"/>
        <v>0</v>
      </c>
      <c r="AW5" s="1" t="s">
        <v>112</v>
      </c>
      <c r="AX5" s="1">
        <f t="shared" si="3"/>
        <v>75</v>
      </c>
      <c r="AY5" s="1">
        <f t="shared" si="4"/>
        <v>66</v>
      </c>
      <c r="AZ5" s="1">
        <f t="shared" si="5"/>
        <v>83</v>
      </c>
      <c r="BA5" s="1">
        <f t="shared" si="6"/>
        <v>0</v>
      </c>
      <c r="BB5" s="1">
        <f t="shared" si="7"/>
        <v>80</v>
      </c>
      <c r="BC5" s="1">
        <f t="shared" si="8"/>
        <v>91</v>
      </c>
      <c r="BD5" s="1">
        <f t="shared" si="9"/>
        <v>0</v>
      </c>
      <c r="BE5" s="1">
        <f t="shared" si="10"/>
        <v>0</v>
      </c>
      <c r="BF5" t="s">
        <v>18</v>
      </c>
      <c r="BG5" t="s">
        <v>33</v>
      </c>
      <c r="BH5" t="s">
        <v>34</v>
      </c>
      <c r="BI5" t="s">
        <v>35</v>
      </c>
      <c r="BJ5">
        <v>113.5</v>
      </c>
      <c r="BK5" t="s">
        <v>76</v>
      </c>
      <c r="BL5" t="s">
        <v>77</v>
      </c>
    </row>
    <row r="6" spans="1:64" x14ac:dyDescent="0.25">
      <c r="A6">
        <v>5</v>
      </c>
      <c r="B6" t="s">
        <v>39</v>
      </c>
      <c r="C6">
        <v>14914</v>
      </c>
      <c r="D6" t="s">
        <v>44</v>
      </c>
      <c r="E6" t="s">
        <v>7</v>
      </c>
      <c r="F6">
        <v>37.5</v>
      </c>
      <c r="G6">
        <v>38</v>
      </c>
      <c r="H6">
        <v>34</v>
      </c>
      <c r="I6">
        <v>0</v>
      </c>
      <c r="J6">
        <v>36</v>
      </c>
      <c r="K6">
        <v>35.5</v>
      </c>
      <c r="L6">
        <v>0</v>
      </c>
      <c r="M6">
        <v>0</v>
      </c>
      <c r="N6" t="s">
        <v>16</v>
      </c>
      <c r="O6">
        <v>31</v>
      </c>
      <c r="P6">
        <v>38</v>
      </c>
      <c r="Q6">
        <v>37</v>
      </c>
      <c r="R6">
        <v>0</v>
      </c>
      <c r="S6">
        <v>39</v>
      </c>
      <c r="T6">
        <v>30</v>
      </c>
      <c r="U6">
        <v>0</v>
      </c>
      <c r="V6">
        <v>0</v>
      </c>
      <c r="W6" t="s">
        <v>17</v>
      </c>
      <c r="X6">
        <v>30</v>
      </c>
      <c r="Y6">
        <v>31</v>
      </c>
      <c r="Z6">
        <v>38</v>
      </c>
      <c r="AA6">
        <v>0</v>
      </c>
      <c r="AB6">
        <v>35</v>
      </c>
      <c r="AC6">
        <v>33</v>
      </c>
      <c r="AD6">
        <v>0</v>
      </c>
      <c r="AE6" t="s">
        <v>18</v>
      </c>
      <c r="AF6">
        <v>59</v>
      </c>
      <c r="AG6">
        <v>63</v>
      </c>
      <c r="AH6">
        <v>75</v>
      </c>
      <c r="AI6">
        <v>0</v>
      </c>
      <c r="AJ6">
        <v>68</v>
      </c>
      <c r="AK6">
        <v>68</v>
      </c>
      <c r="AL6">
        <v>0</v>
      </c>
      <c r="AM6">
        <v>0</v>
      </c>
      <c r="AN6" t="s">
        <v>19</v>
      </c>
      <c r="AO6">
        <v>18</v>
      </c>
      <c r="AP6">
        <v>20</v>
      </c>
      <c r="AQ6">
        <v>19</v>
      </c>
      <c r="AR6">
        <v>0</v>
      </c>
      <c r="AS6">
        <v>20</v>
      </c>
      <c r="AT6" s="1">
        <f t="shared" si="1"/>
        <v>16.5</v>
      </c>
      <c r="AU6">
        <v>0</v>
      </c>
      <c r="AV6" s="1">
        <f t="shared" si="2"/>
        <v>0</v>
      </c>
      <c r="AW6" s="1" t="s">
        <v>112</v>
      </c>
      <c r="AX6" s="1">
        <f t="shared" si="3"/>
        <v>77</v>
      </c>
      <c r="AY6" s="1">
        <f t="shared" si="4"/>
        <v>83</v>
      </c>
      <c r="AZ6" s="1">
        <f t="shared" si="5"/>
        <v>94</v>
      </c>
      <c r="BA6" s="1">
        <f t="shared" si="6"/>
        <v>0</v>
      </c>
      <c r="BB6" s="1">
        <f t="shared" si="7"/>
        <v>88</v>
      </c>
      <c r="BC6" s="1">
        <f t="shared" si="8"/>
        <v>85</v>
      </c>
      <c r="BD6" s="1">
        <f t="shared" si="9"/>
        <v>0</v>
      </c>
      <c r="BE6" s="1">
        <f t="shared" si="10"/>
        <v>0</v>
      </c>
      <c r="BF6" t="s">
        <v>18</v>
      </c>
      <c r="BG6" t="s">
        <v>33</v>
      </c>
      <c r="BH6" t="s">
        <v>34</v>
      </c>
      <c r="BI6" t="s">
        <v>35</v>
      </c>
      <c r="BJ6">
        <v>105.5</v>
      </c>
      <c r="BK6" t="s">
        <v>78</v>
      </c>
      <c r="BL6" t="s">
        <v>79</v>
      </c>
    </row>
    <row r="7" spans="1:64" x14ac:dyDescent="0.25">
      <c r="A7">
        <v>6</v>
      </c>
      <c r="B7" t="s">
        <v>39</v>
      </c>
      <c r="C7">
        <v>15234</v>
      </c>
      <c r="D7" t="s">
        <v>45</v>
      </c>
      <c r="E7" t="s">
        <v>7</v>
      </c>
      <c r="F7">
        <v>37</v>
      </c>
      <c r="G7">
        <v>35</v>
      </c>
      <c r="H7">
        <v>29</v>
      </c>
      <c r="I7">
        <v>0</v>
      </c>
      <c r="J7">
        <v>25</v>
      </c>
      <c r="K7">
        <v>27</v>
      </c>
      <c r="L7">
        <v>0</v>
      </c>
      <c r="M7">
        <v>0</v>
      </c>
      <c r="N7" t="s">
        <v>16</v>
      </c>
      <c r="O7">
        <v>33</v>
      </c>
      <c r="P7">
        <v>33</v>
      </c>
      <c r="Q7">
        <v>24</v>
      </c>
      <c r="R7">
        <v>0</v>
      </c>
      <c r="S7">
        <v>37</v>
      </c>
      <c r="T7">
        <v>28.5</v>
      </c>
      <c r="U7">
        <v>0</v>
      </c>
      <c r="V7">
        <v>0</v>
      </c>
      <c r="W7" t="s">
        <v>17</v>
      </c>
      <c r="X7">
        <v>34</v>
      </c>
      <c r="Y7">
        <v>27</v>
      </c>
      <c r="Z7">
        <v>32</v>
      </c>
      <c r="AA7">
        <v>0</v>
      </c>
      <c r="AB7">
        <v>36</v>
      </c>
      <c r="AC7">
        <v>30.5</v>
      </c>
      <c r="AD7">
        <v>0</v>
      </c>
      <c r="AE7" t="s">
        <v>18</v>
      </c>
      <c r="AF7">
        <v>63</v>
      </c>
      <c r="AG7">
        <v>57</v>
      </c>
      <c r="AH7">
        <v>52</v>
      </c>
      <c r="AI7">
        <v>0</v>
      </c>
      <c r="AJ7">
        <v>60</v>
      </c>
      <c r="AK7">
        <v>68</v>
      </c>
      <c r="AL7">
        <v>0</v>
      </c>
      <c r="AM7">
        <v>0</v>
      </c>
      <c r="AN7" t="s">
        <v>19</v>
      </c>
      <c r="AO7">
        <v>18</v>
      </c>
      <c r="AP7">
        <v>20</v>
      </c>
      <c r="AQ7">
        <v>19</v>
      </c>
      <c r="AR7">
        <v>0</v>
      </c>
      <c r="AS7">
        <v>19</v>
      </c>
      <c r="AT7" s="1">
        <f t="shared" si="1"/>
        <v>14.5</v>
      </c>
      <c r="AU7">
        <v>0</v>
      </c>
      <c r="AV7" s="1">
        <f t="shared" si="2"/>
        <v>0</v>
      </c>
      <c r="AW7" s="1" t="s">
        <v>112</v>
      </c>
      <c r="AX7" s="1">
        <f t="shared" si="3"/>
        <v>81</v>
      </c>
      <c r="AY7" s="1">
        <f t="shared" si="4"/>
        <v>77</v>
      </c>
      <c r="AZ7" s="1">
        <f t="shared" si="5"/>
        <v>71</v>
      </c>
      <c r="BA7" s="1">
        <f t="shared" si="6"/>
        <v>0</v>
      </c>
      <c r="BB7" s="1">
        <f t="shared" si="7"/>
        <v>79</v>
      </c>
      <c r="BC7" s="1">
        <f t="shared" si="8"/>
        <v>83</v>
      </c>
      <c r="BD7" s="1">
        <f t="shared" si="9"/>
        <v>0</v>
      </c>
      <c r="BE7" s="1">
        <f t="shared" si="10"/>
        <v>0</v>
      </c>
      <c r="BF7" t="s">
        <v>18</v>
      </c>
      <c r="BG7" t="s">
        <v>33</v>
      </c>
      <c r="BH7" t="s">
        <v>34</v>
      </c>
      <c r="BI7" t="s">
        <v>35</v>
      </c>
      <c r="BJ7">
        <v>115.5</v>
      </c>
      <c r="BK7" t="s">
        <v>80</v>
      </c>
      <c r="BL7" t="s">
        <v>81</v>
      </c>
    </row>
    <row r="8" spans="1:64" x14ac:dyDescent="0.25">
      <c r="A8">
        <v>7</v>
      </c>
      <c r="B8" t="s">
        <v>39</v>
      </c>
      <c r="C8">
        <v>14445</v>
      </c>
      <c r="D8" t="s">
        <v>46</v>
      </c>
      <c r="E8" t="s">
        <v>7</v>
      </c>
      <c r="F8">
        <v>33</v>
      </c>
      <c r="G8">
        <v>35</v>
      </c>
      <c r="H8">
        <v>26</v>
      </c>
      <c r="I8">
        <v>0</v>
      </c>
      <c r="J8">
        <v>36</v>
      </c>
      <c r="K8">
        <v>32</v>
      </c>
      <c r="L8">
        <v>0</v>
      </c>
      <c r="M8">
        <v>0</v>
      </c>
      <c r="N8" t="s">
        <v>16</v>
      </c>
      <c r="O8">
        <v>33.5</v>
      </c>
      <c r="P8">
        <v>36</v>
      </c>
      <c r="Q8">
        <v>30</v>
      </c>
      <c r="R8">
        <v>0</v>
      </c>
      <c r="S8">
        <v>39</v>
      </c>
      <c r="T8">
        <v>33</v>
      </c>
      <c r="U8">
        <v>0</v>
      </c>
      <c r="V8">
        <v>0</v>
      </c>
      <c r="W8" t="s">
        <v>17</v>
      </c>
      <c r="X8">
        <v>33.5</v>
      </c>
      <c r="Y8">
        <v>31</v>
      </c>
      <c r="Z8">
        <v>34</v>
      </c>
      <c r="AA8">
        <v>0</v>
      </c>
      <c r="AB8">
        <v>37</v>
      </c>
      <c r="AC8">
        <v>25</v>
      </c>
      <c r="AD8">
        <v>0</v>
      </c>
      <c r="AE8" t="s">
        <v>18</v>
      </c>
      <c r="AF8">
        <v>46.5</v>
      </c>
      <c r="AG8">
        <v>63</v>
      </c>
      <c r="AH8">
        <v>69</v>
      </c>
      <c r="AI8">
        <v>0</v>
      </c>
      <c r="AJ8">
        <v>63</v>
      </c>
      <c r="AK8">
        <v>65</v>
      </c>
      <c r="AL8">
        <v>0</v>
      </c>
      <c r="AM8">
        <v>0</v>
      </c>
      <c r="AN8" t="s">
        <v>19</v>
      </c>
      <c r="AO8">
        <v>17</v>
      </c>
      <c r="AP8">
        <v>18</v>
      </c>
      <c r="AQ8">
        <v>19</v>
      </c>
      <c r="AR8">
        <v>0</v>
      </c>
      <c r="AS8">
        <v>20</v>
      </c>
      <c r="AT8" s="1">
        <f t="shared" si="1"/>
        <v>15</v>
      </c>
      <c r="AU8">
        <v>0</v>
      </c>
      <c r="AV8" s="1">
        <f t="shared" si="2"/>
        <v>0</v>
      </c>
      <c r="AW8" s="1" t="s">
        <v>112</v>
      </c>
      <c r="AX8" s="1">
        <f t="shared" si="3"/>
        <v>64</v>
      </c>
      <c r="AY8" s="1">
        <f t="shared" si="4"/>
        <v>81</v>
      </c>
      <c r="AZ8" s="1">
        <f t="shared" si="5"/>
        <v>88</v>
      </c>
      <c r="BA8" s="1">
        <f t="shared" si="6"/>
        <v>0</v>
      </c>
      <c r="BB8" s="1">
        <f t="shared" si="7"/>
        <v>83</v>
      </c>
      <c r="BC8" s="1">
        <f t="shared" si="8"/>
        <v>80</v>
      </c>
      <c r="BD8" s="1">
        <f t="shared" si="9"/>
        <v>0</v>
      </c>
      <c r="BE8" s="1">
        <f t="shared" si="10"/>
        <v>0</v>
      </c>
      <c r="BF8" t="s">
        <v>18</v>
      </c>
      <c r="BG8" t="s">
        <v>33</v>
      </c>
      <c r="BH8" t="s">
        <v>34</v>
      </c>
      <c r="BI8" t="s">
        <v>35</v>
      </c>
      <c r="BJ8">
        <v>105</v>
      </c>
      <c r="BK8" t="s">
        <v>82</v>
      </c>
      <c r="BL8" t="s">
        <v>36</v>
      </c>
    </row>
    <row r="9" spans="1:64" x14ac:dyDescent="0.25">
      <c r="A9">
        <v>8</v>
      </c>
      <c r="B9" t="s">
        <v>39</v>
      </c>
      <c r="C9">
        <v>14490</v>
      </c>
      <c r="D9" t="s">
        <v>47</v>
      </c>
      <c r="E9" t="s">
        <v>7</v>
      </c>
      <c r="F9">
        <v>34.5</v>
      </c>
      <c r="G9">
        <v>26</v>
      </c>
      <c r="H9">
        <v>18</v>
      </c>
      <c r="I9">
        <v>0</v>
      </c>
      <c r="J9">
        <v>25</v>
      </c>
      <c r="K9">
        <v>21.5</v>
      </c>
      <c r="L9">
        <v>0</v>
      </c>
      <c r="M9">
        <v>0</v>
      </c>
      <c r="N9" t="s">
        <v>16</v>
      </c>
      <c r="O9">
        <v>26</v>
      </c>
      <c r="P9">
        <v>20</v>
      </c>
      <c r="Q9">
        <v>23</v>
      </c>
      <c r="R9">
        <v>0</v>
      </c>
      <c r="S9">
        <v>28</v>
      </c>
      <c r="T9">
        <v>17</v>
      </c>
      <c r="U9">
        <v>0</v>
      </c>
      <c r="V9">
        <v>0</v>
      </c>
      <c r="W9" t="s">
        <v>17</v>
      </c>
      <c r="X9">
        <v>22.5</v>
      </c>
      <c r="Y9">
        <v>28</v>
      </c>
      <c r="Z9">
        <v>31</v>
      </c>
      <c r="AA9">
        <v>0</v>
      </c>
      <c r="AB9">
        <v>30</v>
      </c>
      <c r="AC9">
        <v>14.5</v>
      </c>
      <c r="AD9">
        <v>0</v>
      </c>
      <c r="AE9" t="s">
        <v>18</v>
      </c>
      <c r="AF9">
        <v>57</v>
      </c>
      <c r="AG9">
        <v>48</v>
      </c>
      <c r="AH9">
        <v>52</v>
      </c>
      <c r="AI9">
        <v>0</v>
      </c>
      <c r="AJ9">
        <v>61</v>
      </c>
      <c r="AK9">
        <v>41.5</v>
      </c>
      <c r="AL9">
        <v>0</v>
      </c>
      <c r="AM9">
        <v>0</v>
      </c>
      <c r="AN9" t="s">
        <v>19</v>
      </c>
      <c r="AO9">
        <v>17</v>
      </c>
      <c r="AP9">
        <v>18</v>
      </c>
      <c r="AQ9">
        <v>18</v>
      </c>
      <c r="AR9">
        <v>0</v>
      </c>
      <c r="AS9">
        <v>18</v>
      </c>
      <c r="AT9" s="1">
        <f t="shared" si="1"/>
        <v>9</v>
      </c>
      <c r="AU9">
        <v>0</v>
      </c>
      <c r="AV9" s="1">
        <f t="shared" si="2"/>
        <v>0</v>
      </c>
      <c r="AW9" s="1" t="s">
        <v>112</v>
      </c>
      <c r="AX9" s="1">
        <f t="shared" si="3"/>
        <v>74</v>
      </c>
      <c r="AY9" s="1">
        <f t="shared" si="4"/>
        <v>66</v>
      </c>
      <c r="AZ9" s="1">
        <f t="shared" si="5"/>
        <v>70</v>
      </c>
      <c r="BA9" s="1">
        <f t="shared" si="6"/>
        <v>0</v>
      </c>
      <c r="BB9" s="1">
        <f t="shared" si="7"/>
        <v>79</v>
      </c>
      <c r="BC9" s="1">
        <f t="shared" si="8"/>
        <v>51</v>
      </c>
      <c r="BD9" s="1">
        <f t="shared" si="9"/>
        <v>0</v>
      </c>
      <c r="BE9" s="1">
        <f t="shared" si="10"/>
        <v>0</v>
      </c>
      <c r="BF9" t="s">
        <v>18</v>
      </c>
      <c r="BG9" t="s">
        <v>33</v>
      </c>
      <c r="BH9" t="s">
        <v>34</v>
      </c>
      <c r="BI9" t="s">
        <v>35</v>
      </c>
      <c r="BJ9">
        <v>110</v>
      </c>
      <c r="BK9" t="s">
        <v>83</v>
      </c>
      <c r="BL9" t="s">
        <v>36</v>
      </c>
    </row>
    <row r="10" spans="1:64" x14ac:dyDescent="0.25">
      <c r="A10">
        <v>9</v>
      </c>
      <c r="B10" t="s">
        <v>39</v>
      </c>
      <c r="C10">
        <v>14428</v>
      </c>
      <c r="D10" t="s">
        <v>48</v>
      </c>
      <c r="E10" t="s">
        <v>7</v>
      </c>
      <c r="F10">
        <v>33.5</v>
      </c>
      <c r="G10">
        <v>28</v>
      </c>
      <c r="H10">
        <v>21</v>
      </c>
      <c r="I10">
        <v>0</v>
      </c>
      <c r="J10">
        <v>14</v>
      </c>
      <c r="K10">
        <v>30</v>
      </c>
      <c r="L10">
        <v>0</v>
      </c>
      <c r="M10">
        <v>0</v>
      </c>
      <c r="N10" t="s">
        <v>16</v>
      </c>
      <c r="O10">
        <v>26</v>
      </c>
      <c r="P10">
        <v>29</v>
      </c>
      <c r="Q10">
        <v>15</v>
      </c>
      <c r="R10">
        <v>0</v>
      </c>
      <c r="S10">
        <v>31</v>
      </c>
      <c r="T10">
        <v>21.5</v>
      </c>
      <c r="U10">
        <v>0</v>
      </c>
      <c r="V10">
        <v>0</v>
      </c>
      <c r="W10" t="s">
        <v>17</v>
      </c>
      <c r="X10">
        <v>21</v>
      </c>
      <c r="Y10">
        <v>26</v>
      </c>
      <c r="Z10">
        <v>25</v>
      </c>
      <c r="AA10">
        <v>0</v>
      </c>
      <c r="AB10">
        <v>29</v>
      </c>
      <c r="AC10">
        <v>28.5</v>
      </c>
      <c r="AD10">
        <v>0</v>
      </c>
      <c r="AE10" t="s">
        <v>18</v>
      </c>
      <c r="AF10">
        <v>44</v>
      </c>
      <c r="AG10">
        <v>51</v>
      </c>
      <c r="AH10">
        <v>40</v>
      </c>
      <c r="AI10">
        <v>0</v>
      </c>
      <c r="AJ10">
        <v>53</v>
      </c>
      <c r="AK10">
        <v>56</v>
      </c>
      <c r="AL10">
        <v>0</v>
      </c>
      <c r="AM10">
        <v>0</v>
      </c>
      <c r="AN10" t="s">
        <v>19</v>
      </c>
      <c r="AO10">
        <v>16</v>
      </c>
      <c r="AP10">
        <v>18</v>
      </c>
      <c r="AQ10">
        <v>16</v>
      </c>
      <c r="AR10">
        <v>0</v>
      </c>
      <c r="AS10">
        <v>20</v>
      </c>
      <c r="AT10" s="1">
        <f t="shared" si="1"/>
        <v>13.5</v>
      </c>
      <c r="AU10">
        <v>0</v>
      </c>
      <c r="AV10" s="1">
        <f t="shared" si="2"/>
        <v>0</v>
      </c>
      <c r="AW10" s="1" t="s">
        <v>112</v>
      </c>
      <c r="AX10" s="1">
        <f t="shared" si="3"/>
        <v>60</v>
      </c>
      <c r="AY10" s="1">
        <f t="shared" si="4"/>
        <v>69</v>
      </c>
      <c r="AZ10" s="1">
        <f t="shared" si="5"/>
        <v>56</v>
      </c>
      <c r="BA10" s="1">
        <f t="shared" si="6"/>
        <v>0</v>
      </c>
      <c r="BB10" s="1">
        <f t="shared" si="7"/>
        <v>73</v>
      </c>
      <c r="BC10" s="1">
        <f t="shared" si="8"/>
        <v>70</v>
      </c>
      <c r="BD10" s="1">
        <f t="shared" si="9"/>
        <v>0</v>
      </c>
      <c r="BE10" s="1">
        <f t="shared" si="10"/>
        <v>0</v>
      </c>
      <c r="BF10" t="s">
        <v>18</v>
      </c>
      <c r="BG10" t="s">
        <v>33</v>
      </c>
      <c r="BH10" t="s">
        <v>34</v>
      </c>
      <c r="BI10" t="s">
        <v>35</v>
      </c>
      <c r="BJ10">
        <v>111</v>
      </c>
      <c r="BK10" t="s">
        <v>84</v>
      </c>
      <c r="BL10" t="s">
        <v>36</v>
      </c>
    </row>
    <row r="11" spans="1:64" x14ac:dyDescent="0.25">
      <c r="A11">
        <v>10</v>
      </c>
      <c r="B11" t="s">
        <v>39</v>
      </c>
      <c r="C11">
        <v>14417</v>
      </c>
      <c r="D11" t="s">
        <v>49</v>
      </c>
      <c r="E11" t="s">
        <v>7</v>
      </c>
      <c r="F11">
        <v>33</v>
      </c>
      <c r="G11">
        <v>32</v>
      </c>
      <c r="H11">
        <v>24</v>
      </c>
      <c r="I11">
        <v>0</v>
      </c>
      <c r="J11">
        <v>27</v>
      </c>
      <c r="K11">
        <v>34</v>
      </c>
      <c r="L11">
        <v>0</v>
      </c>
      <c r="M11">
        <v>0</v>
      </c>
      <c r="N11" t="s">
        <v>16</v>
      </c>
      <c r="O11">
        <v>34</v>
      </c>
      <c r="P11">
        <v>23</v>
      </c>
      <c r="Q11">
        <v>31</v>
      </c>
      <c r="R11">
        <v>0</v>
      </c>
      <c r="S11">
        <v>30</v>
      </c>
      <c r="T11">
        <v>21.5</v>
      </c>
      <c r="U11">
        <v>0</v>
      </c>
      <c r="V11">
        <v>0</v>
      </c>
      <c r="W11" t="s">
        <v>17</v>
      </c>
      <c r="X11">
        <v>33</v>
      </c>
      <c r="Y11">
        <v>26</v>
      </c>
      <c r="Z11">
        <v>32</v>
      </c>
      <c r="AA11">
        <v>0</v>
      </c>
      <c r="AB11">
        <v>33</v>
      </c>
      <c r="AC11">
        <v>25.5</v>
      </c>
      <c r="AD11">
        <v>0</v>
      </c>
      <c r="AE11" t="s">
        <v>18</v>
      </c>
      <c r="AF11">
        <v>59.5</v>
      </c>
      <c r="AG11">
        <v>46</v>
      </c>
      <c r="AH11">
        <v>50</v>
      </c>
      <c r="AI11">
        <v>0</v>
      </c>
      <c r="AJ11">
        <v>50</v>
      </c>
      <c r="AK11">
        <v>59.5</v>
      </c>
      <c r="AL11">
        <v>0</v>
      </c>
      <c r="AM11">
        <v>0</v>
      </c>
      <c r="AN11" t="s">
        <v>19</v>
      </c>
      <c r="AO11">
        <v>20</v>
      </c>
      <c r="AP11">
        <v>20</v>
      </c>
      <c r="AQ11">
        <v>19</v>
      </c>
      <c r="AR11">
        <v>0</v>
      </c>
      <c r="AS11">
        <v>20</v>
      </c>
      <c r="AT11" s="1">
        <f t="shared" si="1"/>
        <v>13.5</v>
      </c>
      <c r="AU11">
        <v>0</v>
      </c>
      <c r="AV11" s="1">
        <f t="shared" si="2"/>
        <v>0</v>
      </c>
      <c r="AW11" s="1" t="s">
        <v>112</v>
      </c>
      <c r="AX11" s="1">
        <f t="shared" si="3"/>
        <v>80</v>
      </c>
      <c r="AY11" s="1">
        <f t="shared" si="4"/>
        <v>66</v>
      </c>
      <c r="AZ11" s="1">
        <f t="shared" si="5"/>
        <v>69</v>
      </c>
      <c r="BA11" s="1">
        <f t="shared" si="6"/>
        <v>0</v>
      </c>
      <c r="BB11" s="1">
        <f t="shared" si="7"/>
        <v>70</v>
      </c>
      <c r="BC11" s="1">
        <f t="shared" si="8"/>
        <v>73</v>
      </c>
      <c r="BD11" s="1">
        <f t="shared" si="9"/>
        <v>0</v>
      </c>
      <c r="BE11" s="1">
        <f t="shared" si="10"/>
        <v>0</v>
      </c>
      <c r="BF11" t="s">
        <v>18</v>
      </c>
      <c r="BG11" t="s">
        <v>33</v>
      </c>
      <c r="BH11" t="s">
        <v>34</v>
      </c>
      <c r="BI11" t="s">
        <v>35</v>
      </c>
      <c r="BJ11">
        <v>112</v>
      </c>
      <c r="BK11" t="s">
        <v>85</v>
      </c>
      <c r="BL11" t="s">
        <v>36</v>
      </c>
    </row>
    <row r="12" spans="1:64" x14ac:dyDescent="0.25">
      <c r="A12">
        <v>11</v>
      </c>
      <c r="B12" t="s">
        <v>39</v>
      </c>
      <c r="C12">
        <v>17236</v>
      </c>
      <c r="D12" t="s">
        <v>50</v>
      </c>
      <c r="E12" t="s">
        <v>7</v>
      </c>
      <c r="F12">
        <v>30</v>
      </c>
      <c r="G12">
        <v>35</v>
      </c>
      <c r="H12">
        <v>32</v>
      </c>
      <c r="I12">
        <v>0</v>
      </c>
      <c r="J12">
        <v>20</v>
      </c>
      <c r="K12">
        <v>32</v>
      </c>
      <c r="L12">
        <v>0</v>
      </c>
      <c r="M12">
        <v>0</v>
      </c>
      <c r="N12" t="s">
        <v>16</v>
      </c>
      <c r="O12">
        <v>30</v>
      </c>
      <c r="P12">
        <v>32</v>
      </c>
      <c r="Q12">
        <v>30</v>
      </c>
      <c r="R12">
        <v>0</v>
      </c>
      <c r="S12">
        <v>33</v>
      </c>
      <c r="T12">
        <v>30.5</v>
      </c>
      <c r="U12">
        <v>0</v>
      </c>
      <c r="V12">
        <v>0</v>
      </c>
      <c r="W12" t="s">
        <v>17</v>
      </c>
      <c r="X12">
        <v>30</v>
      </c>
      <c r="Y12">
        <v>38</v>
      </c>
      <c r="Z12">
        <v>29</v>
      </c>
      <c r="AA12">
        <v>0</v>
      </c>
      <c r="AB12">
        <v>28</v>
      </c>
      <c r="AC12">
        <v>29</v>
      </c>
      <c r="AD12">
        <v>0</v>
      </c>
      <c r="AE12" t="s">
        <v>18</v>
      </c>
      <c r="AF12">
        <v>58</v>
      </c>
      <c r="AG12">
        <v>73</v>
      </c>
      <c r="AH12">
        <v>69</v>
      </c>
      <c r="AI12">
        <v>0</v>
      </c>
      <c r="AJ12">
        <v>70</v>
      </c>
      <c r="AK12">
        <v>50</v>
      </c>
      <c r="AL12">
        <v>0</v>
      </c>
      <c r="AM12">
        <v>0</v>
      </c>
      <c r="AN12" t="s">
        <v>19</v>
      </c>
      <c r="AO12">
        <v>18</v>
      </c>
      <c r="AP12">
        <v>20</v>
      </c>
      <c r="AQ12">
        <v>18</v>
      </c>
      <c r="AR12">
        <v>0</v>
      </c>
      <c r="AS12">
        <v>20</v>
      </c>
      <c r="AT12" s="1">
        <f t="shared" si="1"/>
        <v>15.5</v>
      </c>
      <c r="AU12">
        <v>0</v>
      </c>
      <c r="AV12" s="1">
        <f t="shared" si="2"/>
        <v>0</v>
      </c>
      <c r="AW12" s="1" t="s">
        <v>112</v>
      </c>
      <c r="AX12" s="1">
        <f t="shared" si="3"/>
        <v>76</v>
      </c>
      <c r="AY12" s="1">
        <f t="shared" si="4"/>
        <v>93</v>
      </c>
      <c r="AZ12" s="1">
        <f t="shared" si="5"/>
        <v>87</v>
      </c>
      <c r="BA12" s="1">
        <f t="shared" si="6"/>
        <v>0</v>
      </c>
      <c r="BB12" s="1">
        <f t="shared" si="7"/>
        <v>90</v>
      </c>
      <c r="BC12" s="1">
        <f t="shared" si="8"/>
        <v>66</v>
      </c>
      <c r="BD12" s="1">
        <f t="shared" si="9"/>
        <v>0</v>
      </c>
      <c r="BE12" s="1">
        <f t="shared" si="10"/>
        <v>0</v>
      </c>
      <c r="BF12" t="s">
        <v>18</v>
      </c>
      <c r="BG12" t="s">
        <v>33</v>
      </c>
      <c r="BH12" t="s">
        <v>34</v>
      </c>
      <c r="BI12" t="s">
        <v>35</v>
      </c>
      <c r="BJ12">
        <v>107.5</v>
      </c>
      <c r="BK12" t="s">
        <v>86</v>
      </c>
      <c r="BL12" t="s">
        <v>36</v>
      </c>
    </row>
    <row r="13" spans="1:64" x14ac:dyDescent="0.25">
      <c r="A13">
        <v>12</v>
      </c>
      <c r="B13" t="s">
        <v>39</v>
      </c>
      <c r="C13">
        <v>14454</v>
      </c>
      <c r="D13" t="s">
        <v>51</v>
      </c>
      <c r="E13" t="s">
        <v>7</v>
      </c>
      <c r="F13">
        <v>34.5</v>
      </c>
      <c r="G13" t="s">
        <v>8</v>
      </c>
      <c r="H13" t="s">
        <v>8</v>
      </c>
      <c r="I13">
        <v>0</v>
      </c>
      <c r="J13" t="s">
        <v>8</v>
      </c>
      <c r="K13">
        <v>19</v>
      </c>
      <c r="L13">
        <v>0</v>
      </c>
      <c r="M13">
        <v>0</v>
      </c>
      <c r="N13" t="s">
        <v>16</v>
      </c>
      <c r="O13">
        <v>36</v>
      </c>
      <c r="P13">
        <v>23</v>
      </c>
      <c r="Q13">
        <v>14</v>
      </c>
      <c r="R13">
        <v>0</v>
      </c>
      <c r="S13">
        <v>26</v>
      </c>
      <c r="T13">
        <v>9</v>
      </c>
      <c r="U13">
        <v>0</v>
      </c>
      <c r="V13">
        <v>0</v>
      </c>
      <c r="W13" t="s">
        <v>17</v>
      </c>
      <c r="X13">
        <v>35</v>
      </c>
      <c r="Y13">
        <v>27</v>
      </c>
      <c r="Z13">
        <v>33</v>
      </c>
      <c r="AA13">
        <v>0</v>
      </c>
      <c r="AB13">
        <v>32</v>
      </c>
      <c r="AC13">
        <v>18.5</v>
      </c>
      <c r="AD13">
        <v>0</v>
      </c>
      <c r="AE13" t="s">
        <v>18</v>
      </c>
      <c r="AF13">
        <v>70.5</v>
      </c>
      <c r="AG13">
        <v>51</v>
      </c>
      <c r="AH13">
        <v>59</v>
      </c>
      <c r="AI13">
        <v>0</v>
      </c>
      <c r="AJ13">
        <v>51</v>
      </c>
      <c r="AK13">
        <v>50</v>
      </c>
      <c r="AL13">
        <v>0</v>
      </c>
      <c r="AM13">
        <v>0</v>
      </c>
      <c r="AN13" t="s">
        <v>19</v>
      </c>
      <c r="AO13">
        <v>20</v>
      </c>
      <c r="AP13">
        <v>20</v>
      </c>
      <c r="AQ13">
        <v>20</v>
      </c>
      <c r="AR13">
        <v>0</v>
      </c>
      <c r="AS13">
        <v>20</v>
      </c>
      <c r="AT13" s="1">
        <f t="shared" si="1"/>
        <v>8</v>
      </c>
      <c r="AU13">
        <v>0</v>
      </c>
      <c r="AV13" s="1">
        <f t="shared" si="2"/>
        <v>0</v>
      </c>
      <c r="AW13" s="1" t="s">
        <v>112</v>
      </c>
      <c r="AX13" s="1">
        <f t="shared" si="3"/>
        <v>91</v>
      </c>
      <c r="AY13" s="1">
        <f t="shared" si="4"/>
        <v>71</v>
      </c>
      <c r="AZ13" s="1">
        <f t="shared" si="5"/>
        <v>79</v>
      </c>
      <c r="BA13" s="1">
        <f t="shared" si="6"/>
        <v>0</v>
      </c>
      <c r="BB13" s="1">
        <f t="shared" si="7"/>
        <v>71</v>
      </c>
      <c r="BC13" s="1">
        <f t="shared" si="8"/>
        <v>58</v>
      </c>
      <c r="BD13" s="1">
        <f t="shared" si="9"/>
        <v>0</v>
      </c>
      <c r="BE13" s="1">
        <f t="shared" si="10"/>
        <v>0</v>
      </c>
      <c r="BF13" t="s">
        <v>18</v>
      </c>
      <c r="BG13" t="s">
        <v>33</v>
      </c>
      <c r="BH13" t="s">
        <v>34</v>
      </c>
      <c r="BI13" t="s">
        <v>35</v>
      </c>
      <c r="BJ13">
        <v>104</v>
      </c>
      <c r="BK13" t="s">
        <v>87</v>
      </c>
      <c r="BL13" t="s">
        <v>88</v>
      </c>
    </row>
    <row r="14" spans="1:64" x14ac:dyDescent="0.25">
      <c r="A14">
        <v>13</v>
      </c>
      <c r="B14" t="s">
        <v>39</v>
      </c>
      <c r="C14">
        <v>14354</v>
      </c>
      <c r="D14" t="s">
        <v>52</v>
      </c>
      <c r="E14" t="s">
        <v>7</v>
      </c>
      <c r="F14">
        <v>29</v>
      </c>
      <c r="G14">
        <v>24</v>
      </c>
      <c r="H14">
        <v>20</v>
      </c>
      <c r="I14">
        <v>0</v>
      </c>
      <c r="J14">
        <v>16</v>
      </c>
      <c r="K14">
        <v>0</v>
      </c>
      <c r="L14">
        <v>31</v>
      </c>
      <c r="M14">
        <v>0</v>
      </c>
      <c r="N14" t="s">
        <v>16</v>
      </c>
      <c r="O14">
        <v>17</v>
      </c>
      <c r="P14">
        <v>29</v>
      </c>
      <c r="Q14">
        <v>14</v>
      </c>
      <c r="R14">
        <v>0</v>
      </c>
      <c r="S14">
        <v>24</v>
      </c>
      <c r="T14">
        <v>0</v>
      </c>
      <c r="U14">
        <v>29</v>
      </c>
      <c r="V14">
        <v>0</v>
      </c>
      <c r="W14" t="s">
        <v>17</v>
      </c>
      <c r="X14">
        <v>13.5</v>
      </c>
      <c r="Y14">
        <v>27</v>
      </c>
      <c r="Z14">
        <v>20</v>
      </c>
      <c r="AA14">
        <v>0</v>
      </c>
      <c r="AB14">
        <v>23</v>
      </c>
      <c r="AC14">
        <v>0</v>
      </c>
      <c r="AD14">
        <v>25</v>
      </c>
      <c r="AE14" t="s">
        <v>18</v>
      </c>
      <c r="AF14">
        <v>30.5</v>
      </c>
      <c r="AG14">
        <v>53</v>
      </c>
      <c r="AH14">
        <v>37</v>
      </c>
      <c r="AI14">
        <v>0</v>
      </c>
      <c r="AJ14">
        <v>41</v>
      </c>
      <c r="AK14">
        <v>0</v>
      </c>
      <c r="AL14">
        <v>30</v>
      </c>
      <c r="AM14">
        <v>0</v>
      </c>
      <c r="AN14" t="s">
        <v>19</v>
      </c>
      <c r="AO14">
        <v>14</v>
      </c>
      <c r="AP14">
        <v>19</v>
      </c>
      <c r="AQ14">
        <v>19</v>
      </c>
      <c r="AR14">
        <v>0</v>
      </c>
      <c r="AS14">
        <v>18</v>
      </c>
      <c r="AT14" s="1">
        <f t="shared" si="1"/>
        <v>0</v>
      </c>
      <c r="AU14">
        <v>15</v>
      </c>
      <c r="AV14" s="1">
        <f t="shared" si="2"/>
        <v>0</v>
      </c>
      <c r="AW14" s="1" t="s">
        <v>112</v>
      </c>
      <c r="AX14" s="1">
        <f t="shared" si="3"/>
        <v>45</v>
      </c>
      <c r="AY14" s="1">
        <f t="shared" si="4"/>
        <v>72</v>
      </c>
      <c r="AZ14" s="1">
        <f t="shared" si="5"/>
        <v>56</v>
      </c>
      <c r="BA14" s="1">
        <f t="shared" si="6"/>
        <v>0</v>
      </c>
      <c r="BB14" s="1">
        <f t="shared" si="7"/>
        <v>59</v>
      </c>
      <c r="BC14" s="1">
        <f t="shared" si="8"/>
        <v>0</v>
      </c>
      <c r="BD14" s="1">
        <f t="shared" si="9"/>
        <v>45</v>
      </c>
      <c r="BE14" s="1">
        <f t="shared" si="10"/>
        <v>0</v>
      </c>
      <c r="BF14" t="s">
        <v>18</v>
      </c>
      <c r="BG14" t="s">
        <v>33</v>
      </c>
      <c r="BH14" t="s">
        <v>34</v>
      </c>
      <c r="BI14" t="s">
        <v>35</v>
      </c>
      <c r="BJ14">
        <v>113</v>
      </c>
      <c r="BK14" t="s">
        <v>89</v>
      </c>
      <c r="BL14" t="s">
        <v>90</v>
      </c>
    </row>
    <row r="15" spans="1:64" x14ac:dyDescent="0.25">
      <c r="A15">
        <v>14</v>
      </c>
      <c r="B15" t="s">
        <v>39</v>
      </c>
      <c r="C15">
        <v>15484</v>
      </c>
      <c r="D15" t="s">
        <v>53</v>
      </c>
      <c r="E15" t="s">
        <v>7</v>
      </c>
      <c r="F15">
        <v>37</v>
      </c>
      <c r="G15">
        <v>34</v>
      </c>
      <c r="H15">
        <v>26</v>
      </c>
      <c r="I15">
        <v>0</v>
      </c>
      <c r="J15">
        <v>34</v>
      </c>
      <c r="K15">
        <v>0</v>
      </c>
      <c r="L15">
        <v>32</v>
      </c>
      <c r="M15">
        <v>0</v>
      </c>
      <c r="N15" t="s">
        <v>16</v>
      </c>
      <c r="O15">
        <v>32.5</v>
      </c>
      <c r="P15">
        <v>27</v>
      </c>
      <c r="Q15">
        <v>23</v>
      </c>
      <c r="R15">
        <v>0</v>
      </c>
      <c r="S15" t="s">
        <v>8</v>
      </c>
      <c r="T15">
        <v>0</v>
      </c>
      <c r="U15">
        <v>32</v>
      </c>
      <c r="V15">
        <v>0</v>
      </c>
      <c r="W15" t="s">
        <v>17</v>
      </c>
      <c r="X15">
        <v>35.5</v>
      </c>
      <c r="Y15">
        <v>31</v>
      </c>
      <c r="Z15">
        <v>36</v>
      </c>
      <c r="AA15">
        <v>0</v>
      </c>
      <c r="AB15">
        <v>20</v>
      </c>
      <c r="AC15">
        <v>0</v>
      </c>
      <c r="AD15">
        <v>33</v>
      </c>
      <c r="AE15" t="s">
        <v>18</v>
      </c>
      <c r="AF15">
        <v>59.5</v>
      </c>
      <c r="AG15">
        <v>46</v>
      </c>
      <c r="AH15">
        <v>53</v>
      </c>
      <c r="AI15">
        <v>0</v>
      </c>
      <c r="AJ15">
        <v>56</v>
      </c>
      <c r="AK15">
        <v>0</v>
      </c>
      <c r="AL15">
        <v>52</v>
      </c>
      <c r="AM15">
        <v>0</v>
      </c>
      <c r="AN15" t="s">
        <v>19</v>
      </c>
      <c r="AO15">
        <v>18</v>
      </c>
      <c r="AP15">
        <v>20</v>
      </c>
      <c r="AQ15">
        <v>18</v>
      </c>
      <c r="AR15">
        <v>0</v>
      </c>
      <c r="AS15">
        <v>20</v>
      </c>
      <c r="AT15" s="1">
        <f t="shared" si="1"/>
        <v>0</v>
      </c>
      <c r="AU15">
        <v>17</v>
      </c>
      <c r="AV15" s="1">
        <f t="shared" si="2"/>
        <v>0</v>
      </c>
      <c r="AW15" s="1" t="s">
        <v>112</v>
      </c>
      <c r="AX15" s="1">
        <f t="shared" si="3"/>
        <v>78</v>
      </c>
      <c r="AY15" s="1">
        <f t="shared" si="4"/>
        <v>66</v>
      </c>
      <c r="AZ15" s="1">
        <f t="shared" si="5"/>
        <v>71</v>
      </c>
      <c r="BA15" s="1">
        <f t="shared" si="6"/>
        <v>0</v>
      </c>
      <c r="BB15" s="1">
        <f t="shared" si="7"/>
        <v>76</v>
      </c>
      <c r="BC15" s="1">
        <f t="shared" si="8"/>
        <v>0</v>
      </c>
      <c r="BD15" s="1">
        <f t="shared" si="9"/>
        <v>69</v>
      </c>
      <c r="BE15" s="1">
        <f t="shared" si="10"/>
        <v>0</v>
      </c>
      <c r="BF15" t="s">
        <v>18</v>
      </c>
      <c r="BG15" t="s">
        <v>33</v>
      </c>
      <c r="BH15" t="s">
        <v>34</v>
      </c>
      <c r="BI15" t="s">
        <v>35</v>
      </c>
      <c r="BJ15">
        <v>112</v>
      </c>
      <c r="BK15" t="s">
        <v>91</v>
      </c>
      <c r="BL15" t="s">
        <v>36</v>
      </c>
    </row>
    <row r="16" spans="1:64" x14ac:dyDescent="0.25">
      <c r="A16">
        <v>15</v>
      </c>
      <c r="B16" t="s">
        <v>39</v>
      </c>
      <c r="C16">
        <v>14325</v>
      </c>
      <c r="D16" t="s">
        <v>54</v>
      </c>
      <c r="E16" t="s">
        <v>7</v>
      </c>
      <c r="F16">
        <v>37.5</v>
      </c>
      <c r="G16">
        <v>29</v>
      </c>
      <c r="H16">
        <v>35</v>
      </c>
      <c r="I16">
        <v>0</v>
      </c>
      <c r="J16">
        <v>34</v>
      </c>
      <c r="K16">
        <v>0</v>
      </c>
      <c r="L16">
        <v>38</v>
      </c>
      <c r="M16">
        <v>0</v>
      </c>
      <c r="N16" t="s">
        <v>16</v>
      </c>
      <c r="O16">
        <v>31</v>
      </c>
      <c r="P16">
        <v>31</v>
      </c>
      <c r="Q16">
        <v>32</v>
      </c>
      <c r="R16">
        <v>0</v>
      </c>
      <c r="S16">
        <v>39</v>
      </c>
      <c r="T16">
        <v>0</v>
      </c>
      <c r="U16">
        <v>38</v>
      </c>
      <c r="V16">
        <v>0</v>
      </c>
      <c r="W16" t="s">
        <v>17</v>
      </c>
      <c r="X16">
        <v>29</v>
      </c>
      <c r="Y16">
        <v>29</v>
      </c>
      <c r="Z16" t="s">
        <v>8</v>
      </c>
      <c r="AA16">
        <v>0</v>
      </c>
      <c r="AB16" t="s">
        <v>8</v>
      </c>
      <c r="AC16">
        <v>0</v>
      </c>
      <c r="AD16">
        <v>39</v>
      </c>
      <c r="AE16" t="s">
        <v>18</v>
      </c>
      <c r="AF16">
        <v>60</v>
      </c>
      <c r="AG16">
        <v>60</v>
      </c>
      <c r="AH16">
        <v>70</v>
      </c>
      <c r="AI16">
        <v>0</v>
      </c>
      <c r="AJ16">
        <v>69</v>
      </c>
      <c r="AK16">
        <v>0</v>
      </c>
      <c r="AL16">
        <v>72</v>
      </c>
      <c r="AM16">
        <v>0</v>
      </c>
      <c r="AN16" t="s">
        <v>19</v>
      </c>
      <c r="AO16">
        <v>19</v>
      </c>
      <c r="AP16">
        <v>20</v>
      </c>
      <c r="AQ16">
        <v>20</v>
      </c>
      <c r="AR16">
        <v>0</v>
      </c>
      <c r="AS16">
        <v>20</v>
      </c>
      <c r="AT16" s="1">
        <f t="shared" si="1"/>
        <v>0</v>
      </c>
      <c r="AU16">
        <v>19</v>
      </c>
      <c r="AV16" s="1">
        <f t="shared" si="2"/>
        <v>0</v>
      </c>
      <c r="AW16" s="1" t="s">
        <v>112</v>
      </c>
      <c r="AX16" s="1">
        <f t="shared" si="3"/>
        <v>79</v>
      </c>
      <c r="AY16" s="1">
        <f t="shared" si="4"/>
        <v>80</v>
      </c>
      <c r="AZ16" s="1">
        <f t="shared" si="5"/>
        <v>90</v>
      </c>
      <c r="BA16" s="1">
        <f t="shared" si="6"/>
        <v>0</v>
      </c>
      <c r="BB16" s="1">
        <f t="shared" si="7"/>
        <v>89</v>
      </c>
      <c r="BC16" s="1">
        <f t="shared" si="8"/>
        <v>0</v>
      </c>
      <c r="BD16" s="1">
        <f t="shared" si="9"/>
        <v>91</v>
      </c>
      <c r="BE16" s="1">
        <f t="shared" si="10"/>
        <v>0</v>
      </c>
      <c r="BF16" t="s">
        <v>18</v>
      </c>
      <c r="BG16" t="s">
        <v>33</v>
      </c>
      <c r="BH16" t="s">
        <v>34</v>
      </c>
      <c r="BI16" t="s">
        <v>35</v>
      </c>
      <c r="BJ16">
        <v>109.5</v>
      </c>
      <c r="BK16" t="s">
        <v>92</v>
      </c>
      <c r="BL16" t="s">
        <v>36</v>
      </c>
    </row>
    <row r="17" spans="1:64" x14ac:dyDescent="0.25">
      <c r="A17">
        <v>16</v>
      </c>
      <c r="B17" t="s">
        <v>39</v>
      </c>
      <c r="C17">
        <v>14553</v>
      </c>
      <c r="D17" t="s">
        <v>55</v>
      </c>
      <c r="E17" t="s">
        <v>7</v>
      </c>
      <c r="F17">
        <v>17.5</v>
      </c>
      <c r="G17">
        <v>17</v>
      </c>
      <c r="H17">
        <v>14</v>
      </c>
      <c r="I17">
        <v>0</v>
      </c>
      <c r="J17">
        <v>19</v>
      </c>
      <c r="K17">
        <v>0</v>
      </c>
      <c r="L17">
        <v>18</v>
      </c>
      <c r="M17">
        <v>0</v>
      </c>
      <c r="N17" t="s">
        <v>16</v>
      </c>
      <c r="O17">
        <v>16</v>
      </c>
      <c r="P17">
        <v>17</v>
      </c>
      <c r="Q17">
        <v>14</v>
      </c>
      <c r="R17">
        <v>0</v>
      </c>
      <c r="S17">
        <v>23</v>
      </c>
      <c r="T17">
        <v>0</v>
      </c>
      <c r="U17">
        <v>25</v>
      </c>
      <c r="V17">
        <v>0</v>
      </c>
      <c r="W17" t="s">
        <v>17</v>
      </c>
      <c r="X17">
        <v>14</v>
      </c>
      <c r="Y17">
        <v>16</v>
      </c>
      <c r="Z17">
        <v>16</v>
      </c>
      <c r="AA17">
        <v>0</v>
      </c>
      <c r="AB17">
        <v>21</v>
      </c>
      <c r="AC17">
        <v>0</v>
      </c>
      <c r="AD17">
        <v>24</v>
      </c>
      <c r="AE17" t="s">
        <v>18</v>
      </c>
      <c r="AF17">
        <v>30</v>
      </c>
      <c r="AG17">
        <v>28</v>
      </c>
      <c r="AH17">
        <v>40</v>
      </c>
      <c r="AI17">
        <v>0</v>
      </c>
      <c r="AJ17">
        <v>39</v>
      </c>
      <c r="AK17">
        <v>0</v>
      </c>
      <c r="AL17">
        <v>27</v>
      </c>
      <c r="AM17">
        <v>0</v>
      </c>
      <c r="AN17" t="s">
        <v>19</v>
      </c>
      <c r="AO17">
        <v>14</v>
      </c>
      <c r="AP17">
        <v>18</v>
      </c>
      <c r="AQ17">
        <v>20</v>
      </c>
      <c r="AR17">
        <v>0</v>
      </c>
      <c r="AS17">
        <v>18</v>
      </c>
      <c r="AT17" s="1">
        <f t="shared" si="1"/>
        <v>0</v>
      </c>
      <c r="AU17">
        <v>12</v>
      </c>
      <c r="AV17" s="1">
        <f t="shared" si="2"/>
        <v>0</v>
      </c>
      <c r="AW17" s="1" t="s">
        <v>112</v>
      </c>
      <c r="AX17" s="1">
        <f t="shared" si="3"/>
        <v>44</v>
      </c>
      <c r="AY17" s="1">
        <f t="shared" si="4"/>
        <v>46</v>
      </c>
      <c r="AZ17" s="1">
        <f t="shared" si="5"/>
        <v>60</v>
      </c>
      <c r="BA17" s="1">
        <f t="shared" si="6"/>
        <v>0</v>
      </c>
      <c r="BB17" s="1">
        <f t="shared" si="7"/>
        <v>57</v>
      </c>
      <c r="BC17" s="1">
        <f t="shared" si="8"/>
        <v>0</v>
      </c>
      <c r="BD17" s="1">
        <f t="shared" si="9"/>
        <v>39</v>
      </c>
      <c r="BE17" s="1">
        <f t="shared" si="10"/>
        <v>0</v>
      </c>
      <c r="BF17" t="s">
        <v>18</v>
      </c>
      <c r="BG17" t="s">
        <v>33</v>
      </c>
      <c r="BH17" t="s">
        <v>34</v>
      </c>
      <c r="BI17" t="s">
        <v>35</v>
      </c>
      <c r="BJ17">
        <v>112</v>
      </c>
      <c r="BK17" t="s">
        <v>93</v>
      </c>
      <c r="BL17" t="s">
        <v>36</v>
      </c>
    </row>
    <row r="18" spans="1:64" x14ac:dyDescent="0.25">
      <c r="A18">
        <v>17</v>
      </c>
      <c r="B18" t="s">
        <v>39</v>
      </c>
      <c r="C18">
        <v>14339</v>
      </c>
      <c r="D18" t="s">
        <v>56</v>
      </c>
      <c r="E18" t="s">
        <v>7</v>
      </c>
      <c r="F18">
        <v>26.5</v>
      </c>
      <c r="G18">
        <v>29</v>
      </c>
      <c r="H18" t="s">
        <v>8</v>
      </c>
      <c r="I18">
        <v>0</v>
      </c>
      <c r="J18">
        <v>25</v>
      </c>
      <c r="K18">
        <v>0</v>
      </c>
      <c r="L18">
        <v>21</v>
      </c>
      <c r="M18">
        <v>0</v>
      </c>
      <c r="N18" t="s">
        <v>16</v>
      </c>
      <c r="O18">
        <v>24.5</v>
      </c>
      <c r="P18">
        <v>24</v>
      </c>
      <c r="Q18">
        <v>16</v>
      </c>
      <c r="R18">
        <v>0</v>
      </c>
      <c r="S18">
        <v>27</v>
      </c>
      <c r="T18">
        <v>0</v>
      </c>
      <c r="U18">
        <v>23</v>
      </c>
      <c r="V18">
        <v>0</v>
      </c>
      <c r="W18" t="s">
        <v>17</v>
      </c>
      <c r="X18">
        <v>24.5</v>
      </c>
      <c r="Y18">
        <v>17</v>
      </c>
      <c r="Z18">
        <v>21</v>
      </c>
      <c r="AA18">
        <v>0</v>
      </c>
      <c r="AB18" t="s">
        <v>8</v>
      </c>
      <c r="AC18">
        <v>0</v>
      </c>
      <c r="AD18">
        <v>25</v>
      </c>
      <c r="AE18" t="s">
        <v>18</v>
      </c>
      <c r="AF18">
        <v>40</v>
      </c>
      <c r="AG18">
        <v>33</v>
      </c>
      <c r="AH18">
        <v>44</v>
      </c>
      <c r="AI18">
        <v>0</v>
      </c>
      <c r="AJ18">
        <v>44</v>
      </c>
      <c r="AK18">
        <v>0</v>
      </c>
      <c r="AL18">
        <v>33</v>
      </c>
      <c r="AM18">
        <v>0</v>
      </c>
      <c r="AN18" t="s">
        <v>19</v>
      </c>
      <c r="AO18">
        <v>15</v>
      </c>
      <c r="AP18">
        <v>18</v>
      </c>
      <c r="AQ18">
        <v>20</v>
      </c>
      <c r="AR18">
        <v>0</v>
      </c>
      <c r="AS18">
        <v>19</v>
      </c>
      <c r="AT18" s="1">
        <f t="shared" si="1"/>
        <v>0</v>
      </c>
      <c r="AU18">
        <v>16</v>
      </c>
      <c r="AV18" s="1">
        <f t="shared" si="2"/>
        <v>0</v>
      </c>
      <c r="AW18" s="1" t="s">
        <v>112</v>
      </c>
      <c r="AX18" s="1">
        <f t="shared" si="3"/>
        <v>55</v>
      </c>
      <c r="AY18" s="1">
        <f t="shared" si="4"/>
        <v>51</v>
      </c>
      <c r="AZ18" s="1">
        <f t="shared" si="5"/>
        <v>64</v>
      </c>
      <c r="BA18" s="1">
        <f t="shared" si="6"/>
        <v>0</v>
      </c>
      <c r="BB18" s="1">
        <f t="shared" si="7"/>
        <v>63</v>
      </c>
      <c r="BC18" s="1">
        <f t="shared" si="8"/>
        <v>0</v>
      </c>
      <c r="BD18" s="1">
        <f t="shared" si="9"/>
        <v>49</v>
      </c>
      <c r="BE18" s="1">
        <f t="shared" si="10"/>
        <v>0</v>
      </c>
      <c r="BF18" t="s">
        <v>18</v>
      </c>
      <c r="BG18" t="s">
        <v>33</v>
      </c>
      <c r="BH18" t="s">
        <v>34</v>
      </c>
      <c r="BI18" t="s">
        <v>35</v>
      </c>
      <c r="BJ18">
        <v>105</v>
      </c>
      <c r="BK18" t="s">
        <v>94</v>
      </c>
      <c r="BL18" t="s">
        <v>36</v>
      </c>
    </row>
    <row r="19" spans="1:64" x14ac:dyDescent="0.25">
      <c r="A19">
        <v>18</v>
      </c>
      <c r="B19" t="s">
        <v>39</v>
      </c>
      <c r="C19">
        <v>18332</v>
      </c>
      <c r="D19" t="s">
        <v>57</v>
      </c>
      <c r="E19" t="s">
        <v>7</v>
      </c>
      <c r="F19">
        <v>30.5</v>
      </c>
      <c r="G19">
        <v>26</v>
      </c>
      <c r="H19">
        <v>32</v>
      </c>
      <c r="I19">
        <v>0</v>
      </c>
      <c r="J19">
        <v>32</v>
      </c>
      <c r="K19">
        <v>0</v>
      </c>
      <c r="L19">
        <v>34</v>
      </c>
      <c r="M19">
        <v>0</v>
      </c>
      <c r="N19" t="s">
        <v>16</v>
      </c>
      <c r="O19">
        <v>31.5</v>
      </c>
      <c r="P19">
        <v>20</v>
      </c>
      <c r="Q19">
        <v>26</v>
      </c>
      <c r="R19">
        <v>0</v>
      </c>
      <c r="S19">
        <v>33</v>
      </c>
      <c r="T19">
        <v>0</v>
      </c>
      <c r="U19">
        <v>36</v>
      </c>
      <c r="V19">
        <v>0</v>
      </c>
      <c r="W19" t="s">
        <v>17</v>
      </c>
      <c r="X19">
        <v>33.5</v>
      </c>
      <c r="Y19">
        <v>30</v>
      </c>
      <c r="Z19">
        <v>29</v>
      </c>
      <c r="AA19">
        <v>0</v>
      </c>
      <c r="AB19">
        <v>37</v>
      </c>
      <c r="AC19">
        <v>0</v>
      </c>
      <c r="AD19">
        <v>38</v>
      </c>
      <c r="AE19" t="s">
        <v>18</v>
      </c>
      <c r="AF19">
        <v>46</v>
      </c>
      <c r="AG19">
        <v>55</v>
      </c>
      <c r="AH19">
        <v>61</v>
      </c>
      <c r="AI19">
        <v>0</v>
      </c>
      <c r="AJ19">
        <v>64</v>
      </c>
      <c r="AK19">
        <v>0</v>
      </c>
      <c r="AL19">
        <v>62</v>
      </c>
      <c r="AM19">
        <v>0</v>
      </c>
      <c r="AN19" t="s">
        <v>19</v>
      </c>
      <c r="AO19">
        <v>19</v>
      </c>
      <c r="AP19">
        <v>20</v>
      </c>
      <c r="AQ19">
        <v>18</v>
      </c>
      <c r="AR19">
        <v>0</v>
      </c>
      <c r="AS19">
        <v>19</v>
      </c>
      <c r="AT19" s="1">
        <f t="shared" si="1"/>
        <v>0</v>
      </c>
      <c r="AU19">
        <v>17</v>
      </c>
      <c r="AV19" s="1">
        <f t="shared" si="2"/>
        <v>0</v>
      </c>
      <c r="AW19" s="1" t="s">
        <v>112</v>
      </c>
      <c r="AX19" s="1">
        <f t="shared" si="3"/>
        <v>65</v>
      </c>
      <c r="AY19" s="1">
        <f t="shared" si="4"/>
        <v>75</v>
      </c>
      <c r="AZ19" s="1">
        <f t="shared" si="5"/>
        <v>79</v>
      </c>
      <c r="BA19" s="1">
        <f t="shared" si="6"/>
        <v>0</v>
      </c>
      <c r="BB19" s="1">
        <f t="shared" si="7"/>
        <v>83</v>
      </c>
      <c r="BC19" s="1">
        <f t="shared" si="8"/>
        <v>0</v>
      </c>
      <c r="BD19" s="1">
        <f t="shared" si="9"/>
        <v>79</v>
      </c>
      <c r="BE19" s="1">
        <f t="shared" si="10"/>
        <v>0</v>
      </c>
      <c r="BF19" t="s">
        <v>18</v>
      </c>
      <c r="BG19" t="s">
        <v>33</v>
      </c>
      <c r="BH19" t="s">
        <v>34</v>
      </c>
      <c r="BI19" t="s">
        <v>35</v>
      </c>
      <c r="BJ19">
        <v>102</v>
      </c>
      <c r="BK19" t="s">
        <v>95</v>
      </c>
      <c r="BL19" t="s">
        <v>36</v>
      </c>
    </row>
    <row r="20" spans="1:64" x14ac:dyDescent="0.25">
      <c r="A20">
        <v>19</v>
      </c>
      <c r="B20" t="s">
        <v>39</v>
      </c>
      <c r="C20">
        <v>15762</v>
      </c>
      <c r="D20" t="s">
        <v>58</v>
      </c>
      <c r="E20" t="s">
        <v>7</v>
      </c>
      <c r="F20">
        <v>20.5</v>
      </c>
      <c r="G20">
        <v>18</v>
      </c>
      <c r="H20">
        <v>17</v>
      </c>
      <c r="I20">
        <v>0</v>
      </c>
      <c r="J20">
        <v>12</v>
      </c>
      <c r="K20">
        <v>0</v>
      </c>
      <c r="L20">
        <v>13</v>
      </c>
      <c r="M20">
        <v>0</v>
      </c>
      <c r="N20" t="s">
        <v>16</v>
      </c>
      <c r="O20">
        <v>17</v>
      </c>
      <c r="P20">
        <v>17</v>
      </c>
      <c r="Q20">
        <v>9</v>
      </c>
      <c r="R20">
        <v>0</v>
      </c>
      <c r="S20">
        <v>25</v>
      </c>
      <c r="T20">
        <v>0</v>
      </c>
      <c r="U20">
        <v>25</v>
      </c>
      <c r="V20">
        <v>0</v>
      </c>
      <c r="W20" t="s">
        <v>17</v>
      </c>
      <c r="X20">
        <v>12.5</v>
      </c>
      <c r="Y20">
        <v>17</v>
      </c>
      <c r="Z20">
        <v>19</v>
      </c>
      <c r="AA20">
        <v>0</v>
      </c>
      <c r="AB20">
        <v>22</v>
      </c>
      <c r="AC20">
        <v>0</v>
      </c>
      <c r="AD20">
        <v>25</v>
      </c>
      <c r="AE20" t="s">
        <v>18</v>
      </c>
      <c r="AF20">
        <v>30.5</v>
      </c>
      <c r="AG20">
        <v>29</v>
      </c>
      <c r="AH20">
        <v>27</v>
      </c>
      <c r="AI20">
        <v>0</v>
      </c>
      <c r="AJ20">
        <v>23</v>
      </c>
      <c r="AK20">
        <v>0</v>
      </c>
      <c r="AL20">
        <v>21</v>
      </c>
      <c r="AM20">
        <v>0</v>
      </c>
      <c r="AN20" t="s">
        <v>19</v>
      </c>
      <c r="AO20">
        <v>14</v>
      </c>
      <c r="AP20">
        <v>18</v>
      </c>
      <c r="AQ20">
        <v>18</v>
      </c>
      <c r="AR20">
        <v>0</v>
      </c>
      <c r="AS20">
        <v>16</v>
      </c>
      <c r="AT20" s="1">
        <f t="shared" si="1"/>
        <v>0</v>
      </c>
      <c r="AU20">
        <v>12</v>
      </c>
      <c r="AV20" s="1">
        <f t="shared" si="2"/>
        <v>0</v>
      </c>
      <c r="AW20" s="1" t="s">
        <v>112</v>
      </c>
      <c r="AX20" s="1">
        <f t="shared" si="3"/>
        <v>45</v>
      </c>
      <c r="AY20" s="1">
        <f t="shared" si="4"/>
        <v>47</v>
      </c>
      <c r="AZ20" s="1">
        <f t="shared" si="5"/>
        <v>45</v>
      </c>
      <c r="BA20" s="1">
        <f t="shared" si="6"/>
        <v>0</v>
      </c>
      <c r="BB20" s="1">
        <f t="shared" si="7"/>
        <v>39</v>
      </c>
      <c r="BC20" s="1">
        <f t="shared" si="8"/>
        <v>0</v>
      </c>
      <c r="BD20" s="1">
        <f t="shared" si="9"/>
        <v>33</v>
      </c>
      <c r="BE20" s="1">
        <f t="shared" si="10"/>
        <v>0</v>
      </c>
      <c r="BF20" t="s">
        <v>18</v>
      </c>
      <c r="BG20" t="s">
        <v>33</v>
      </c>
      <c r="BH20" t="s">
        <v>34</v>
      </c>
      <c r="BI20" t="s">
        <v>35</v>
      </c>
      <c r="BJ20">
        <v>117</v>
      </c>
      <c r="BK20" t="s">
        <v>96</v>
      </c>
      <c r="BL20" t="s">
        <v>36</v>
      </c>
    </row>
    <row r="21" spans="1:64" x14ac:dyDescent="0.25">
      <c r="A21">
        <v>20</v>
      </c>
      <c r="B21" t="s">
        <v>39</v>
      </c>
      <c r="C21">
        <v>18488</v>
      </c>
      <c r="D21" t="s">
        <v>59</v>
      </c>
      <c r="E21" t="s">
        <v>7</v>
      </c>
      <c r="F21">
        <v>23.5</v>
      </c>
      <c r="G21">
        <v>18</v>
      </c>
      <c r="H21">
        <v>20</v>
      </c>
      <c r="I21">
        <v>0</v>
      </c>
      <c r="J21">
        <v>14</v>
      </c>
      <c r="K21">
        <v>0</v>
      </c>
      <c r="L21">
        <v>17</v>
      </c>
      <c r="M21">
        <v>0</v>
      </c>
      <c r="N21" t="s">
        <v>16</v>
      </c>
      <c r="O21">
        <v>30</v>
      </c>
      <c r="P21">
        <v>21</v>
      </c>
      <c r="Q21">
        <v>17</v>
      </c>
      <c r="R21">
        <v>0</v>
      </c>
      <c r="S21">
        <v>16</v>
      </c>
      <c r="T21">
        <v>0</v>
      </c>
      <c r="U21">
        <v>18</v>
      </c>
      <c r="V21">
        <v>0</v>
      </c>
      <c r="W21" t="s">
        <v>17</v>
      </c>
      <c r="X21">
        <v>24.5</v>
      </c>
      <c r="Y21">
        <v>15</v>
      </c>
      <c r="Z21">
        <v>24</v>
      </c>
      <c r="AA21">
        <v>0</v>
      </c>
      <c r="AB21">
        <v>23</v>
      </c>
      <c r="AC21">
        <v>0</v>
      </c>
      <c r="AD21">
        <v>21</v>
      </c>
      <c r="AE21" t="s">
        <v>18</v>
      </c>
      <c r="AF21">
        <v>38.5</v>
      </c>
      <c r="AG21">
        <v>30</v>
      </c>
      <c r="AH21">
        <v>39</v>
      </c>
      <c r="AI21">
        <v>0</v>
      </c>
      <c r="AJ21">
        <v>42</v>
      </c>
      <c r="AK21">
        <v>0</v>
      </c>
      <c r="AL21">
        <v>34</v>
      </c>
      <c r="AM21">
        <v>0</v>
      </c>
      <c r="AN21" t="s">
        <v>19</v>
      </c>
      <c r="AO21">
        <v>16</v>
      </c>
      <c r="AP21">
        <v>18</v>
      </c>
      <c r="AQ21">
        <v>19</v>
      </c>
      <c r="AR21">
        <v>0</v>
      </c>
      <c r="AS21">
        <v>18</v>
      </c>
      <c r="AT21" s="1">
        <f t="shared" si="1"/>
        <v>0</v>
      </c>
      <c r="AU21">
        <v>14</v>
      </c>
      <c r="AV21" s="1">
        <f t="shared" si="2"/>
        <v>0</v>
      </c>
      <c r="AW21" s="1" t="s">
        <v>112</v>
      </c>
      <c r="AX21" s="1">
        <f t="shared" si="3"/>
        <v>55</v>
      </c>
      <c r="AY21" s="1">
        <f t="shared" si="4"/>
        <v>48</v>
      </c>
      <c r="AZ21" s="1">
        <f t="shared" si="5"/>
        <v>58</v>
      </c>
      <c r="BA21" s="1">
        <f t="shared" si="6"/>
        <v>0</v>
      </c>
      <c r="BB21" s="1">
        <f t="shared" si="7"/>
        <v>60</v>
      </c>
      <c r="BC21" s="1">
        <f t="shared" si="8"/>
        <v>0</v>
      </c>
      <c r="BD21" s="1">
        <f t="shared" si="9"/>
        <v>48</v>
      </c>
      <c r="BE21" s="1">
        <f t="shared" si="10"/>
        <v>0</v>
      </c>
      <c r="BF21" t="s">
        <v>18</v>
      </c>
      <c r="BG21" t="s">
        <v>33</v>
      </c>
      <c r="BH21" t="s">
        <v>34</v>
      </c>
      <c r="BI21" t="s">
        <v>35</v>
      </c>
      <c r="BJ21">
        <v>108</v>
      </c>
      <c r="BK21" t="s">
        <v>97</v>
      </c>
      <c r="BL21" t="s">
        <v>98</v>
      </c>
    </row>
    <row r="22" spans="1:64" x14ac:dyDescent="0.25">
      <c r="A22">
        <v>21</v>
      </c>
      <c r="B22" t="s">
        <v>39</v>
      </c>
      <c r="C22">
        <v>14546</v>
      </c>
      <c r="D22" t="s">
        <v>60</v>
      </c>
      <c r="E22" t="s">
        <v>7</v>
      </c>
      <c r="F22">
        <v>25.5</v>
      </c>
      <c r="G22">
        <v>27</v>
      </c>
      <c r="H22">
        <v>14</v>
      </c>
      <c r="I22">
        <v>15</v>
      </c>
      <c r="J22">
        <v>16</v>
      </c>
      <c r="K22">
        <v>0</v>
      </c>
      <c r="L22">
        <v>0</v>
      </c>
      <c r="M22">
        <v>0</v>
      </c>
      <c r="N22" t="s">
        <v>16</v>
      </c>
      <c r="O22">
        <v>25</v>
      </c>
      <c r="P22">
        <v>17</v>
      </c>
      <c r="Q22">
        <v>14</v>
      </c>
      <c r="R22">
        <v>18</v>
      </c>
      <c r="S22">
        <v>24</v>
      </c>
      <c r="T22">
        <v>0</v>
      </c>
      <c r="U22">
        <v>0</v>
      </c>
      <c r="V22">
        <v>0</v>
      </c>
      <c r="W22" t="s">
        <v>17</v>
      </c>
      <c r="X22">
        <v>21</v>
      </c>
      <c r="Y22">
        <v>17</v>
      </c>
      <c r="Z22">
        <v>24</v>
      </c>
      <c r="AA22">
        <v>18</v>
      </c>
      <c r="AB22">
        <v>24</v>
      </c>
      <c r="AC22">
        <v>0</v>
      </c>
      <c r="AD22">
        <v>0</v>
      </c>
      <c r="AE22" t="s">
        <v>18</v>
      </c>
      <c r="AF22">
        <v>36.5</v>
      </c>
      <c r="AG22">
        <v>34</v>
      </c>
      <c r="AH22">
        <v>47</v>
      </c>
      <c r="AI22">
        <v>47</v>
      </c>
      <c r="AJ22">
        <v>42</v>
      </c>
      <c r="AK22">
        <v>0</v>
      </c>
      <c r="AL22">
        <v>0</v>
      </c>
      <c r="AM22">
        <v>0</v>
      </c>
      <c r="AN22" t="s">
        <v>19</v>
      </c>
      <c r="AO22">
        <v>17</v>
      </c>
      <c r="AP22">
        <v>18</v>
      </c>
      <c r="AQ22">
        <v>9</v>
      </c>
      <c r="AR22">
        <v>30</v>
      </c>
      <c r="AS22">
        <v>17</v>
      </c>
      <c r="AT22" s="1">
        <f t="shared" si="1"/>
        <v>0</v>
      </c>
      <c r="AU22">
        <v>0</v>
      </c>
      <c r="AV22" s="1">
        <f t="shared" si="2"/>
        <v>0</v>
      </c>
      <c r="AW22" s="1" t="s">
        <v>112</v>
      </c>
      <c r="AX22" s="1">
        <f t="shared" si="3"/>
        <v>54</v>
      </c>
      <c r="AY22" s="1">
        <f t="shared" si="4"/>
        <v>52</v>
      </c>
      <c r="AZ22" s="1">
        <f t="shared" si="5"/>
        <v>56</v>
      </c>
      <c r="BA22" s="1">
        <f t="shared" si="6"/>
        <v>77</v>
      </c>
      <c r="BB22" s="1">
        <f t="shared" si="7"/>
        <v>59</v>
      </c>
      <c r="BC22" s="1">
        <f t="shared" si="8"/>
        <v>0</v>
      </c>
      <c r="BD22" s="1">
        <f t="shared" si="9"/>
        <v>0</v>
      </c>
      <c r="BE22" s="1">
        <f t="shared" si="10"/>
        <v>0</v>
      </c>
      <c r="BF22" t="s">
        <v>18</v>
      </c>
      <c r="BG22" t="s">
        <v>33</v>
      </c>
      <c r="BH22" t="s">
        <v>34</v>
      </c>
      <c r="BI22" t="s">
        <v>35</v>
      </c>
      <c r="BJ22">
        <v>107</v>
      </c>
      <c r="BK22" t="s">
        <v>99</v>
      </c>
      <c r="BL22" t="s">
        <v>100</v>
      </c>
    </row>
    <row r="23" spans="1:64" x14ac:dyDescent="0.25">
      <c r="A23">
        <v>22</v>
      </c>
      <c r="B23" t="s">
        <v>39</v>
      </c>
      <c r="C23">
        <v>14378</v>
      </c>
      <c r="D23" t="s">
        <v>61</v>
      </c>
      <c r="E23" t="s">
        <v>7</v>
      </c>
      <c r="F23">
        <v>27.5</v>
      </c>
      <c r="G23">
        <v>18</v>
      </c>
      <c r="H23">
        <v>9</v>
      </c>
      <c r="I23">
        <v>14</v>
      </c>
      <c r="J23">
        <v>14</v>
      </c>
      <c r="K23">
        <v>0</v>
      </c>
      <c r="L23">
        <v>0</v>
      </c>
      <c r="M23">
        <v>0</v>
      </c>
      <c r="N23" t="s">
        <v>16</v>
      </c>
      <c r="O23">
        <v>20.5</v>
      </c>
      <c r="P23">
        <v>12</v>
      </c>
      <c r="Q23">
        <v>7</v>
      </c>
      <c r="R23">
        <v>18</v>
      </c>
      <c r="S23">
        <v>24</v>
      </c>
      <c r="T23">
        <v>0</v>
      </c>
      <c r="U23">
        <v>0</v>
      </c>
      <c r="V23">
        <v>0</v>
      </c>
      <c r="W23" t="s">
        <v>17</v>
      </c>
      <c r="X23">
        <v>12</v>
      </c>
      <c r="Y23">
        <v>15</v>
      </c>
      <c r="Z23">
        <v>19</v>
      </c>
      <c r="AA23">
        <v>17</v>
      </c>
      <c r="AB23">
        <v>18</v>
      </c>
      <c r="AC23">
        <v>0</v>
      </c>
      <c r="AD23">
        <v>0</v>
      </c>
      <c r="AE23" t="s">
        <v>18</v>
      </c>
      <c r="AF23">
        <v>32.5</v>
      </c>
      <c r="AG23">
        <v>28</v>
      </c>
      <c r="AH23">
        <v>37</v>
      </c>
      <c r="AI23">
        <v>37</v>
      </c>
      <c r="AJ23">
        <v>40</v>
      </c>
      <c r="AK23">
        <v>0</v>
      </c>
      <c r="AL23">
        <v>0</v>
      </c>
      <c r="AM23">
        <v>0</v>
      </c>
      <c r="AN23" t="s">
        <v>19</v>
      </c>
      <c r="AO23">
        <v>15</v>
      </c>
      <c r="AP23">
        <v>16</v>
      </c>
      <c r="AQ23">
        <v>14</v>
      </c>
      <c r="AR23">
        <v>31</v>
      </c>
      <c r="AS23">
        <v>17</v>
      </c>
      <c r="AT23" s="1">
        <f t="shared" si="1"/>
        <v>0</v>
      </c>
      <c r="AU23">
        <v>0</v>
      </c>
      <c r="AV23" s="1">
        <f t="shared" si="2"/>
        <v>0</v>
      </c>
      <c r="AW23" s="1" t="s">
        <v>112</v>
      </c>
      <c r="AX23" s="1">
        <f t="shared" si="3"/>
        <v>48</v>
      </c>
      <c r="AY23" s="1">
        <f t="shared" si="4"/>
        <v>44</v>
      </c>
      <c r="AZ23" s="1">
        <f t="shared" si="5"/>
        <v>51</v>
      </c>
      <c r="BA23" s="1">
        <f t="shared" si="6"/>
        <v>68</v>
      </c>
      <c r="BB23" s="1">
        <f t="shared" si="7"/>
        <v>57</v>
      </c>
      <c r="BC23" s="1">
        <f t="shared" si="8"/>
        <v>0</v>
      </c>
      <c r="BD23" s="1">
        <f t="shared" si="9"/>
        <v>0</v>
      </c>
      <c r="BE23" s="1">
        <f t="shared" si="10"/>
        <v>0</v>
      </c>
      <c r="BF23" t="s">
        <v>18</v>
      </c>
      <c r="BG23" t="s">
        <v>33</v>
      </c>
      <c r="BH23" t="s">
        <v>34</v>
      </c>
      <c r="BI23" t="s">
        <v>35</v>
      </c>
      <c r="BJ23">
        <v>108</v>
      </c>
      <c r="BK23" t="s">
        <v>101</v>
      </c>
      <c r="BL23" t="s">
        <v>102</v>
      </c>
    </row>
    <row r="24" spans="1:64" x14ac:dyDescent="0.25">
      <c r="A24">
        <v>23</v>
      </c>
      <c r="B24" t="s">
        <v>39</v>
      </c>
      <c r="C24">
        <v>14385</v>
      </c>
      <c r="D24" t="s">
        <v>62</v>
      </c>
      <c r="E24" t="s">
        <v>7</v>
      </c>
      <c r="F24">
        <v>21</v>
      </c>
      <c r="G24">
        <v>17</v>
      </c>
      <c r="H24" t="s">
        <v>8</v>
      </c>
      <c r="I24">
        <v>16</v>
      </c>
      <c r="J24" t="s">
        <v>8</v>
      </c>
      <c r="K24">
        <v>0</v>
      </c>
      <c r="L24">
        <v>0</v>
      </c>
      <c r="M24">
        <v>0</v>
      </c>
      <c r="N24" t="s">
        <v>16</v>
      </c>
      <c r="O24">
        <v>18.5</v>
      </c>
      <c r="P24">
        <v>16</v>
      </c>
      <c r="Q24">
        <v>11</v>
      </c>
      <c r="R24" t="s">
        <v>8</v>
      </c>
      <c r="S24">
        <v>28</v>
      </c>
      <c r="T24">
        <v>0</v>
      </c>
      <c r="U24">
        <v>0</v>
      </c>
      <c r="V24">
        <v>0</v>
      </c>
      <c r="W24" t="s">
        <v>17</v>
      </c>
      <c r="X24">
        <v>15</v>
      </c>
      <c r="Y24">
        <v>15</v>
      </c>
      <c r="Z24">
        <v>17</v>
      </c>
      <c r="AA24">
        <v>17</v>
      </c>
      <c r="AB24">
        <v>22</v>
      </c>
      <c r="AC24">
        <v>0</v>
      </c>
      <c r="AD24">
        <v>0</v>
      </c>
      <c r="AE24" t="s">
        <v>18</v>
      </c>
      <c r="AF24">
        <v>0</v>
      </c>
      <c r="AG24" t="s">
        <v>8</v>
      </c>
      <c r="AH24" t="s">
        <v>20</v>
      </c>
      <c r="AI24" t="s">
        <v>70</v>
      </c>
      <c r="AJ24" t="s">
        <v>8</v>
      </c>
      <c r="AK24">
        <v>0</v>
      </c>
      <c r="AL24">
        <v>0</v>
      </c>
      <c r="AM24">
        <v>0</v>
      </c>
      <c r="AN24" t="s">
        <v>19</v>
      </c>
      <c r="AO24">
        <v>14</v>
      </c>
      <c r="AP24">
        <v>16</v>
      </c>
      <c r="AQ24">
        <v>10</v>
      </c>
      <c r="AR24">
        <v>31</v>
      </c>
      <c r="AS24" t="s">
        <v>8</v>
      </c>
      <c r="AT24" s="1">
        <f t="shared" si="1"/>
        <v>0</v>
      </c>
      <c r="AU24">
        <v>0</v>
      </c>
      <c r="AV24" s="1">
        <f t="shared" si="2"/>
        <v>0</v>
      </c>
      <c r="AW24" s="1" t="s">
        <v>112</v>
      </c>
      <c r="AX24" s="1">
        <f t="shared" si="3"/>
        <v>14</v>
      </c>
      <c r="AY24" s="1">
        <f t="shared" si="4"/>
        <v>16</v>
      </c>
      <c r="AZ24" s="1">
        <f t="shared" si="5"/>
        <v>10</v>
      </c>
      <c r="BA24" s="1">
        <f t="shared" si="6"/>
        <v>31</v>
      </c>
      <c r="BB24" s="1">
        <f t="shared" si="7"/>
        <v>0</v>
      </c>
      <c r="BC24" s="1">
        <f t="shared" si="8"/>
        <v>0</v>
      </c>
      <c r="BD24" s="1">
        <f t="shared" si="9"/>
        <v>0</v>
      </c>
      <c r="BE24" s="1">
        <f t="shared" si="10"/>
        <v>0</v>
      </c>
      <c r="BF24" t="s">
        <v>18</v>
      </c>
      <c r="BG24" t="s">
        <v>33</v>
      </c>
      <c r="BH24" t="s">
        <v>34</v>
      </c>
      <c r="BI24" t="s">
        <v>35</v>
      </c>
      <c r="BJ24">
        <v>102</v>
      </c>
      <c r="BL24" t="s">
        <v>36</v>
      </c>
    </row>
    <row r="25" spans="1:64" x14ac:dyDescent="0.25">
      <c r="A25">
        <v>24</v>
      </c>
      <c r="B25" t="s">
        <v>39</v>
      </c>
      <c r="C25">
        <v>18391</v>
      </c>
      <c r="D25" t="s">
        <v>63</v>
      </c>
      <c r="E25" t="s">
        <v>7</v>
      </c>
      <c r="F25">
        <v>20</v>
      </c>
      <c r="G25">
        <v>18</v>
      </c>
      <c r="H25">
        <v>11</v>
      </c>
      <c r="I25">
        <v>21</v>
      </c>
      <c r="J25">
        <v>14</v>
      </c>
      <c r="K25">
        <v>0</v>
      </c>
      <c r="L25">
        <v>0</v>
      </c>
      <c r="M25">
        <v>22</v>
      </c>
      <c r="N25" t="s">
        <v>16</v>
      </c>
      <c r="O25">
        <v>15.5</v>
      </c>
      <c r="P25">
        <v>14</v>
      </c>
      <c r="Q25">
        <v>9</v>
      </c>
      <c r="R25">
        <v>16</v>
      </c>
      <c r="S25">
        <v>14</v>
      </c>
      <c r="T25">
        <v>0</v>
      </c>
      <c r="U25">
        <v>0</v>
      </c>
      <c r="V25">
        <v>17</v>
      </c>
      <c r="W25" t="s">
        <v>17</v>
      </c>
      <c r="X25">
        <v>14</v>
      </c>
      <c r="Y25">
        <v>14</v>
      </c>
      <c r="Z25">
        <v>19</v>
      </c>
      <c r="AA25">
        <v>19</v>
      </c>
      <c r="AB25">
        <v>21</v>
      </c>
      <c r="AC25">
        <v>0</v>
      </c>
      <c r="AD25">
        <v>0</v>
      </c>
      <c r="AE25" t="s">
        <v>18</v>
      </c>
      <c r="AF25">
        <v>34</v>
      </c>
      <c r="AG25">
        <v>28</v>
      </c>
      <c r="AH25">
        <v>31</v>
      </c>
      <c r="AI25">
        <v>37</v>
      </c>
      <c r="AJ25">
        <v>31</v>
      </c>
      <c r="AK25">
        <v>0</v>
      </c>
      <c r="AL25">
        <v>0</v>
      </c>
      <c r="AM25" t="s">
        <v>9</v>
      </c>
      <c r="AN25" t="s">
        <v>19</v>
      </c>
      <c r="AO25">
        <v>16</v>
      </c>
      <c r="AP25">
        <v>15</v>
      </c>
      <c r="AQ25">
        <v>8</v>
      </c>
      <c r="AR25">
        <v>26</v>
      </c>
      <c r="AS25">
        <v>18</v>
      </c>
      <c r="AT25" s="1">
        <f t="shared" si="1"/>
        <v>0</v>
      </c>
      <c r="AU25">
        <v>0</v>
      </c>
      <c r="AV25" s="1">
        <f t="shared" si="2"/>
        <v>17</v>
      </c>
      <c r="AW25" s="1" t="s">
        <v>112</v>
      </c>
      <c r="AX25" s="1">
        <f t="shared" si="3"/>
        <v>50</v>
      </c>
      <c r="AY25" s="1">
        <f t="shared" si="4"/>
        <v>43</v>
      </c>
      <c r="AZ25" s="1">
        <f t="shared" si="5"/>
        <v>39</v>
      </c>
      <c r="BA25" s="1">
        <f t="shared" si="6"/>
        <v>63</v>
      </c>
      <c r="BB25" s="1">
        <f t="shared" si="7"/>
        <v>49</v>
      </c>
      <c r="BC25" s="1">
        <f t="shared" si="8"/>
        <v>0</v>
      </c>
      <c r="BD25" s="1">
        <f t="shared" si="9"/>
        <v>0</v>
      </c>
      <c r="BE25" s="1">
        <f t="shared" si="10"/>
        <v>17</v>
      </c>
      <c r="BF25" t="s">
        <v>18</v>
      </c>
      <c r="BG25" t="s">
        <v>33</v>
      </c>
      <c r="BH25" t="s">
        <v>34</v>
      </c>
      <c r="BI25" t="s">
        <v>35</v>
      </c>
      <c r="BJ25">
        <v>111</v>
      </c>
      <c r="BK25" t="s">
        <v>103</v>
      </c>
      <c r="BL25" t="s">
        <v>104</v>
      </c>
    </row>
    <row r="26" spans="1:64" x14ac:dyDescent="0.25">
      <c r="A26">
        <v>25</v>
      </c>
      <c r="B26" t="s">
        <v>39</v>
      </c>
      <c r="C26">
        <v>14552</v>
      </c>
      <c r="D26" t="s">
        <v>64</v>
      </c>
      <c r="E26" t="s">
        <v>7</v>
      </c>
      <c r="F26">
        <v>23</v>
      </c>
      <c r="G26">
        <v>20</v>
      </c>
      <c r="H26">
        <v>14</v>
      </c>
      <c r="I26">
        <v>13</v>
      </c>
      <c r="J26">
        <v>14</v>
      </c>
      <c r="K26">
        <v>0</v>
      </c>
      <c r="L26">
        <v>0</v>
      </c>
      <c r="M26">
        <v>0</v>
      </c>
      <c r="N26" t="s">
        <v>16</v>
      </c>
      <c r="O26">
        <v>23.5</v>
      </c>
      <c r="P26">
        <v>16</v>
      </c>
      <c r="Q26">
        <v>14</v>
      </c>
      <c r="R26">
        <v>21</v>
      </c>
      <c r="S26">
        <v>25</v>
      </c>
      <c r="T26">
        <v>0</v>
      </c>
      <c r="U26">
        <v>0</v>
      </c>
      <c r="V26">
        <v>0</v>
      </c>
      <c r="W26" t="s">
        <v>17</v>
      </c>
      <c r="X26">
        <v>17.5</v>
      </c>
      <c r="Y26">
        <v>17</v>
      </c>
      <c r="Z26">
        <v>23</v>
      </c>
      <c r="AA26">
        <v>17</v>
      </c>
      <c r="AB26">
        <v>21</v>
      </c>
      <c r="AC26">
        <v>0</v>
      </c>
      <c r="AD26">
        <v>0</v>
      </c>
      <c r="AE26" t="s">
        <v>18</v>
      </c>
      <c r="AF26">
        <v>35</v>
      </c>
      <c r="AG26">
        <v>33</v>
      </c>
      <c r="AH26">
        <v>31</v>
      </c>
      <c r="AI26">
        <v>33</v>
      </c>
      <c r="AJ26">
        <v>33</v>
      </c>
      <c r="AK26">
        <v>0</v>
      </c>
      <c r="AL26">
        <v>0</v>
      </c>
      <c r="AM26">
        <v>0</v>
      </c>
      <c r="AN26" t="s">
        <v>19</v>
      </c>
      <c r="AO26">
        <v>16</v>
      </c>
      <c r="AP26">
        <v>14</v>
      </c>
      <c r="AQ26">
        <v>10</v>
      </c>
      <c r="AR26">
        <v>28</v>
      </c>
      <c r="AS26">
        <v>17</v>
      </c>
      <c r="AT26" s="1">
        <f t="shared" si="1"/>
        <v>0</v>
      </c>
      <c r="AU26">
        <v>0</v>
      </c>
      <c r="AV26" s="1">
        <f t="shared" si="2"/>
        <v>0</v>
      </c>
      <c r="AW26" s="1" t="s">
        <v>112</v>
      </c>
      <c r="AX26" s="1">
        <f t="shared" si="3"/>
        <v>51</v>
      </c>
      <c r="AY26" s="1">
        <f t="shared" si="4"/>
        <v>47</v>
      </c>
      <c r="AZ26" s="1">
        <f t="shared" si="5"/>
        <v>41</v>
      </c>
      <c r="BA26" s="1">
        <f t="shared" si="6"/>
        <v>61</v>
      </c>
      <c r="BB26" s="1">
        <f t="shared" si="7"/>
        <v>50</v>
      </c>
      <c r="BC26" s="1">
        <f t="shared" si="8"/>
        <v>0</v>
      </c>
      <c r="BD26" s="1">
        <f t="shared" si="9"/>
        <v>0</v>
      </c>
      <c r="BE26" s="1">
        <f t="shared" si="10"/>
        <v>0</v>
      </c>
      <c r="BF26" t="s">
        <v>18</v>
      </c>
      <c r="BG26" t="s">
        <v>33</v>
      </c>
      <c r="BH26" t="s">
        <v>34</v>
      </c>
      <c r="BI26" t="s">
        <v>35</v>
      </c>
      <c r="BJ26">
        <v>108.5</v>
      </c>
      <c r="BK26" t="s">
        <v>105</v>
      </c>
      <c r="BL26" t="s">
        <v>36</v>
      </c>
    </row>
    <row r="27" spans="1:64" x14ac:dyDescent="0.25">
      <c r="A27">
        <v>26</v>
      </c>
      <c r="B27" t="s">
        <v>39</v>
      </c>
      <c r="C27">
        <v>14429</v>
      </c>
      <c r="D27" t="s">
        <v>65</v>
      </c>
      <c r="E27" t="s">
        <v>7</v>
      </c>
      <c r="F27">
        <v>19</v>
      </c>
      <c r="G27">
        <v>22</v>
      </c>
      <c r="H27">
        <v>16</v>
      </c>
      <c r="I27">
        <v>23</v>
      </c>
      <c r="J27">
        <v>18</v>
      </c>
      <c r="K27">
        <v>0</v>
      </c>
      <c r="L27">
        <v>0</v>
      </c>
      <c r="M27">
        <v>31</v>
      </c>
      <c r="N27" t="s">
        <v>16</v>
      </c>
      <c r="O27">
        <v>14.5</v>
      </c>
      <c r="P27">
        <v>16</v>
      </c>
      <c r="Q27">
        <v>14</v>
      </c>
      <c r="R27">
        <v>23</v>
      </c>
      <c r="S27">
        <v>26</v>
      </c>
      <c r="T27">
        <v>0</v>
      </c>
      <c r="U27">
        <v>0</v>
      </c>
      <c r="V27">
        <v>30</v>
      </c>
      <c r="W27" t="s">
        <v>17</v>
      </c>
      <c r="X27">
        <v>20</v>
      </c>
      <c r="Y27">
        <v>18</v>
      </c>
      <c r="Z27">
        <v>15</v>
      </c>
      <c r="AA27">
        <v>22</v>
      </c>
      <c r="AB27">
        <v>22</v>
      </c>
      <c r="AC27">
        <v>0</v>
      </c>
      <c r="AD27">
        <v>0</v>
      </c>
      <c r="AE27" t="s">
        <v>18</v>
      </c>
      <c r="AF27">
        <v>29.5</v>
      </c>
      <c r="AG27">
        <v>34</v>
      </c>
      <c r="AH27">
        <v>41</v>
      </c>
      <c r="AI27">
        <v>47</v>
      </c>
      <c r="AJ27">
        <v>43</v>
      </c>
      <c r="AK27">
        <v>0</v>
      </c>
      <c r="AL27">
        <v>0</v>
      </c>
      <c r="AM27">
        <v>57</v>
      </c>
      <c r="AN27" t="s">
        <v>19</v>
      </c>
      <c r="AO27">
        <v>16</v>
      </c>
      <c r="AP27">
        <v>18</v>
      </c>
      <c r="AQ27">
        <v>19</v>
      </c>
      <c r="AR27">
        <v>31</v>
      </c>
      <c r="AS27">
        <v>18</v>
      </c>
      <c r="AT27" s="1">
        <f t="shared" si="1"/>
        <v>0</v>
      </c>
      <c r="AU27">
        <v>0</v>
      </c>
      <c r="AV27" s="1">
        <f t="shared" si="2"/>
        <v>26.5</v>
      </c>
      <c r="AW27" s="1" t="s">
        <v>112</v>
      </c>
      <c r="AX27" s="1">
        <f t="shared" si="3"/>
        <v>46</v>
      </c>
      <c r="AY27" s="1">
        <f t="shared" si="4"/>
        <v>52</v>
      </c>
      <c r="AZ27" s="1">
        <f t="shared" si="5"/>
        <v>60</v>
      </c>
      <c r="BA27" s="1">
        <f t="shared" si="6"/>
        <v>78</v>
      </c>
      <c r="BB27" s="1">
        <f t="shared" si="7"/>
        <v>61</v>
      </c>
      <c r="BC27" s="1">
        <f t="shared" si="8"/>
        <v>0</v>
      </c>
      <c r="BD27" s="1">
        <f t="shared" si="9"/>
        <v>0</v>
      </c>
      <c r="BE27" s="1">
        <f t="shared" si="10"/>
        <v>84</v>
      </c>
      <c r="BF27" t="s">
        <v>18</v>
      </c>
      <c r="BG27" t="s">
        <v>33</v>
      </c>
      <c r="BH27" t="s">
        <v>34</v>
      </c>
      <c r="BI27" t="s">
        <v>35</v>
      </c>
      <c r="BJ27">
        <v>112</v>
      </c>
      <c r="BK27" t="s">
        <v>106</v>
      </c>
      <c r="BL27" t="s">
        <v>107</v>
      </c>
    </row>
    <row r="28" spans="1:64" x14ac:dyDescent="0.25">
      <c r="A28">
        <v>27</v>
      </c>
      <c r="B28" t="s">
        <v>39</v>
      </c>
      <c r="C28">
        <v>18282</v>
      </c>
      <c r="D28" t="s">
        <v>66</v>
      </c>
      <c r="E28" t="s">
        <v>7</v>
      </c>
      <c r="F28" t="s">
        <v>26</v>
      </c>
      <c r="G28" t="s">
        <v>8</v>
      </c>
      <c r="H28" t="s">
        <v>8</v>
      </c>
      <c r="I28">
        <v>19</v>
      </c>
      <c r="J28">
        <v>16</v>
      </c>
      <c r="K28">
        <v>0</v>
      </c>
      <c r="L28">
        <v>0</v>
      </c>
      <c r="M28" t="s">
        <v>9</v>
      </c>
      <c r="N28" t="s">
        <v>16</v>
      </c>
      <c r="O28" t="s">
        <v>26</v>
      </c>
      <c r="P28" t="s">
        <v>8</v>
      </c>
      <c r="Q28" t="s">
        <v>8</v>
      </c>
      <c r="R28">
        <v>23</v>
      </c>
      <c r="S28" t="s">
        <v>8</v>
      </c>
      <c r="T28">
        <v>0</v>
      </c>
      <c r="U28">
        <v>0</v>
      </c>
      <c r="V28">
        <v>22</v>
      </c>
      <c r="W28" t="s">
        <v>17</v>
      </c>
      <c r="X28">
        <v>22.5</v>
      </c>
      <c r="Y28">
        <v>20</v>
      </c>
      <c r="Z28">
        <v>29</v>
      </c>
      <c r="AA28">
        <v>21</v>
      </c>
      <c r="AB28">
        <v>28</v>
      </c>
      <c r="AC28">
        <v>0</v>
      </c>
      <c r="AD28">
        <v>0</v>
      </c>
      <c r="AE28" t="s">
        <v>18</v>
      </c>
      <c r="AF28">
        <v>43.5</v>
      </c>
      <c r="AG28">
        <v>31</v>
      </c>
      <c r="AH28">
        <v>44</v>
      </c>
      <c r="AI28">
        <v>44</v>
      </c>
      <c r="AJ28">
        <v>47</v>
      </c>
      <c r="AK28">
        <v>0</v>
      </c>
      <c r="AL28">
        <v>0</v>
      </c>
      <c r="AM28">
        <v>45</v>
      </c>
      <c r="AN28" t="s">
        <v>19</v>
      </c>
      <c r="AO28">
        <v>17</v>
      </c>
      <c r="AP28">
        <v>20</v>
      </c>
      <c r="AQ28">
        <v>19</v>
      </c>
      <c r="AR28">
        <v>30</v>
      </c>
      <c r="AS28">
        <v>19</v>
      </c>
      <c r="AT28" s="1">
        <f t="shared" si="1"/>
        <v>0</v>
      </c>
      <c r="AU28">
        <v>0</v>
      </c>
      <c r="AV28" s="1">
        <f t="shared" si="2"/>
        <v>9.5</v>
      </c>
      <c r="AW28" s="1" t="s">
        <v>112</v>
      </c>
      <c r="AX28" s="1">
        <f t="shared" si="3"/>
        <v>61</v>
      </c>
      <c r="AY28" s="1">
        <f t="shared" si="4"/>
        <v>51</v>
      </c>
      <c r="AZ28" s="1">
        <f t="shared" si="5"/>
        <v>63</v>
      </c>
      <c r="BA28" s="1">
        <f t="shared" si="6"/>
        <v>74</v>
      </c>
      <c r="BB28" s="1">
        <f t="shared" si="7"/>
        <v>66</v>
      </c>
      <c r="BC28" s="1">
        <f t="shared" si="8"/>
        <v>0</v>
      </c>
      <c r="BD28" s="1">
        <f t="shared" si="9"/>
        <v>0</v>
      </c>
      <c r="BE28" s="1">
        <f t="shared" si="10"/>
        <v>55</v>
      </c>
      <c r="BF28" t="s">
        <v>18</v>
      </c>
      <c r="BG28" t="s">
        <v>33</v>
      </c>
      <c r="BH28" t="s">
        <v>34</v>
      </c>
      <c r="BI28" t="s">
        <v>35</v>
      </c>
      <c r="BJ28">
        <v>106.5</v>
      </c>
      <c r="BK28" t="s">
        <v>108</v>
      </c>
      <c r="BL28" t="s">
        <v>109</v>
      </c>
    </row>
    <row r="29" spans="1:64" x14ac:dyDescent="0.25">
      <c r="A29">
        <v>28</v>
      </c>
      <c r="B29" t="s">
        <v>39</v>
      </c>
      <c r="C29">
        <v>18358</v>
      </c>
      <c r="D29" t="s">
        <v>67</v>
      </c>
      <c r="E29" t="s">
        <v>7</v>
      </c>
      <c r="F29">
        <v>23.5</v>
      </c>
      <c r="G29">
        <v>22</v>
      </c>
      <c r="H29">
        <v>15</v>
      </c>
      <c r="I29">
        <v>17</v>
      </c>
      <c r="J29">
        <v>9</v>
      </c>
      <c r="K29">
        <v>0</v>
      </c>
      <c r="L29">
        <v>0</v>
      </c>
      <c r="M29">
        <v>0</v>
      </c>
      <c r="N29" t="s">
        <v>16</v>
      </c>
      <c r="O29">
        <v>17</v>
      </c>
      <c r="P29">
        <v>24</v>
      </c>
      <c r="Q29">
        <v>18</v>
      </c>
      <c r="R29">
        <v>19</v>
      </c>
      <c r="S29">
        <v>13</v>
      </c>
      <c r="T29">
        <v>0</v>
      </c>
      <c r="U29">
        <v>0</v>
      </c>
      <c r="V29">
        <v>0</v>
      </c>
      <c r="W29" t="s">
        <v>17</v>
      </c>
      <c r="X29">
        <v>13</v>
      </c>
      <c r="Y29">
        <v>28</v>
      </c>
      <c r="Z29">
        <v>17</v>
      </c>
      <c r="AA29">
        <v>20</v>
      </c>
      <c r="AB29">
        <v>23</v>
      </c>
      <c r="AC29">
        <v>0</v>
      </c>
      <c r="AD29">
        <v>0</v>
      </c>
      <c r="AE29" t="s">
        <v>18</v>
      </c>
      <c r="AF29">
        <v>31.5</v>
      </c>
      <c r="AG29">
        <v>53</v>
      </c>
      <c r="AH29">
        <v>43</v>
      </c>
      <c r="AI29">
        <v>39</v>
      </c>
      <c r="AJ29">
        <v>38</v>
      </c>
      <c r="AK29">
        <v>0</v>
      </c>
      <c r="AL29">
        <v>0</v>
      </c>
      <c r="AM29">
        <v>0</v>
      </c>
      <c r="AN29" t="s">
        <v>19</v>
      </c>
      <c r="AO29">
        <v>13</v>
      </c>
      <c r="AP29">
        <v>16</v>
      </c>
      <c r="AQ29">
        <v>16</v>
      </c>
      <c r="AR29">
        <v>28</v>
      </c>
      <c r="AS29">
        <v>16</v>
      </c>
      <c r="AT29" s="1">
        <f t="shared" si="1"/>
        <v>0</v>
      </c>
      <c r="AU29">
        <v>0</v>
      </c>
      <c r="AV29" s="1">
        <f t="shared" si="2"/>
        <v>0</v>
      </c>
      <c r="AW29" s="1" t="s">
        <v>112</v>
      </c>
      <c r="AX29" s="1">
        <f t="shared" si="3"/>
        <v>45</v>
      </c>
      <c r="AY29" s="1">
        <f t="shared" si="4"/>
        <v>69</v>
      </c>
      <c r="AZ29" s="1">
        <f t="shared" si="5"/>
        <v>59</v>
      </c>
      <c r="BA29" s="1">
        <f t="shared" si="6"/>
        <v>67</v>
      </c>
      <c r="BB29" s="1">
        <f t="shared" si="7"/>
        <v>54</v>
      </c>
      <c r="BC29" s="1">
        <f t="shared" si="8"/>
        <v>0</v>
      </c>
      <c r="BD29" s="1">
        <f t="shared" si="9"/>
        <v>0</v>
      </c>
      <c r="BE29" s="1">
        <f t="shared" si="10"/>
        <v>0</v>
      </c>
      <c r="BF29" t="s">
        <v>18</v>
      </c>
      <c r="BG29" t="s">
        <v>33</v>
      </c>
      <c r="BH29" t="s">
        <v>34</v>
      </c>
      <c r="BI29" t="s">
        <v>35</v>
      </c>
      <c r="BJ29">
        <v>112.5</v>
      </c>
      <c r="BK29" t="s">
        <v>110</v>
      </c>
      <c r="BL29" t="s">
        <v>36</v>
      </c>
    </row>
    <row r="30" spans="1:64" x14ac:dyDescent="0.25">
      <c r="A30">
        <v>29</v>
      </c>
      <c r="B30" t="s">
        <v>39</v>
      </c>
      <c r="C30">
        <v>14438</v>
      </c>
      <c r="D30" t="s">
        <v>68</v>
      </c>
      <c r="E30" t="s">
        <v>7</v>
      </c>
      <c r="F30">
        <v>29</v>
      </c>
      <c r="G30">
        <v>21</v>
      </c>
      <c r="H30">
        <v>30</v>
      </c>
      <c r="I30">
        <v>26</v>
      </c>
      <c r="J30">
        <v>31</v>
      </c>
      <c r="K30">
        <v>0</v>
      </c>
      <c r="L30">
        <v>0</v>
      </c>
      <c r="M30">
        <v>0</v>
      </c>
      <c r="N30" t="s">
        <v>16</v>
      </c>
      <c r="O30">
        <v>25.5</v>
      </c>
      <c r="P30">
        <v>18</v>
      </c>
      <c r="Q30">
        <v>25</v>
      </c>
      <c r="R30">
        <v>29</v>
      </c>
      <c r="S30">
        <v>37</v>
      </c>
      <c r="T30">
        <v>0</v>
      </c>
      <c r="U30">
        <v>0</v>
      </c>
      <c r="V30">
        <v>0</v>
      </c>
      <c r="W30" t="s">
        <v>17</v>
      </c>
      <c r="X30">
        <v>25.5</v>
      </c>
      <c r="Y30">
        <v>25</v>
      </c>
      <c r="Z30">
        <v>32</v>
      </c>
      <c r="AA30">
        <v>28</v>
      </c>
      <c r="AB30">
        <v>33</v>
      </c>
      <c r="AC30">
        <v>0</v>
      </c>
      <c r="AD30">
        <v>0</v>
      </c>
      <c r="AE30" t="s">
        <v>18</v>
      </c>
      <c r="AF30">
        <v>39.5</v>
      </c>
      <c r="AG30">
        <v>41</v>
      </c>
      <c r="AH30">
        <v>62</v>
      </c>
      <c r="AI30">
        <v>58</v>
      </c>
      <c r="AJ30">
        <v>67</v>
      </c>
      <c r="AK30">
        <v>0</v>
      </c>
      <c r="AL30">
        <v>0</v>
      </c>
      <c r="AM30">
        <v>0</v>
      </c>
      <c r="AN30" t="s">
        <v>19</v>
      </c>
      <c r="AO30">
        <v>16</v>
      </c>
      <c r="AP30">
        <v>18</v>
      </c>
      <c r="AQ30">
        <v>20</v>
      </c>
      <c r="AR30">
        <v>31</v>
      </c>
      <c r="AS30">
        <v>20</v>
      </c>
      <c r="AT30" s="1">
        <f t="shared" si="1"/>
        <v>0</v>
      </c>
      <c r="AU30">
        <v>0</v>
      </c>
      <c r="AV30" s="1">
        <f t="shared" si="2"/>
        <v>0</v>
      </c>
      <c r="AW30" s="1" t="s">
        <v>112</v>
      </c>
      <c r="AX30" s="1">
        <f t="shared" si="3"/>
        <v>56</v>
      </c>
      <c r="AY30" s="1">
        <f t="shared" si="4"/>
        <v>59</v>
      </c>
      <c r="AZ30" s="1">
        <f t="shared" si="5"/>
        <v>82</v>
      </c>
      <c r="BA30" s="1">
        <f t="shared" si="6"/>
        <v>89</v>
      </c>
      <c r="BB30" s="1">
        <f t="shared" si="7"/>
        <v>87</v>
      </c>
      <c r="BC30" s="1">
        <f t="shared" si="8"/>
        <v>0</v>
      </c>
      <c r="BD30" s="1">
        <f t="shared" si="9"/>
        <v>0</v>
      </c>
      <c r="BE30" s="1">
        <f t="shared" si="10"/>
        <v>0</v>
      </c>
      <c r="BF30" t="s">
        <v>18</v>
      </c>
      <c r="BG30" t="s">
        <v>33</v>
      </c>
      <c r="BH30" t="s">
        <v>34</v>
      </c>
      <c r="BI30" t="s">
        <v>35</v>
      </c>
      <c r="BJ30">
        <v>115</v>
      </c>
      <c r="BK30" t="s">
        <v>111</v>
      </c>
      <c r="BL30" t="s">
        <v>36</v>
      </c>
    </row>
    <row r="31" spans="1:64" x14ac:dyDescent="0.25">
      <c r="A31">
        <v>30</v>
      </c>
      <c r="B31" t="s">
        <v>39</v>
      </c>
      <c r="C31">
        <v>14434</v>
      </c>
      <c r="D31" t="s">
        <v>69</v>
      </c>
      <c r="E31" t="s">
        <v>7</v>
      </c>
      <c r="F31">
        <v>35</v>
      </c>
      <c r="G31">
        <v>22</v>
      </c>
      <c r="H31">
        <v>25</v>
      </c>
      <c r="I31" t="s">
        <v>8</v>
      </c>
      <c r="J31">
        <v>27</v>
      </c>
      <c r="K31">
        <v>0</v>
      </c>
      <c r="L31">
        <v>0</v>
      </c>
      <c r="M31">
        <v>0</v>
      </c>
      <c r="N31" t="s">
        <v>16</v>
      </c>
      <c r="O31">
        <v>33</v>
      </c>
      <c r="P31">
        <v>25</v>
      </c>
      <c r="Q31">
        <v>27</v>
      </c>
      <c r="R31">
        <v>25</v>
      </c>
      <c r="S31">
        <v>38</v>
      </c>
      <c r="T31">
        <v>0</v>
      </c>
      <c r="U31">
        <v>0</v>
      </c>
      <c r="V31">
        <v>0</v>
      </c>
      <c r="W31" t="s">
        <v>17</v>
      </c>
      <c r="X31">
        <v>30</v>
      </c>
      <c r="Y31">
        <v>29</v>
      </c>
      <c r="Z31">
        <v>32</v>
      </c>
      <c r="AA31">
        <v>29</v>
      </c>
      <c r="AB31">
        <v>31</v>
      </c>
      <c r="AC31">
        <v>0</v>
      </c>
      <c r="AD31">
        <v>0</v>
      </c>
      <c r="AE31" t="s">
        <v>18</v>
      </c>
      <c r="AF31">
        <v>62.5</v>
      </c>
      <c r="AG31">
        <v>48</v>
      </c>
      <c r="AH31">
        <v>60</v>
      </c>
      <c r="AI31">
        <v>57</v>
      </c>
      <c r="AJ31">
        <v>61</v>
      </c>
      <c r="AK31">
        <v>0</v>
      </c>
      <c r="AL31">
        <v>0</v>
      </c>
      <c r="AM31">
        <v>0</v>
      </c>
      <c r="AN31" t="s">
        <v>19</v>
      </c>
      <c r="AO31">
        <v>18</v>
      </c>
      <c r="AP31">
        <v>20</v>
      </c>
      <c r="AQ31">
        <v>20</v>
      </c>
      <c r="AR31">
        <v>29</v>
      </c>
      <c r="AS31">
        <v>19</v>
      </c>
      <c r="AT31" s="1">
        <f t="shared" si="1"/>
        <v>0</v>
      </c>
      <c r="AU31">
        <v>0</v>
      </c>
      <c r="AV31" s="1">
        <f t="shared" si="2"/>
        <v>0</v>
      </c>
      <c r="AW31" s="1" t="s">
        <v>112</v>
      </c>
      <c r="AX31" s="1">
        <f t="shared" si="3"/>
        <v>81</v>
      </c>
      <c r="AY31" s="1">
        <f t="shared" si="4"/>
        <v>68</v>
      </c>
      <c r="AZ31" s="1">
        <f t="shared" si="5"/>
        <v>80</v>
      </c>
      <c r="BA31" s="1">
        <f t="shared" si="6"/>
        <v>86</v>
      </c>
      <c r="BB31" s="1">
        <f t="shared" si="7"/>
        <v>80</v>
      </c>
      <c r="BC31" s="1">
        <f t="shared" si="8"/>
        <v>0</v>
      </c>
      <c r="BD31" s="1">
        <f t="shared" si="9"/>
        <v>0</v>
      </c>
      <c r="BE31" s="1">
        <f t="shared" si="10"/>
        <v>0</v>
      </c>
      <c r="BF31" t="s">
        <v>18</v>
      </c>
      <c r="BG31" t="s">
        <v>33</v>
      </c>
      <c r="BH31" t="s">
        <v>34</v>
      </c>
      <c r="BI31" t="s">
        <v>35</v>
      </c>
      <c r="BJ31">
        <v>101</v>
      </c>
      <c r="BL31" t="s">
        <v>36</v>
      </c>
    </row>
    <row r="32" spans="1:64" x14ac:dyDescent="0.25">
      <c r="A32" t="s">
        <v>10</v>
      </c>
    </row>
    <row r="33" spans="1:1" x14ac:dyDescent="0.25">
      <c r="A33" t="s">
        <v>11</v>
      </c>
    </row>
    <row r="34" spans="1:1" x14ac:dyDescent="0.25">
      <c r="A34" t="s">
        <v>12</v>
      </c>
    </row>
    <row r="35" spans="1:1" x14ac:dyDescent="0.25">
      <c r="A35" t="s">
        <v>13</v>
      </c>
    </row>
    <row r="36" spans="1:1" x14ac:dyDescent="0.25">
      <c r="A36" t="s">
        <v>14</v>
      </c>
    </row>
    <row r="37" spans="1:1" x14ac:dyDescent="0.25">
      <c r="A37" t="s">
        <v>13</v>
      </c>
    </row>
    <row r="38" spans="1:1" x14ac:dyDescent="0.25">
      <c r="A38" t="s">
        <v>13</v>
      </c>
    </row>
    <row r="39" spans="1:1" x14ac:dyDescent="0.25">
      <c r="A39" t="s">
        <v>13</v>
      </c>
    </row>
    <row r="40" spans="1:1" x14ac:dyDescent="0.25">
      <c r="A40" t="s">
        <v>12</v>
      </c>
    </row>
    <row r="41" spans="1:1" x14ac:dyDescent="0.25">
      <c r="A41" t="s">
        <v>11</v>
      </c>
    </row>
    <row r="42" spans="1:1" x14ac:dyDescent="0.25">
      <c r="A42" t="s">
        <v>10</v>
      </c>
    </row>
    <row r="43" spans="1:1" x14ac:dyDescent="0.25">
      <c r="A4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WEBEXCEL</cp:lastModifiedBy>
  <dcterms:created xsi:type="dcterms:W3CDTF">2024-10-08T12:53:51Z</dcterms:created>
  <dcterms:modified xsi:type="dcterms:W3CDTF">2024-10-11T11:29:03Z</dcterms:modified>
</cp:coreProperties>
</file>