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XII-OVERALL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" i="1"/>
  <c r="AL4"/>
  <c r="AL5"/>
  <c r="AS5" s="1"/>
  <c r="AL6"/>
  <c r="AL7"/>
  <c r="AL8"/>
  <c r="AL9"/>
  <c r="AS9" s="1"/>
  <c r="AL10"/>
  <c r="AL11"/>
  <c r="AL12"/>
  <c r="AL13"/>
  <c r="AS13" s="1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2"/>
  <c r="AS2" s="1"/>
  <c r="AN3"/>
  <c r="AO3"/>
  <c r="AP3"/>
  <c r="AQ3"/>
  <c r="AR3"/>
  <c r="AS3"/>
  <c r="AN4"/>
  <c r="AO4"/>
  <c r="AP4"/>
  <c r="AQ4"/>
  <c r="AR4"/>
  <c r="AS4"/>
  <c r="AN5"/>
  <c r="AO5"/>
  <c r="AP5"/>
  <c r="AQ5"/>
  <c r="AR5"/>
  <c r="AN6"/>
  <c r="AO6"/>
  <c r="AP6"/>
  <c r="AQ6"/>
  <c r="AR6"/>
  <c r="AS6"/>
  <c r="AN7"/>
  <c r="AO7"/>
  <c r="AP7"/>
  <c r="AQ7"/>
  <c r="AR7"/>
  <c r="AS7"/>
  <c r="AN8"/>
  <c r="AO8"/>
  <c r="AP8"/>
  <c r="AQ8"/>
  <c r="AR8"/>
  <c r="AS8"/>
  <c r="AN9"/>
  <c r="AO9"/>
  <c r="AP9"/>
  <c r="AQ9"/>
  <c r="AR9"/>
  <c r="AN10"/>
  <c r="AO10"/>
  <c r="AP10"/>
  <c r="AQ10"/>
  <c r="AR10"/>
  <c r="AS10"/>
  <c r="AN11"/>
  <c r="AO11"/>
  <c r="AP11"/>
  <c r="AQ11"/>
  <c r="AR11"/>
  <c r="AS11"/>
  <c r="AN12"/>
  <c r="AO12"/>
  <c r="AP12"/>
  <c r="AQ12"/>
  <c r="AR12"/>
  <c r="AS12"/>
  <c r="AN13"/>
  <c r="AO13"/>
  <c r="AP13"/>
  <c r="AQ13"/>
  <c r="AR13"/>
  <c r="AN14"/>
  <c r="AO14"/>
  <c r="AP14"/>
  <c r="AQ14"/>
  <c r="AR14"/>
  <c r="AS14"/>
  <c r="AN15"/>
  <c r="AO15"/>
  <c r="AP15"/>
  <c r="AQ15"/>
  <c r="AR15"/>
  <c r="AS15"/>
  <c r="AN16"/>
  <c r="AO16"/>
  <c r="AP16"/>
  <c r="AQ16"/>
  <c r="AR16"/>
  <c r="AS16"/>
  <c r="AN17"/>
  <c r="AO17"/>
  <c r="AP17"/>
  <c r="AQ17"/>
  <c r="AR17"/>
  <c r="AS17"/>
  <c r="AN18"/>
  <c r="AO18"/>
  <c r="AP18"/>
  <c r="AQ18"/>
  <c r="AR18"/>
  <c r="AS18"/>
  <c r="AN19"/>
  <c r="AO19"/>
  <c r="AP19"/>
  <c r="AQ19"/>
  <c r="AR19"/>
  <c r="AS19"/>
  <c r="AN20"/>
  <c r="AO20"/>
  <c r="AP20"/>
  <c r="AQ20"/>
  <c r="AR20"/>
  <c r="AS20"/>
  <c r="AN21"/>
  <c r="AO21"/>
  <c r="AP21"/>
  <c r="AQ21"/>
  <c r="AR21"/>
  <c r="AS21"/>
  <c r="AN22"/>
  <c r="AO22"/>
  <c r="AP22"/>
  <c r="AQ22"/>
  <c r="AR22"/>
  <c r="AS22"/>
  <c r="AN23"/>
  <c r="AO23"/>
  <c r="AP23"/>
  <c r="AQ23"/>
  <c r="AR23"/>
  <c r="AS23"/>
  <c r="AN24"/>
  <c r="AO24"/>
  <c r="AP24"/>
  <c r="AQ24"/>
  <c r="AR24"/>
  <c r="AS24"/>
  <c r="AN25"/>
  <c r="AO25"/>
  <c r="AP25"/>
  <c r="AQ25"/>
  <c r="AR25"/>
  <c r="AS25"/>
  <c r="AN26"/>
  <c r="AO26"/>
  <c r="AP26"/>
  <c r="AQ26"/>
  <c r="AR26"/>
  <c r="AS26"/>
  <c r="AN27"/>
  <c r="AO27"/>
  <c r="AP27"/>
  <c r="AQ27"/>
  <c r="AR27"/>
  <c r="AS27"/>
  <c r="AN28"/>
  <c r="AO28"/>
  <c r="AP28"/>
  <c r="AQ28"/>
  <c r="AR28"/>
  <c r="AS28"/>
  <c r="AN29"/>
  <c r="AO29"/>
  <c r="AP29"/>
  <c r="AQ29"/>
  <c r="AR29"/>
  <c r="AS29"/>
  <c r="AN30"/>
  <c r="AO30"/>
  <c r="AP30"/>
  <c r="AQ30"/>
  <c r="AR30"/>
  <c r="AS30"/>
  <c r="AN31"/>
  <c r="AO31"/>
  <c r="AP31"/>
  <c r="AQ31"/>
  <c r="AR31"/>
  <c r="AS31"/>
  <c r="AR2"/>
  <c r="AQ2"/>
  <c r="AP2"/>
  <c r="AO2"/>
  <c r="AN2"/>
  <c r="AK3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2"/>
</calcChain>
</file>

<file path=xl/sharedStrings.xml><?xml version="1.0" encoding="utf-8"?>
<sst xmlns="http://schemas.openxmlformats.org/spreadsheetml/2006/main" count="520" uniqueCount="103">
  <si>
    <t>Roll_No</t>
  </si>
  <si>
    <t>CLASSSEC</t>
  </si>
  <si>
    <t>Adno</t>
  </si>
  <si>
    <t>name</t>
  </si>
  <si>
    <t>Exam</t>
  </si>
  <si>
    <t>English</t>
  </si>
  <si>
    <t>Chemistry</t>
  </si>
  <si>
    <t>Physics</t>
  </si>
  <si>
    <t>Maths</t>
  </si>
  <si>
    <t>Physical_Education</t>
  </si>
  <si>
    <t>X_XII_UT-1</t>
  </si>
  <si>
    <t>AB</t>
  </si>
  <si>
    <t>ab</t>
  </si>
  <si>
    <t xml:space="preserve">											</t>
  </si>
  <si>
    <t xml:space="preserve">												</t>
  </si>
  <si>
    <t xml:space="preserve">													</t>
  </si>
  <si>
    <t xml:space="preserve">														</t>
  </si>
  <si>
    <t xml:space="preserve">															Â  Result</t>
  </si>
  <si>
    <t xml:space="preserve">										</t>
  </si>
  <si>
    <t>X_XII_UT-2</t>
  </si>
  <si>
    <t>X_XII_UT-3</t>
  </si>
  <si>
    <t>Quarterly</t>
  </si>
  <si>
    <t>Quarterly- IA / Practicals</t>
  </si>
  <si>
    <t>T1</t>
  </si>
  <si>
    <t>T2</t>
  </si>
  <si>
    <t>T3</t>
  </si>
  <si>
    <t>Att</t>
  </si>
  <si>
    <t>Scholastic</t>
  </si>
  <si>
    <t>Sports</t>
  </si>
  <si>
    <t>Yes</t>
  </si>
  <si>
    <t>Good</t>
  </si>
  <si>
    <t>Regular</t>
  </si>
  <si>
    <t>111/116</t>
  </si>
  <si>
    <t xml:space="preserve">      </t>
  </si>
  <si>
    <t>105/116</t>
  </si>
  <si>
    <t>106.5/116</t>
  </si>
  <si>
    <t>93.5/116</t>
  </si>
  <si>
    <t>113/116</t>
  </si>
  <si>
    <t>104/116</t>
  </si>
  <si>
    <t>108/116</t>
  </si>
  <si>
    <t>107/116</t>
  </si>
  <si>
    <t>112.5/116</t>
  </si>
  <si>
    <t>112/116</t>
  </si>
  <si>
    <t>Informatics_Practices</t>
  </si>
  <si>
    <t>XII-C</t>
  </si>
  <si>
    <t>P ADITHI</t>
  </si>
  <si>
    <t>AKSHATA GURUPRASAD</t>
  </si>
  <si>
    <t>V ALANKRITHA</t>
  </si>
  <si>
    <t>M ANKITA</t>
  </si>
  <si>
    <t>D DEEPAK KUMAR</t>
  </si>
  <si>
    <t>K HANUSHA</t>
  </si>
  <si>
    <t>KAILASH THIAGARAJAN</t>
  </si>
  <si>
    <t>R KANISH</t>
  </si>
  <si>
    <t>MAITREYEE SURESH</t>
  </si>
  <si>
    <t>MALARVIZHI S</t>
  </si>
  <si>
    <t>MANASA MANOJ</t>
  </si>
  <si>
    <t>G P MANUSRI</t>
  </si>
  <si>
    <t>MOHAMRD IRFAN K M</t>
  </si>
  <si>
    <t>M MONISSH</t>
  </si>
  <si>
    <t>NITHYA VISHWANATH</t>
  </si>
  <si>
    <t>PRADHYUMNAN MADHAVAN</t>
  </si>
  <si>
    <t>PL PRASANTH MANIKANDAN</t>
  </si>
  <si>
    <t>H PRATEEKSHAA</t>
  </si>
  <si>
    <t>RAHUL S</t>
  </si>
  <si>
    <t>S REVANTH SARAVANA</t>
  </si>
  <si>
    <t>SAGNIK CHOWDHURY</t>
  </si>
  <si>
    <t>T SAI VISWANATHAN</t>
  </si>
  <si>
    <t>SAKETH RAM SRINIVASAN</t>
  </si>
  <si>
    <t>V SHRI PARVAD</t>
  </si>
  <si>
    <t>K SREESANTH</t>
  </si>
  <si>
    <t>R SRINIVASAN</t>
  </si>
  <si>
    <t>H TARUN</t>
  </si>
  <si>
    <t>V VARSHINI</t>
  </si>
  <si>
    <t>S VENUGOPALAN</t>
  </si>
  <si>
    <t>S VIGNESH</t>
  </si>
  <si>
    <t>OD</t>
  </si>
  <si>
    <t>102.5/116</t>
  </si>
  <si>
    <t xml:space="preserve">Winners in CBSE South zone clusters U-19 football tournament Selected for national football tournament Won medal in 100m and 200m in school annual sports meet      </t>
  </si>
  <si>
    <t>she has volunteered for scintilations(Inte school competitios). she got selected in IITM B.S.Data science program.</t>
  </si>
  <si>
    <t>She has done volunteering for inter school cultural programme-scintillations conducted in the school.</t>
  </si>
  <si>
    <t>she has volunteered for scintilations (Inte school competitios) conducted in the school.</t>
  </si>
  <si>
    <t>116/116</t>
  </si>
  <si>
    <t xml:space="preserve">*Winner in St.Brittos Tournment and in PS educational society. *Runners up in Lalaji memorial international school and also won best goal keeper award *Won various medals in School Annual sports meet 2024      </t>
  </si>
  <si>
    <t>101/116</t>
  </si>
  <si>
    <t>He has done volunteering for inter school cultural programme-scintillations conducted in the school.</t>
  </si>
  <si>
    <t>115.5/116</t>
  </si>
  <si>
    <t>*winner in first round -zifo open quiz</t>
  </si>
  <si>
    <t>Volunteered for scintillations Selected for IIT BS program with merit</t>
  </si>
  <si>
    <t>Selected as chairperson for IPC in nps MUN '24 Participated in vanguard MUN '24 Participated in PSBB kknagar science fest'24</t>
  </si>
  <si>
    <t xml:space="preserve">Selected for semifinals in 400 m running by cbse clusters Finalist in sprint 2024 PSBB group of schools In intramurals Runners in basket ball Winners in Badminton      </t>
  </si>
  <si>
    <t>115/116</t>
  </si>
  <si>
    <t>*special mention in lake view MUN 2024 *winner in first round -zifo open quiz *won third place in reciting vishnu sahasranama competition conducted by PS educational society(Goldn jubilee year 2024</t>
  </si>
  <si>
    <t>He has volunteered for scintilations (Inte school competitios) conducted in the school.</t>
  </si>
  <si>
    <t>*Won many prizes in Painting competitions conducted in districtwise and nationalwise. *winner in first round of zifo open quiz</t>
  </si>
  <si>
    <t xml:space="preserve">Winners of St.Brittos tournament  P S Educational society football tournament Chennaiyin FC grassroots day tournament Runners up in lalaji memorial omega international school and Sujith Bose bidhan Roy memorial tournament kolkata    </t>
  </si>
  <si>
    <t>102/116</t>
  </si>
  <si>
    <t>Winner in science fest PSBB Nungambakkam and 3rd place in Science fest PSBB kknagar</t>
  </si>
  <si>
    <t xml:space="preserve">Won 2nd place in 1500m in school sports Annual meet 2024 He secured 64th rank in state level badminton championship He is a participant of All india National Junior Badminton championship. Participated in two state level tournaments. Semifinalist in chennai district badminton doubles      </t>
  </si>
  <si>
    <t>97.5/116</t>
  </si>
  <si>
    <t>Participated in interschool cultural events like kalpakosha and reflections.</t>
  </si>
  <si>
    <t xml:space="preserve">Participated in intramural sport event.      </t>
  </si>
  <si>
    <t>Participated in kalpakosha -Dance Volunteer in science fest 24 organising committee</t>
  </si>
  <si>
    <t>TERM1-100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</si>
</sst>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Z54"/>
  <sheetViews>
    <sheetView tabSelected="1" topLeftCell="AD1" workbookViewId="0">
      <selection activeCell="AS6" sqref="AS6"/>
    </sheetView>
  </sheetViews>
  <sheetFormatPr defaultColWidth="11.7109375" defaultRowHeight="15"/>
  <cols>
    <col min="12" max="31" width="8.85546875"/>
    <col min="32" max="32" width="22.85546875" bestFit="1" customWidth="1"/>
    <col min="33" max="36" width="8.85546875"/>
    <col min="46" max="51" width="8.85546875"/>
    <col min="52" max="52" width="242" bestFit="1" customWidth="1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5</v>
      </c>
      <c r="I1" t="s">
        <v>43</v>
      </c>
      <c r="J1" t="s">
        <v>8</v>
      </c>
      <c r="K1" t="s">
        <v>9</v>
      </c>
      <c r="L1" t="s">
        <v>4</v>
      </c>
      <c r="M1" t="s">
        <v>6</v>
      </c>
      <c r="N1" t="s">
        <v>7</v>
      </c>
      <c r="O1" t="s">
        <v>5</v>
      </c>
      <c r="P1" t="s">
        <v>43</v>
      </c>
      <c r="Q1" t="s">
        <v>8</v>
      </c>
      <c r="R1" t="s">
        <v>9</v>
      </c>
      <c r="S1" t="s">
        <v>4</v>
      </c>
      <c r="T1" t="s">
        <v>6</v>
      </c>
      <c r="U1" t="s">
        <v>7</v>
      </c>
      <c r="V1" t="s">
        <v>5</v>
      </c>
      <c r="W1" t="s">
        <v>43</v>
      </c>
      <c r="X1" t="s">
        <v>8</v>
      </c>
      <c r="Y1" t="s">
        <v>4</v>
      </c>
      <c r="Z1" t="s">
        <v>6</v>
      </c>
      <c r="AA1" t="s">
        <v>7</v>
      </c>
      <c r="AB1" t="s">
        <v>5</v>
      </c>
      <c r="AC1" t="s">
        <v>43</v>
      </c>
      <c r="AD1" t="s">
        <v>8</v>
      </c>
      <c r="AE1" t="s">
        <v>9</v>
      </c>
      <c r="AF1" t="s">
        <v>4</v>
      </c>
      <c r="AG1" t="s">
        <v>6</v>
      </c>
      <c r="AH1" t="s">
        <v>7</v>
      </c>
      <c r="AI1" t="s">
        <v>5</v>
      </c>
      <c r="AJ1" t="s">
        <v>43</v>
      </c>
      <c r="AK1" s="1" t="s">
        <v>8</v>
      </c>
      <c r="AL1" s="1" t="s">
        <v>9</v>
      </c>
      <c r="AM1" s="1"/>
      <c r="AN1" s="1" t="s">
        <v>6</v>
      </c>
      <c r="AO1" s="1" t="s">
        <v>7</v>
      </c>
      <c r="AP1" s="1" t="s">
        <v>5</v>
      </c>
      <c r="AQ1" s="1" t="s">
        <v>43</v>
      </c>
      <c r="AR1" s="1" t="s">
        <v>8</v>
      </c>
      <c r="AS1" s="1" t="s">
        <v>9</v>
      </c>
      <c r="AT1" t="s">
        <v>4</v>
      </c>
      <c r="AU1" t="s">
        <v>23</v>
      </c>
      <c r="AV1" t="s">
        <v>24</v>
      </c>
      <c r="AW1" t="s">
        <v>25</v>
      </c>
      <c r="AX1" t="s">
        <v>26</v>
      </c>
      <c r="AY1" t="s">
        <v>27</v>
      </c>
      <c r="AZ1" t="s">
        <v>28</v>
      </c>
    </row>
    <row r="2" spans="1:52">
      <c r="A2">
        <v>1</v>
      </c>
      <c r="B2" t="s">
        <v>44</v>
      </c>
      <c r="C2">
        <v>14309</v>
      </c>
      <c r="D2" t="s">
        <v>45</v>
      </c>
      <c r="E2" t="s">
        <v>10</v>
      </c>
      <c r="F2">
        <v>17</v>
      </c>
      <c r="G2">
        <v>9</v>
      </c>
      <c r="H2">
        <v>32</v>
      </c>
      <c r="I2">
        <v>25.5</v>
      </c>
      <c r="J2">
        <v>20</v>
      </c>
      <c r="K2">
        <v>0</v>
      </c>
      <c r="L2" t="s">
        <v>19</v>
      </c>
      <c r="M2">
        <v>7.5</v>
      </c>
      <c r="N2">
        <v>8.5</v>
      </c>
      <c r="O2">
        <v>25.5</v>
      </c>
      <c r="P2">
        <v>19</v>
      </c>
      <c r="Q2">
        <v>14.5</v>
      </c>
      <c r="R2">
        <v>0</v>
      </c>
      <c r="S2" t="s">
        <v>20</v>
      </c>
      <c r="T2">
        <v>25.5</v>
      </c>
      <c r="U2">
        <v>7.5</v>
      </c>
      <c r="V2">
        <v>23</v>
      </c>
      <c r="W2">
        <v>23.5</v>
      </c>
      <c r="X2">
        <v>10</v>
      </c>
      <c r="Y2" t="s">
        <v>21</v>
      </c>
      <c r="Z2">
        <v>37</v>
      </c>
      <c r="AA2">
        <v>24</v>
      </c>
      <c r="AB2">
        <v>48</v>
      </c>
      <c r="AC2">
        <v>43.5</v>
      </c>
      <c r="AD2">
        <v>44.5</v>
      </c>
      <c r="AE2">
        <v>0</v>
      </c>
      <c r="AF2" t="s">
        <v>22</v>
      </c>
      <c r="AG2">
        <v>23.5</v>
      </c>
      <c r="AH2">
        <v>22</v>
      </c>
      <c r="AI2">
        <v>18</v>
      </c>
      <c r="AJ2">
        <v>17</v>
      </c>
      <c r="AK2" s="1">
        <f>CEILING((N(J2)+N(Q2)+N(X2))/120*20,0.5)</f>
        <v>7.5</v>
      </c>
      <c r="AL2" s="1">
        <f>CEILING((N(K2)+N(R2))/70*30,0.5)</f>
        <v>0</v>
      </c>
      <c r="AM2" s="1" t="s">
        <v>102</v>
      </c>
      <c r="AN2" s="1">
        <f>ROUND(N(Z2)+N(AG2),0)</f>
        <v>61</v>
      </c>
      <c r="AO2" s="1">
        <f t="shared" ref="AO2:AS2" si="0">ROUND(N(AA2)+N(AH2),0)</f>
        <v>46</v>
      </c>
      <c r="AP2" s="1">
        <f t="shared" si="0"/>
        <v>66</v>
      </c>
      <c r="AQ2" s="1">
        <f t="shared" si="0"/>
        <v>61</v>
      </c>
      <c r="AR2" s="1">
        <f t="shared" si="0"/>
        <v>52</v>
      </c>
      <c r="AS2" s="1">
        <f t="shared" si="0"/>
        <v>0</v>
      </c>
      <c r="AT2" t="s">
        <v>21</v>
      </c>
      <c r="AU2" t="s">
        <v>29</v>
      </c>
      <c r="AV2" t="s">
        <v>30</v>
      </c>
      <c r="AW2" t="s">
        <v>31</v>
      </c>
      <c r="AX2" t="s">
        <v>76</v>
      </c>
      <c r="AZ2" t="s">
        <v>77</v>
      </c>
    </row>
    <row r="3" spans="1:52">
      <c r="A3">
        <v>2</v>
      </c>
      <c r="B3" t="s">
        <v>44</v>
      </c>
      <c r="C3">
        <v>14358</v>
      </c>
      <c r="D3" t="s">
        <v>46</v>
      </c>
      <c r="E3" t="s">
        <v>10</v>
      </c>
      <c r="F3">
        <v>15</v>
      </c>
      <c r="G3">
        <v>5</v>
      </c>
      <c r="H3">
        <v>25.5</v>
      </c>
      <c r="I3">
        <v>31.5</v>
      </c>
      <c r="J3">
        <v>18.5</v>
      </c>
      <c r="K3">
        <v>0</v>
      </c>
      <c r="L3" t="s">
        <v>19</v>
      </c>
      <c r="M3">
        <v>20</v>
      </c>
      <c r="N3">
        <v>12</v>
      </c>
      <c r="O3">
        <v>28</v>
      </c>
      <c r="P3">
        <v>27</v>
      </c>
      <c r="Q3">
        <v>19</v>
      </c>
      <c r="R3">
        <v>0</v>
      </c>
      <c r="S3" t="s">
        <v>20</v>
      </c>
      <c r="T3">
        <v>16</v>
      </c>
      <c r="U3">
        <v>9</v>
      </c>
      <c r="V3">
        <v>23.5</v>
      </c>
      <c r="W3">
        <v>32</v>
      </c>
      <c r="X3">
        <v>20.5</v>
      </c>
      <c r="Y3" t="s">
        <v>21</v>
      </c>
      <c r="Z3">
        <v>24.5</v>
      </c>
      <c r="AA3">
        <v>23</v>
      </c>
      <c r="AB3">
        <v>56</v>
      </c>
      <c r="AC3">
        <v>58.5</v>
      </c>
      <c r="AD3">
        <v>40.5</v>
      </c>
      <c r="AE3">
        <v>0</v>
      </c>
      <c r="AF3" t="s">
        <v>22</v>
      </c>
      <c r="AG3">
        <v>20.5</v>
      </c>
      <c r="AH3">
        <v>25</v>
      </c>
      <c r="AI3">
        <v>16</v>
      </c>
      <c r="AJ3">
        <v>27</v>
      </c>
      <c r="AK3" s="1">
        <f t="shared" ref="AK3:AK31" si="1">CEILING((N(J3)+N(Q3)+N(X3))/120*20,0.5)</f>
        <v>10</v>
      </c>
      <c r="AL3" s="1">
        <f t="shared" ref="AL3:AL31" si="2">CEILING((N(K3)+N(R3))/70*30,0.5)</f>
        <v>0</v>
      </c>
      <c r="AM3" s="1" t="s">
        <v>102</v>
      </c>
      <c r="AN3" s="1">
        <f t="shared" ref="AN3:AN31" si="3">ROUND(N(Z3)+N(AG3),0)</f>
        <v>45</v>
      </c>
      <c r="AO3" s="1">
        <f t="shared" ref="AO3:AO31" si="4">ROUND(N(AA3)+N(AH3),0)</f>
        <v>48</v>
      </c>
      <c r="AP3" s="1">
        <f t="shared" ref="AP3:AP31" si="5">ROUND(N(AB3)+N(AI3),0)</f>
        <v>72</v>
      </c>
      <c r="AQ3" s="1">
        <f t="shared" ref="AQ3:AQ31" si="6">ROUND(N(AC3)+N(AJ3),0)</f>
        <v>86</v>
      </c>
      <c r="AR3" s="1">
        <f t="shared" ref="AR3:AR31" si="7">ROUND(N(AD3)+N(AK3),0)</f>
        <v>51</v>
      </c>
      <c r="AS3" s="1">
        <f t="shared" ref="AS3:AS31" si="8">ROUND(N(AE3)+N(AL3),0)</f>
        <v>0</v>
      </c>
      <c r="AT3" t="s">
        <v>21</v>
      </c>
      <c r="AU3" t="s">
        <v>29</v>
      </c>
      <c r="AV3" t="s">
        <v>30</v>
      </c>
      <c r="AW3" t="s">
        <v>31</v>
      </c>
      <c r="AX3" t="s">
        <v>32</v>
      </c>
      <c r="AY3" t="s">
        <v>78</v>
      </c>
      <c r="AZ3" t="s">
        <v>33</v>
      </c>
    </row>
    <row r="4" spans="1:52">
      <c r="A4">
        <v>3</v>
      </c>
      <c r="B4" t="s">
        <v>44</v>
      </c>
      <c r="C4">
        <v>14310</v>
      </c>
      <c r="D4" t="s">
        <v>47</v>
      </c>
      <c r="E4" t="s">
        <v>10</v>
      </c>
      <c r="F4">
        <v>28</v>
      </c>
      <c r="G4">
        <v>16.5</v>
      </c>
      <c r="H4">
        <v>35.5</v>
      </c>
      <c r="I4">
        <v>31.5</v>
      </c>
      <c r="J4">
        <v>30</v>
      </c>
      <c r="K4">
        <v>0</v>
      </c>
      <c r="L4" t="s">
        <v>19</v>
      </c>
      <c r="M4">
        <v>29.5</v>
      </c>
      <c r="N4">
        <v>19</v>
      </c>
      <c r="O4">
        <v>31</v>
      </c>
      <c r="P4">
        <v>30</v>
      </c>
      <c r="Q4">
        <v>23</v>
      </c>
      <c r="R4">
        <v>0</v>
      </c>
      <c r="S4" t="s">
        <v>20</v>
      </c>
      <c r="T4">
        <v>28.5</v>
      </c>
      <c r="U4">
        <v>10</v>
      </c>
      <c r="V4">
        <v>29</v>
      </c>
      <c r="W4">
        <v>35</v>
      </c>
      <c r="X4">
        <v>32</v>
      </c>
      <c r="Y4" t="s">
        <v>21</v>
      </c>
      <c r="Z4">
        <v>44.5</v>
      </c>
      <c r="AA4">
        <v>32</v>
      </c>
      <c r="AB4">
        <v>59</v>
      </c>
      <c r="AC4">
        <v>62</v>
      </c>
      <c r="AD4">
        <v>55.5</v>
      </c>
      <c r="AE4">
        <v>0</v>
      </c>
      <c r="AF4" t="s">
        <v>22</v>
      </c>
      <c r="AG4">
        <v>28</v>
      </c>
      <c r="AH4">
        <v>26</v>
      </c>
      <c r="AI4">
        <v>19</v>
      </c>
      <c r="AJ4">
        <v>28</v>
      </c>
      <c r="AK4" s="1">
        <f t="shared" si="1"/>
        <v>14.5</v>
      </c>
      <c r="AL4" s="1">
        <f t="shared" si="2"/>
        <v>0</v>
      </c>
      <c r="AM4" s="1" t="s">
        <v>102</v>
      </c>
      <c r="AN4" s="1">
        <f t="shared" si="3"/>
        <v>73</v>
      </c>
      <c r="AO4" s="1">
        <f t="shared" si="4"/>
        <v>58</v>
      </c>
      <c r="AP4" s="1">
        <f t="shared" si="5"/>
        <v>78</v>
      </c>
      <c r="AQ4" s="1">
        <f t="shared" si="6"/>
        <v>90</v>
      </c>
      <c r="AR4" s="1">
        <f t="shared" si="7"/>
        <v>70</v>
      </c>
      <c r="AS4" s="1">
        <f t="shared" si="8"/>
        <v>0</v>
      </c>
      <c r="AT4" t="s">
        <v>21</v>
      </c>
      <c r="AU4" t="s">
        <v>29</v>
      </c>
      <c r="AV4" t="s">
        <v>30</v>
      </c>
      <c r="AW4" t="s">
        <v>31</v>
      </c>
      <c r="AX4" t="s">
        <v>40</v>
      </c>
      <c r="AY4" t="s">
        <v>79</v>
      </c>
      <c r="AZ4" t="s">
        <v>33</v>
      </c>
    </row>
    <row r="5" spans="1:52">
      <c r="A5">
        <v>4</v>
      </c>
      <c r="B5" t="s">
        <v>44</v>
      </c>
      <c r="C5">
        <v>14317</v>
      </c>
      <c r="D5" t="s">
        <v>48</v>
      </c>
      <c r="E5" t="s">
        <v>10</v>
      </c>
      <c r="F5">
        <v>11</v>
      </c>
      <c r="G5">
        <v>3</v>
      </c>
      <c r="H5">
        <v>31</v>
      </c>
      <c r="I5">
        <v>23</v>
      </c>
      <c r="J5">
        <v>15</v>
      </c>
      <c r="K5">
        <v>0</v>
      </c>
      <c r="L5" t="s">
        <v>19</v>
      </c>
      <c r="M5">
        <v>16</v>
      </c>
      <c r="N5">
        <v>12</v>
      </c>
      <c r="O5">
        <v>26.5</v>
      </c>
      <c r="P5">
        <v>13</v>
      </c>
      <c r="Q5">
        <v>16</v>
      </c>
      <c r="R5">
        <v>0</v>
      </c>
      <c r="S5" t="s">
        <v>20</v>
      </c>
      <c r="T5">
        <v>13.5</v>
      </c>
      <c r="U5">
        <v>8</v>
      </c>
      <c r="V5">
        <v>21.5</v>
      </c>
      <c r="W5">
        <v>17</v>
      </c>
      <c r="X5">
        <v>8.5</v>
      </c>
      <c r="Y5" t="s">
        <v>21</v>
      </c>
      <c r="Z5">
        <v>26</v>
      </c>
      <c r="AA5">
        <v>19</v>
      </c>
      <c r="AB5">
        <v>43</v>
      </c>
      <c r="AC5">
        <v>43</v>
      </c>
      <c r="AD5">
        <v>21</v>
      </c>
      <c r="AE5">
        <v>0</v>
      </c>
      <c r="AF5" t="s">
        <v>22</v>
      </c>
      <c r="AG5">
        <v>23</v>
      </c>
      <c r="AH5">
        <v>22</v>
      </c>
      <c r="AI5">
        <v>19</v>
      </c>
      <c r="AJ5">
        <v>15</v>
      </c>
      <c r="AK5" s="1">
        <f t="shared" si="1"/>
        <v>7</v>
      </c>
      <c r="AL5" s="1">
        <f t="shared" si="2"/>
        <v>0</v>
      </c>
      <c r="AM5" s="1" t="s">
        <v>102</v>
      </c>
      <c r="AN5" s="1">
        <f t="shared" si="3"/>
        <v>49</v>
      </c>
      <c r="AO5" s="1">
        <f t="shared" si="4"/>
        <v>41</v>
      </c>
      <c r="AP5" s="1">
        <f t="shared" si="5"/>
        <v>62</v>
      </c>
      <c r="AQ5" s="1">
        <f t="shared" si="6"/>
        <v>58</v>
      </c>
      <c r="AR5" s="1">
        <f t="shared" si="7"/>
        <v>28</v>
      </c>
      <c r="AS5" s="1">
        <f t="shared" si="8"/>
        <v>0</v>
      </c>
      <c r="AT5" t="s">
        <v>21</v>
      </c>
      <c r="AU5" t="s">
        <v>29</v>
      </c>
      <c r="AV5" t="s">
        <v>30</v>
      </c>
      <c r="AW5" t="s">
        <v>31</v>
      </c>
      <c r="AX5" t="s">
        <v>34</v>
      </c>
      <c r="AY5" t="s">
        <v>80</v>
      </c>
      <c r="AZ5" t="s">
        <v>33</v>
      </c>
    </row>
    <row r="6" spans="1:52">
      <c r="A6">
        <v>5</v>
      </c>
      <c r="B6" t="s">
        <v>44</v>
      </c>
      <c r="C6">
        <v>18277</v>
      </c>
      <c r="D6" t="s">
        <v>49</v>
      </c>
      <c r="E6" t="s">
        <v>10</v>
      </c>
      <c r="F6">
        <v>23</v>
      </c>
      <c r="G6">
        <v>7.5</v>
      </c>
      <c r="H6">
        <v>28</v>
      </c>
      <c r="I6">
        <v>28</v>
      </c>
      <c r="J6">
        <v>21.5</v>
      </c>
      <c r="K6">
        <v>26</v>
      </c>
      <c r="L6" t="s">
        <v>19</v>
      </c>
      <c r="M6">
        <v>16</v>
      </c>
      <c r="N6">
        <v>17</v>
      </c>
      <c r="O6">
        <v>21</v>
      </c>
      <c r="P6">
        <v>22</v>
      </c>
      <c r="Q6">
        <v>22.5</v>
      </c>
      <c r="R6">
        <v>31</v>
      </c>
      <c r="S6" t="s">
        <v>20</v>
      </c>
      <c r="T6">
        <v>23.5</v>
      </c>
      <c r="U6">
        <v>13.5</v>
      </c>
      <c r="V6">
        <v>24</v>
      </c>
      <c r="W6">
        <v>26</v>
      </c>
      <c r="X6">
        <v>19</v>
      </c>
      <c r="Y6" t="s">
        <v>21</v>
      </c>
      <c r="Z6">
        <v>39</v>
      </c>
      <c r="AA6">
        <v>26</v>
      </c>
      <c r="AB6">
        <v>0</v>
      </c>
      <c r="AC6" t="s">
        <v>75</v>
      </c>
      <c r="AD6">
        <v>0</v>
      </c>
      <c r="AE6">
        <v>63</v>
      </c>
      <c r="AF6" t="s">
        <v>22</v>
      </c>
      <c r="AG6">
        <v>23.5</v>
      </c>
      <c r="AH6">
        <v>28</v>
      </c>
      <c r="AI6">
        <v>18</v>
      </c>
      <c r="AJ6">
        <v>25</v>
      </c>
      <c r="AK6" s="1">
        <f t="shared" si="1"/>
        <v>10.5</v>
      </c>
      <c r="AL6" s="1">
        <f t="shared" si="2"/>
        <v>24.5</v>
      </c>
      <c r="AM6" s="1" t="s">
        <v>102</v>
      </c>
      <c r="AN6" s="1">
        <f t="shared" si="3"/>
        <v>63</v>
      </c>
      <c r="AO6" s="1">
        <f t="shared" si="4"/>
        <v>54</v>
      </c>
      <c r="AP6" s="1">
        <f t="shared" si="5"/>
        <v>18</v>
      </c>
      <c r="AQ6" s="1">
        <f t="shared" si="6"/>
        <v>25</v>
      </c>
      <c r="AR6" s="1">
        <f t="shared" si="7"/>
        <v>11</v>
      </c>
      <c r="AS6" s="1">
        <f t="shared" si="8"/>
        <v>88</v>
      </c>
      <c r="AT6" t="s">
        <v>21</v>
      </c>
      <c r="AU6" t="s">
        <v>29</v>
      </c>
      <c r="AV6" t="s">
        <v>30</v>
      </c>
      <c r="AW6" t="s">
        <v>31</v>
      </c>
      <c r="AX6" t="s">
        <v>81</v>
      </c>
      <c r="AZ6" t="s">
        <v>82</v>
      </c>
    </row>
    <row r="7" spans="1:52">
      <c r="A7">
        <v>6</v>
      </c>
      <c r="B7" t="s">
        <v>44</v>
      </c>
      <c r="C7">
        <v>14711</v>
      </c>
      <c r="D7" t="s">
        <v>50</v>
      </c>
      <c r="E7" t="s">
        <v>10</v>
      </c>
      <c r="F7">
        <v>10.5</v>
      </c>
      <c r="G7">
        <v>6.5</v>
      </c>
      <c r="H7">
        <v>20.5</v>
      </c>
      <c r="I7">
        <v>17</v>
      </c>
      <c r="J7">
        <v>13.5</v>
      </c>
      <c r="K7" t="s">
        <v>12</v>
      </c>
      <c r="L7" t="s">
        <v>19</v>
      </c>
      <c r="M7">
        <v>11.5</v>
      </c>
      <c r="N7">
        <v>8.5</v>
      </c>
      <c r="O7">
        <v>19</v>
      </c>
      <c r="P7">
        <v>16.5</v>
      </c>
      <c r="Q7">
        <v>16</v>
      </c>
      <c r="R7">
        <v>22</v>
      </c>
      <c r="S7" t="s">
        <v>20</v>
      </c>
      <c r="T7">
        <v>6.5</v>
      </c>
      <c r="U7">
        <v>9.5</v>
      </c>
      <c r="V7">
        <v>24.5</v>
      </c>
      <c r="W7">
        <v>22</v>
      </c>
      <c r="X7">
        <v>20.5</v>
      </c>
      <c r="Y7" t="s">
        <v>21</v>
      </c>
      <c r="Z7">
        <v>19</v>
      </c>
      <c r="AA7">
        <v>15</v>
      </c>
      <c r="AB7">
        <v>38.5</v>
      </c>
      <c r="AC7">
        <v>43</v>
      </c>
      <c r="AD7">
        <v>27</v>
      </c>
      <c r="AE7">
        <v>42</v>
      </c>
      <c r="AF7" t="s">
        <v>22</v>
      </c>
      <c r="AG7">
        <v>20.5</v>
      </c>
      <c r="AH7">
        <v>17</v>
      </c>
      <c r="AI7">
        <v>19</v>
      </c>
      <c r="AJ7">
        <v>21</v>
      </c>
      <c r="AK7" s="1">
        <f t="shared" si="1"/>
        <v>8.5</v>
      </c>
      <c r="AL7" s="1">
        <f t="shared" si="2"/>
        <v>9.5</v>
      </c>
      <c r="AM7" s="1" t="s">
        <v>102</v>
      </c>
      <c r="AN7" s="1">
        <f t="shared" si="3"/>
        <v>40</v>
      </c>
      <c r="AO7" s="1">
        <f t="shared" si="4"/>
        <v>32</v>
      </c>
      <c r="AP7" s="1">
        <f t="shared" si="5"/>
        <v>58</v>
      </c>
      <c r="AQ7" s="1">
        <f t="shared" si="6"/>
        <v>64</v>
      </c>
      <c r="AR7" s="1">
        <f t="shared" si="7"/>
        <v>36</v>
      </c>
      <c r="AS7" s="1">
        <f t="shared" si="8"/>
        <v>52</v>
      </c>
      <c r="AT7" t="s">
        <v>21</v>
      </c>
      <c r="AU7" t="s">
        <v>29</v>
      </c>
      <c r="AV7" t="s">
        <v>30</v>
      </c>
      <c r="AW7" t="s">
        <v>31</v>
      </c>
      <c r="AX7" t="s">
        <v>83</v>
      </c>
      <c r="AY7" t="s">
        <v>80</v>
      </c>
      <c r="AZ7" t="s">
        <v>33</v>
      </c>
    </row>
    <row r="8" spans="1:52">
      <c r="A8">
        <v>7</v>
      </c>
      <c r="B8" t="s">
        <v>44</v>
      </c>
      <c r="C8">
        <v>17004</v>
      </c>
      <c r="D8" t="s">
        <v>51</v>
      </c>
      <c r="E8" t="s">
        <v>10</v>
      </c>
      <c r="F8">
        <v>20</v>
      </c>
      <c r="G8">
        <v>5</v>
      </c>
      <c r="H8">
        <v>18.5</v>
      </c>
      <c r="I8">
        <v>22</v>
      </c>
      <c r="J8">
        <v>21</v>
      </c>
      <c r="K8">
        <v>29</v>
      </c>
      <c r="L8" t="s">
        <v>19</v>
      </c>
      <c r="M8">
        <v>15</v>
      </c>
      <c r="N8">
        <v>14</v>
      </c>
      <c r="O8">
        <v>20</v>
      </c>
      <c r="P8">
        <v>17</v>
      </c>
      <c r="Q8">
        <v>13.5</v>
      </c>
      <c r="R8">
        <v>32</v>
      </c>
      <c r="S8" t="s">
        <v>20</v>
      </c>
      <c r="T8">
        <v>12</v>
      </c>
      <c r="U8">
        <v>12</v>
      </c>
      <c r="V8">
        <v>12</v>
      </c>
      <c r="W8">
        <v>15.5</v>
      </c>
      <c r="X8">
        <v>17</v>
      </c>
      <c r="Y8" t="s">
        <v>21</v>
      </c>
      <c r="Z8">
        <v>17</v>
      </c>
      <c r="AA8">
        <v>27</v>
      </c>
      <c r="AB8">
        <v>34.5</v>
      </c>
      <c r="AC8">
        <v>38.5</v>
      </c>
      <c r="AD8">
        <v>31</v>
      </c>
      <c r="AE8">
        <v>54</v>
      </c>
      <c r="AF8" t="s">
        <v>22</v>
      </c>
      <c r="AG8">
        <v>16</v>
      </c>
      <c r="AH8">
        <v>19.5</v>
      </c>
      <c r="AI8">
        <v>19</v>
      </c>
      <c r="AJ8">
        <v>14</v>
      </c>
      <c r="AK8" s="1">
        <f t="shared" si="1"/>
        <v>9</v>
      </c>
      <c r="AL8" s="1">
        <f t="shared" si="2"/>
        <v>26.5</v>
      </c>
      <c r="AM8" s="1" t="s">
        <v>102</v>
      </c>
      <c r="AN8" s="1">
        <f t="shared" si="3"/>
        <v>33</v>
      </c>
      <c r="AO8" s="1">
        <f t="shared" si="4"/>
        <v>47</v>
      </c>
      <c r="AP8" s="1">
        <f t="shared" si="5"/>
        <v>54</v>
      </c>
      <c r="AQ8" s="1">
        <f t="shared" si="6"/>
        <v>53</v>
      </c>
      <c r="AR8" s="1">
        <f t="shared" si="7"/>
        <v>40</v>
      </c>
      <c r="AS8" s="1">
        <f t="shared" si="8"/>
        <v>81</v>
      </c>
      <c r="AT8" t="s">
        <v>21</v>
      </c>
      <c r="AU8" t="s">
        <v>29</v>
      </c>
      <c r="AV8" t="s">
        <v>30</v>
      </c>
      <c r="AW8" t="s">
        <v>31</v>
      </c>
      <c r="AX8" t="s">
        <v>37</v>
      </c>
      <c r="AY8" t="s">
        <v>84</v>
      </c>
      <c r="AZ8" t="s">
        <v>33</v>
      </c>
    </row>
    <row r="9" spans="1:52">
      <c r="A9">
        <v>8</v>
      </c>
      <c r="B9" t="s">
        <v>44</v>
      </c>
      <c r="C9">
        <v>18365</v>
      </c>
      <c r="D9" t="s">
        <v>52</v>
      </c>
      <c r="E9" t="s">
        <v>10</v>
      </c>
      <c r="F9">
        <v>17.5</v>
      </c>
      <c r="G9">
        <v>13</v>
      </c>
      <c r="H9">
        <v>23.5</v>
      </c>
      <c r="I9">
        <v>25</v>
      </c>
      <c r="J9">
        <v>7</v>
      </c>
      <c r="K9">
        <v>32</v>
      </c>
      <c r="L9" t="s">
        <v>19</v>
      </c>
      <c r="M9">
        <v>18.5</v>
      </c>
      <c r="N9">
        <v>13.5</v>
      </c>
      <c r="O9">
        <v>23</v>
      </c>
      <c r="P9">
        <v>20</v>
      </c>
      <c r="Q9">
        <v>13.5</v>
      </c>
      <c r="R9">
        <v>30</v>
      </c>
      <c r="S9" t="s">
        <v>20</v>
      </c>
      <c r="T9">
        <v>13.5</v>
      </c>
      <c r="U9">
        <v>10</v>
      </c>
      <c r="V9">
        <v>25</v>
      </c>
      <c r="W9">
        <v>30</v>
      </c>
      <c r="X9">
        <v>21.5</v>
      </c>
      <c r="Y9" t="s">
        <v>21</v>
      </c>
      <c r="Z9">
        <v>36.5</v>
      </c>
      <c r="AA9">
        <v>24</v>
      </c>
      <c r="AB9">
        <v>35.5</v>
      </c>
      <c r="AC9">
        <v>58.5</v>
      </c>
      <c r="AD9">
        <v>31.5</v>
      </c>
      <c r="AE9">
        <v>56</v>
      </c>
      <c r="AF9" t="s">
        <v>22</v>
      </c>
      <c r="AG9">
        <v>24.5</v>
      </c>
      <c r="AH9">
        <v>20</v>
      </c>
      <c r="AI9">
        <v>18</v>
      </c>
      <c r="AJ9">
        <v>26</v>
      </c>
      <c r="AK9" s="1">
        <f t="shared" si="1"/>
        <v>7</v>
      </c>
      <c r="AL9" s="1">
        <f t="shared" si="2"/>
        <v>27</v>
      </c>
      <c r="AM9" s="1" t="s">
        <v>102</v>
      </c>
      <c r="AN9" s="1">
        <f t="shared" si="3"/>
        <v>61</v>
      </c>
      <c r="AO9" s="1">
        <f t="shared" si="4"/>
        <v>44</v>
      </c>
      <c r="AP9" s="1">
        <f t="shared" si="5"/>
        <v>54</v>
      </c>
      <c r="AQ9" s="1">
        <f t="shared" si="6"/>
        <v>85</v>
      </c>
      <c r="AR9" s="1">
        <f t="shared" si="7"/>
        <v>39</v>
      </c>
      <c r="AS9" s="1">
        <f t="shared" si="8"/>
        <v>83</v>
      </c>
      <c r="AT9" t="s">
        <v>21</v>
      </c>
      <c r="AU9" t="s">
        <v>29</v>
      </c>
      <c r="AV9" t="s">
        <v>30</v>
      </c>
      <c r="AW9" t="s">
        <v>31</v>
      </c>
      <c r="AX9" t="s">
        <v>85</v>
      </c>
      <c r="AY9" t="s">
        <v>86</v>
      </c>
      <c r="AZ9" t="s">
        <v>33</v>
      </c>
    </row>
    <row r="10" spans="1:52">
      <c r="A10">
        <v>9</v>
      </c>
      <c r="B10" t="s">
        <v>44</v>
      </c>
      <c r="C10">
        <v>14461</v>
      </c>
      <c r="D10" t="s">
        <v>53</v>
      </c>
      <c r="E10" t="s">
        <v>10</v>
      </c>
      <c r="F10">
        <v>30.5</v>
      </c>
      <c r="G10">
        <v>22.5</v>
      </c>
      <c r="H10">
        <v>35.5</v>
      </c>
      <c r="I10">
        <v>33</v>
      </c>
      <c r="J10">
        <v>36.5</v>
      </c>
      <c r="K10">
        <v>0</v>
      </c>
      <c r="L10" t="s">
        <v>19</v>
      </c>
      <c r="M10">
        <v>31.5</v>
      </c>
      <c r="N10">
        <v>15</v>
      </c>
      <c r="O10">
        <v>38.5</v>
      </c>
      <c r="P10">
        <v>32</v>
      </c>
      <c r="Q10">
        <v>32</v>
      </c>
      <c r="R10">
        <v>0</v>
      </c>
      <c r="S10" t="s">
        <v>20</v>
      </c>
      <c r="T10">
        <v>33.5</v>
      </c>
      <c r="U10">
        <v>23</v>
      </c>
      <c r="V10">
        <v>39</v>
      </c>
      <c r="W10">
        <v>33.5</v>
      </c>
      <c r="X10">
        <v>29.5</v>
      </c>
      <c r="Y10" t="s">
        <v>21</v>
      </c>
      <c r="Z10">
        <v>54.5</v>
      </c>
      <c r="AA10">
        <v>42</v>
      </c>
      <c r="AB10">
        <v>71</v>
      </c>
      <c r="AC10">
        <v>67</v>
      </c>
      <c r="AD10">
        <v>65.5</v>
      </c>
      <c r="AE10">
        <v>0</v>
      </c>
      <c r="AF10" t="s">
        <v>22</v>
      </c>
      <c r="AG10">
        <v>27</v>
      </c>
      <c r="AH10">
        <v>28</v>
      </c>
      <c r="AI10">
        <v>20</v>
      </c>
      <c r="AJ10">
        <v>30</v>
      </c>
      <c r="AK10" s="1">
        <f t="shared" si="1"/>
        <v>16.5</v>
      </c>
      <c r="AL10" s="1">
        <f t="shared" si="2"/>
        <v>0</v>
      </c>
      <c r="AM10" s="1" t="s">
        <v>102</v>
      </c>
      <c r="AN10" s="1">
        <f t="shared" si="3"/>
        <v>82</v>
      </c>
      <c r="AO10" s="1">
        <f t="shared" si="4"/>
        <v>70</v>
      </c>
      <c r="AP10" s="1">
        <f t="shared" si="5"/>
        <v>91</v>
      </c>
      <c r="AQ10" s="1">
        <f t="shared" si="6"/>
        <v>97</v>
      </c>
      <c r="AR10" s="1">
        <f t="shared" si="7"/>
        <v>82</v>
      </c>
      <c r="AS10" s="1">
        <f t="shared" si="8"/>
        <v>0</v>
      </c>
      <c r="AT10" t="s">
        <v>21</v>
      </c>
      <c r="AU10" t="s">
        <v>29</v>
      </c>
      <c r="AV10" t="s">
        <v>30</v>
      </c>
      <c r="AW10" t="s">
        <v>31</v>
      </c>
      <c r="AX10" t="s">
        <v>85</v>
      </c>
      <c r="AY10" t="s">
        <v>87</v>
      </c>
      <c r="AZ10" t="s">
        <v>33</v>
      </c>
    </row>
    <row r="11" spans="1:52">
      <c r="A11">
        <v>10</v>
      </c>
      <c r="B11" t="s">
        <v>44</v>
      </c>
      <c r="C11">
        <v>14350</v>
      </c>
      <c r="D11" t="s">
        <v>54</v>
      </c>
      <c r="E11" t="s">
        <v>10</v>
      </c>
      <c r="F11">
        <v>9.5</v>
      </c>
      <c r="G11">
        <v>5.5</v>
      </c>
      <c r="H11">
        <v>24.5</v>
      </c>
      <c r="I11">
        <v>27</v>
      </c>
      <c r="J11">
        <v>29.5</v>
      </c>
      <c r="K11">
        <v>0</v>
      </c>
      <c r="L11" t="s">
        <v>19</v>
      </c>
      <c r="M11">
        <v>30</v>
      </c>
      <c r="N11">
        <v>15</v>
      </c>
      <c r="O11">
        <v>24.5</v>
      </c>
      <c r="P11">
        <v>21.5</v>
      </c>
      <c r="Q11">
        <v>17</v>
      </c>
      <c r="R11">
        <v>0</v>
      </c>
      <c r="S11" t="s">
        <v>20</v>
      </c>
      <c r="T11">
        <v>29.5</v>
      </c>
      <c r="U11">
        <v>10</v>
      </c>
      <c r="V11">
        <v>22</v>
      </c>
      <c r="W11">
        <v>31</v>
      </c>
      <c r="X11">
        <v>20.5</v>
      </c>
      <c r="Y11" t="s">
        <v>21</v>
      </c>
      <c r="Z11">
        <v>49</v>
      </c>
      <c r="AA11">
        <v>17</v>
      </c>
      <c r="AB11">
        <v>41.5</v>
      </c>
      <c r="AC11">
        <v>60.5</v>
      </c>
      <c r="AD11">
        <v>0</v>
      </c>
      <c r="AE11">
        <v>0</v>
      </c>
      <c r="AF11" t="s">
        <v>22</v>
      </c>
      <c r="AG11">
        <v>25</v>
      </c>
      <c r="AH11">
        <v>21</v>
      </c>
      <c r="AI11">
        <v>19</v>
      </c>
      <c r="AJ11">
        <v>28</v>
      </c>
      <c r="AK11" s="1">
        <f t="shared" si="1"/>
        <v>11.5</v>
      </c>
      <c r="AL11" s="1">
        <f t="shared" si="2"/>
        <v>0</v>
      </c>
      <c r="AM11" s="1" t="s">
        <v>102</v>
      </c>
      <c r="AN11" s="1">
        <f t="shared" si="3"/>
        <v>74</v>
      </c>
      <c r="AO11" s="1">
        <f t="shared" si="4"/>
        <v>38</v>
      </c>
      <c r="AP11" s="1">
        <f t="shared" si="5"/>
        <v>61</v>
      </c>
      <c r="AQ11" s="1">
        <f t="shared" si="6"/>
        <v>89</v>
      </c>
      <c r="AR11" s="1">
        <f t="shared" si="7"/>
        <v>12</v>
      </c>
      <c r="AS11" s="1">
        <f t="shared" si="8"/>
        <v>0</v>
      </c>
      <c r="AT11" t="s">
        <v>21</v>
      </c>
      <c r="AU11" t="s">
        <v>29</v>
      </c>
      <c r="AV11" t="s">
        <v>30</v>
      </c>
      <c r="AW11" t="s">
        <v>31</v>
      </c>
      <c r="AX11" t="s">
        <v>42</v>
      </c>
      <c r="AY11" t="s">
        <v>79</v>
      </c>
      <c r="AZ11" t="s">
        <v>33</v>
      </c>
    </row>
    <row r="12" spans="1:52">
      <c r="A12">
        <v>11</v>
      </c>
      <c r="B12" t="s">
        <v>44</v>
      </c>
      <c r="C12">
        <v>16346</v>
      </c>
      <c r="D12" t="s">
        <v>55</v>
      </c>
      <c r="E12" t="s">
        <v>10</v>
      </c>
      <c r="F12">
        <v>17</v>
      </c>
      <c r="G12">
        <v>9</v>
      </c>
      <c r="H12">
        <v>32</v>
      </c>
      <c r="I12">
        <v>27.5</v>
      </c>
      <c r="J12">
        <v>14.5</v>
      </c>
      <c r="K12">
        <v>0</v>
      </c>
      <c r="L12" t="s">
        <v>19</v>
      </c>
      <c r="M12">
        <v>14.5</v>
      </c>
      <c r="N12">
        <v>11.5</v>
      </c>
      <c r="O12">
        <v>36</v>
      </c>
      <c r="P12">
        <v>16</v>
      </c>
      <c r="Q12">
        <v>13.5</v>
      </c>
      <c r="R12">
        <v>0</v>
      </c>
      <c r="S12" t="s">
        <v>20</v>
      </c>
      <c r="T12">
        <v>11.5</v>
      </c>
      <c r="U12">
        <v>9</v>
      </c>
      <c r="V12">
        <v>28</v>
      </c>
      <c r="W12">
        <v>27.5</v>
      </c>
      <c r="X12">
        <v>14.5</v>
      </c>
      <c r="Y12" t="s">
        <v>21</v>
      </c>
      <c r="Z12">
        <v>15</v>
      </c>
      <c r="AA12">
        <v>15</v>
      </c>
      <c r="AB12">
        <v>52.5</v>
      </c>
      <c r="AC12">
        <v>43.5</v>
      </c>
      <c r="AD12">
        <v>24</v>
      </c>
      <c r="AE12">
        <v>0</v>
      </c>
      <c r="AF12" t="s">
        <v>22</v>
      </c>
      <c r="AG12">
        <v>16</v>
      </c>
      <c r="AH12">
        <v>24</v>
      </c>
      <c r="AI12">
        <v>20</v>
      </c>
      <c r="AJ12">
        <v>21</v>
      </c>
      <c r="AK12" s="1">
        <f t="shared" si="1"/>
        <v>7.5</v>
      </c>
      <c r="AL12" s="1">
        <f t="shared" si="2"/>
        <v>0</v>
      </c>
      <c r="AM12" s="1" t="s">
        <v>102</v>
      </c>
      <c r="AN12" s="1">
        <f t="shared" si="3"/>
        <v>31</v>
      </c>
      <c r="AO12" s="1">
        <f t="shared" si="4"/>
        <v>39</v>
      </c>
      <c r="AP12" s="1">
        <f t="shared" si="5"/>
        <v>73</v>
      </c>
      <c r="AQ12" s="1">
        <f t="shared" si="6"/>
        <v>65</v>
      </c>
      <c r="AR12" s="1">
        <f t="shared" si="7"/>
        <v>32</v>
      </c>
      <c r="AS12" s="1">
        <f t="shared" si="8"/>
        <v>0</v>
      </c>
      <c r="AT12" t="s">
        <v>21</v>
      </c>
      <c r="AU12" t="s">
        <v>29</v>
      </c>
      <c r="AV12" t="s">
        <v>30</v>
      </c>
      <c r="AW12" t="s">
        <v>31</v>
      </c>
      <c r="AX12" t="s">
        <v>35</v>
      </c>
      <c r="AY12" t="s">
        <v>88</v>
      </c>
      <c r="AZ12" t="s">
        <v>33</v>
      </c>
    </row>
    <row r="13" spans="1:52">
      <c r="A13">
        <v>12</v>
      </c>
      <c r="B13" t="s">
        <v>44</v>
      </c>
      <c r="C13">
        <v>14336</v>
      </c>
      <c r="D13" t="s">
        <v>56</v>
      </c>
      <c r="E13" t="s">
        <v>10</v>
      </c>
      <c r="F13">
        <v>22</v>
      </c>
      <c r="G13">
        <v>8.5</v>
      </c>
      <c r="H13">
        <v>24</v>
      </c>
      <c r="I13">
        <v>17</v>
      </c>
      <c r="J13">
        <v>24.5</v>
      </c>
      <c r="K13">
        <v>0</v>
      </c>
      <c r="L13" t="s">
        <v>19</v>
      </c>
      <c r="M13">
        <v>15.5</v>
      </c>
      <c r="N13" t="s">
        <v>11</v>
      </c>
      <c r="O13">
        <v>22.5</v>
      </c>
      <c r="P13">
        <v>11.5</v>
      </c>
      <c r="Q13">
        <v>27</v>
      </c>
      <c r="R13">
        <v>0</v>
      </c>
      <c r="S13" t="s">
        <v>20</v>
      </c>
      <c r="T13">
        <v>25</v>
      </c>
      <c r="U13">
        <v>11.5</v>
      </c>
      <c r="V13">
        <v>24</v>
      </c>
      <c r="W13">
        <v>16</v>
      </c>
      <c r="X13">
        <v>29</v>
      </c>
      <c r="Y13" t="s">
        <v>21</v>
      </c>
      <c r="Z13">
        <v>27.5</v>
      </c>
      <c r="AA13">
        <v>16</v>
      </c>
      <c r="AB13">
        <v>41</v>
      </c>
      <c r="AC13">
        <v>38</v>
      </c>
      <c r="AD13">
        <v>30.5</v>
      </c>
      <c r="AE13">
        <v>0</v>
      </c>
      <c r="AF13" t="s">
        <v>22</v>
      </c>
      <c r="AG13">
        <v>25</v>
      </c>
      <c r="AH13">
        <v>19</v>
      </c>
      <c r="AI13">
        <v>19</v>
      </c>
      <c r="AJ13">
        <v>16</v>
      </c>
      <c r="AK13" s="1">
        <f t="shared" si="1"/>
        <v>13.5</v>
      </c>
      <c r="AL13" s="1">
        <f t="shared" si="2"/>
        <v>0</v>
      </c>
      <c r="AM13" s="1" t="s">
        <v>102</v>
      </c>
      <c r="AN13" s="1">
        <f t="shared" si="3"/>
        <v>53</v>
      </c>
      <c r="AO13" s="1">
        <f t="shared" si="4"/>
        <v>35</v>
      </c>
      <c r="AP13" s="1">
        <f t="shared" si="5"/>
        <v>60</v>
      </c>
      <c r="AQ13" s="1">
        <f t="shared" si="6"/>
        <v>54</v>
      </c>
      <c r="AR13" s="1">
        <f t="shared" si="7"/>
        <v>44</v>
      </c>
      <c r="AS13" s="1">
        <f t="shared" si="8"/>
        <v>0</v>
      </c>
      <c r="AT13" t="s">
        <v>21</v>
      </c>
      <c r="AU13" t="s">
        <v>29</v>
      </c>
      <c r="AV13" t="s">
        <v>30</v>
      </c>
      <c r="AW13" t="s">
        <v>31</v>
      </c>
      <c r="AX13" t="s">
        <v>76</v>
      </c>
      <c r="AY13" t="s">
        <v>80</v>
      </c>
      <c r="AZ13" t="s">
        <v>33</v>
      </c>
    </row>
    <row r="14" spans="1:52">
      <c r="A14">
        <v>13</v>
      </c>
      <c r="B14" t="s">
        <v>44</v>
      </c>
      <c r="C14">
        <v>18454</v>
      </c>
      <c r="D14" t="s">
        <v>57</v>
      </c>
      <c r="E14" t="s">
        <v>10</v>
      </c>
      <c r="F14">
        <v>29</v>
      </c>
      <c r="G14">
        <v>10.5</v>
      </c>
      <c r="H14">
        <v>22.5</v>
      </c>
      <c r="I14">
        <v>30</v>
      </c>
      <c r="J14">
        <v>13</v>
      </c>
      <c r="K14">
        <v>0</v>
      </c>
      <c r="L14" t="s">
        <v>19</v>
      </c>
      <c r="M14">
        <v>29.5</v>
      </c>
      <c r="N14">
        <v>17.5</v>
      </c>
      <c r="O14">
        <v>22.5</v>
      </c>
      <c r="P14">
        <v>27</v>
      </c>
      <c r="Q14">
        <v>27.5</v>
      </c>
      <c r="R14">
        <v>0</v>
      </c>
      <c r="S14" t="s">
        <v>20</v>
      </c>
      <c r="T14">
        <v>34</v>
      </c>
      <c r="U14">
        <v>11.5</v>
      </c>
      <c r="V14">
        <v>23</v>
      </c>
      <c r="W14">
        <v>31</v>
      </c>
      <c r="X14">
        <v>31</v>
      </c>
      <c r="Y14" t="s">
        <v>21</v>
      </c>
      <c r="Z14">
        <v>54</v>
      </c>
      <c r="AA14">
        <v>33</v>
      </c>
      <c r="AB14">
        <v>57</v>
      </c>
      <c r="AC14">
        <v>61.5</v>
      </c>
      <c r="AD14">
        <v>64</v>
      </c>
      <c r="AE14">
        <v>0</v>
      </c>
      <c r="AF14" t="s">
        <v>22</v>
      </c>
      <c r="AG14">
        <v>29</v>
      </c>
      <c r="AH14">
        <v>24</v>
      </c>
      <c r="AI14">
        <v>20</v>
      </c>
      <c r="AJ14">
        <v>28</v>
      </c>
      <c r="AK14" s="1">
        <f t="shared" si="1"/>
        <v>12</v>
      </c>
      <c r="AL14" s="1">
        <f t="shared" si="2"/>
        <v>0</v>
      </c>
      <c r="AM14" s="1" t="s">
        <v>102</v>
      </c>
      <c r="AN14" s="1">
        <f t="shared" si="3"/>
        <v>83</v>
      </c>
      <c r="AO14" s="1">
        <f t="shared" si="4"/>
        <v>57</v>
      </c>
      <c r="AP14" s="1">
        <f t="shared" si="5"/>
        <v>77</v>
      </c>
      <c r="AQ14" s="1">
        <f t="shared" si="6"/>
        <v>90</v>
      </c>
      <c r="AR14" s="1">
        <f t="shared" si="7"/>
        <v>76</v>
      </c>
      <c r="AS14" s="1">
        <f t="shared" si="8"/>
        <v>0</v>
      </c>
      <c r="AT14" t="s">
        <v>21</v>
      </c>
      <c r="AU14" t="s">
        <v>29</v>
      </c>
      <c r="AV14" t="s">
        <v>30</v>
      </c>
      <c r="AW14" t="s">
        <v>31</v>
      </c>
      <c r="AX14" t="s">
        <v>40</v>
      </c>
      <c r="AY14" t="s">
        <v>84</v>
      </c>
      <c r="AZ14" t="s">
        <v>33</v>
      </c>
    </row>
    <row r="15" spans="1:52">
      <c r="A15">
        <v>14</v>
      </c>
      <c r="B15" t="s">
        <v>44</v>
      </c>
      <c r="C15">
        <v>14346</v>
      </c>
      <c r="D15" t="s">
        <v>58</v>
      </c>
      <c r="E15" t="s">
        <v>10</v>
      </c>
      <c r="F15">
        <v>14</v>
      </c>
      <c r="G15">
        <v>5</v>
      </c>
      <c r="H15">
        <v>30.5</v>
      </c>
      <c r="I15">
        <v>20.5</v>
      </c>
      <c r="J15">
        <v>17</v>
      </c>
      <c r="K15">
        <v>35</v>
      </c>
      <c r="L15" t="s">
        <v>19</v>
      </c>
      <c r="M15">
        <v>8.5</v>
      </c>
      <c r="N15">
        <v>8.5</v>
      </c>
      <c r="O15">
        <v>29.5</v>
      </c>
      <c r="P15">
        <v>10</v>
      </c>
      <c r="Q15">
        <v>13.5</v>
      </c>
      <c r="R15">
        <v>28</v>
      </c>
      <c r="S15" t="s">
        <v>20</v>
      </c>
      <c r="T15">
        <v>16.5</v>
      </c>
      <c r="U15">
        <v>7</v>
      </c>
      <c r="V15">
        <v>22.5</v>
      </c>
      <c r="W15">
        <v>16</v>
      </c>
      <c r="X15">
        <v>14</v>
      </c>
      <c r="Y15" t="s">
        <v>21</v>
      </c>
      <c r="Z15">
        <v>30</v>
      </c>
      <c r="AA15">
        <v>15</v>
      </c>
      <c r="AB15">
        <v>0</v>
      </c>
      <c r="AC15" t="s">
        <v>75</v>
      </c>
      <c r="AD15">
        <v>22.5</v>
      </c>
      <c r="AE15">
        <v>56</v>
      </c>
      <c r="AF15" t="s">
        <v>22</v>
      </c>
      <c r="AG15">
        <v>20</v>
      </c>
      <c r="AH15">
        <v>17</v>
      </c>
      <c r="AI15">
        <v>19</v>
      </c>
      <c r="AJ15">
        <v>13</v>
      </c>
      <c r="AK15" s="1">
        <f t="shared" si="1"/>
        <v>7.5</v>
      </c>
      <c r="AL15" s="1">
        <f t="shared" si="2"/>
        <v>27</v>
      </c>
      <c r="AM15" s="1" t="s">
        <v>102</v>
      </c>
      <c r="AN15" s="1">
        <f t="shared" si="3"/>
        <v>50</v>
      </c>
      <c r="AO15" s="1">
        <f t="shared" si="4"/>
        <v>32</v>
      </c>
      <c r="AP15" s="1">
        <f t="shared" si="5"/>
        <v>19</v>
      </c>
      <c r="AQ15" s="1">
        <f t="shared" si="6"/>
        <v>13</v>
      </c>
      <c r="AR15" s="1">
        <f t="shared" si="7"/>
        <v>30</v>
      </c>
      <c r="AS15" s="1">
        <f t="shared" si="8"/>
        <v>83</v>
      </c>
      <c r="AT15" t="s">
        <v>21</v>
      </c>
      <c r="AU15" t="s">
        <v>29</v>
      </c>
      <c r="AV15" t="s">
        <v>30</v>
      </c>
      <c r="AW15" t="s">
        <v>31</v>
      </c>
      <c r="AX15" t="s">
        <v>41</v>
      </c>
      <c r="AZ15" t="s">
        <v>89</v>
      </c>
    </row>
    <row r="16" spans="1:52">
      <c r="A16">
        <v>15</v>
      </c>
      <c r="B16" t="s">
        <v>44</v>
      </c>
      <c r="C16">
        <v>18273</v>
      </c>
      <c r="D16" t="s">
        <v>59</v>
      </c>
      <c r="E16" t="s">
        <v>10</v>
      </c>
      <c r="F16">
        <v>24</v>
      </c>
      <c r="G16">
        <v>8.5</v>
      </c>
      <c r="H16">
        <v>32.5</v>
      </c>
      <c r="I16">
        <v>27</v>
      </c>
      <c r="J16">
        <v>23</v>
      </c>
      <c r="K16">
        <v>0</v>
      </c>
      <c r="L16" t="s">
        <v>19</v>
      </c>
      <c r="M16">
        <v>25.5</v>
      </c>
      <c r="N16">
        <v>12</v>
      </c>
      <c r="O16">
        <v>30.5</v>
      </c>
      <c r="P16">
        <v>19</v>
      </c>
      <c r="Q16">
        <v>10</v>
      </c>
      <c r="R16">
        <v>0</v>
      </c>
      <c r="S16" t="s">
        <v>20</v>
      </c>
      <c r="T16">
        <v>28</v>
      </c>
      <c r="U16">
        <v>9</v>
      </c>
      <c r="V16">
        <v>31.5</v>
      </c>
      <c r="W16">
        <v>23</v>
      </c>
      <c r="X16">
        <v>22</v>
      </c>
      <c r="Y16" t="s">
        <v>21</v>
      </c>
      <c r="Z16">
        <v>41</v>
      </c>
      <c r="AA16">
        <v>30</v>
      </c>
      <c r="AB16">
        <v>56.5</v>
      </c>
      <c r="AC16">
        <v>59</v>
      </c>
      <c r="AD16">
        <v>43</v>
      </c>
      <c r="AE16">
        <v>0</v>
      </c>
      <c r="AF16" t="s">
        <v>22</v>
      </c>
      <c r="AG16">
        <v>30</v>
      </c>
      <c r="AH16">
        <v>25</v>
      </c>
      <c r="AI16">
        <v>20</v>
      </c>
      <c r="AJ16">
        <v>27</v>
      </c>
      <c r="AK16" s="1">
        <f t="shared" si="1"/>
        <v>9.5</v>
      </c>
      <c r="AL16" s="1">
        <f t="shared" si="2"/>
        <v>0</v>
      </c>
      <c r="AM16" s="1" t="s">
        <v>102</v>
      </c>
      <c r="AN16" s="1">
        <f t="shared" si="3"/>
        <v>71</v>
      </c>
      <c r="AO16" s="1">
        <f t="shared" si="4"/>
        <v>55</v>
      </c>
      <c r="AP16" s="1">
        <f t="shared" si="5"/>
        <v>77</v>
      </c>
      <c r="AQ16" s="1">
        <f t="shared" si="6"/>
        <v>86</v>
      </c>
      <c r="AR16" s="1">
        <f t="shared" si="7"/>
        <v>53</v>
      </c>
      <c r="AS16" s="1">
        <f t="shared" si="8"/>
        <v>0</v>
      </c>
      <c r="AT16" t="s">
        <v>21</v>
      </c>
      <c r="AU16" t="s">
        <v>29</v>
      </c>
      <c r="AV16" t="s">
        <v>30</v>
      </c>
      <c r="AW16" t="s">
        <v>31</v>
      </c>
      <c r="AX16" t="s">
        <v>90</v>
      </c>
      <c r="AY16" t="s">
        <v>79</v>
      </c>
      <c r="AZ16" t="s">
        <v>33</v>
      </c>
    </row>
    <row r="17" spans="1:52">
      <c r="A17">
        <v>16</v>
      </c>
      <c r="B17" t="s">
        <v>44</v>
      </c>
      <c r="C17">
        <v>18374</v>
      </c>
      <c r="D17" t="s">
        <v>60</v>
      </c>
      <c r="E17" t="s">
        <v>10</v>
      </c>
      <c r="F17">
        <v>11.5</v>
      </c>
      <c r="G17">
        <v>4.5</v>
      </c>
      <c r="H17">
        <v>31</v>
      </c>
      <c r="I17">
        <v>23</v>
      </c>
      <c r="J17">
        <v>17</v>
      </c>
      <c r="K17">
        <v>0</v>
      </c>
      <c r="L17" t="s">
        <v>19</v>
      </c>
      <c r="M17">
        <v>11.5</v>
      </c>
      <c r="N17">
        <v>12.5</v>
      </c>
      <c r="O17">
        <v>33</v>
      </c>
      <c r="P17">
        <v>21.5</v>
      </c>
      <c r="Q17">
        <v>7</v>
      </c>
      <c r="R17">
        <v>0</v>
      </c>
      <c r="S17" t="s">
        <v>20</v>
      </c>
      <c r="T17">
        <v>5</v>
      </c>
      <c r="U17">
        <v>4</v>
      </c>
      <c r="V17">
        <v>33</v>
      </c>
      <c r="W17">
        <v>21</v>
      </c>
      <c r="X17">
        <v>9.5</v>
      </c>
      <c r="Y17" t="s">
        <v>21</v>
      </c>
      <c r="Z17">
        <v>12.5</v>
      </c>
      <c r="AA17">
        <v>12</v>
      </c>
      <c r="AB17">
        <v>55</v>
      </c>
      <c r="AC17">
        <v>37.5</v>
      </c>
      <c r="AD17">
        <v>24</v>
      </c>
      <c r="AE17">
        <v>0</v>
      </c>
      <c r="AF17" t="s">
        <v>22</v>
      </c>
      <c r="AG17">
        <v>17.5</v>
      </c>
      <c r="AH17">
        <v>21</v>
      </c>
      <c r="AI17">
        <v>20</v>
      </c>
      <c r="AJ17">
        <v>18</v>
      </c>
      <c r="AK17" s="1">
        <f t="shared" si="1"/>
        <v>6</v>
      </c>
      <c r="AL17" s="1">
        <f t="shared" si="2"/>
        <v>0</v>
      </c>
      <c r="AM17" s="1" t="s">
        <v>102</v>
      </c>
      <c r="AN17" s="1">
        <f t="shared" si="3"/>
        <v>30</v>
      </c>
      <c r="AO17" s="1">
        <f t="shared" si="4"/>
        <v>33</v>
      </c>
      <c r="AP17" s="1">
        <f t="shared" si="5"/>
        <v>75</v>
      </c>
      <c r="AQ17" s="1">
        <f t="shared" si="6"/>
        <v>56</v>
      </c>
      <c r="AR17" s="1">
        <f t="shared" si="7"/>
        <v>30</v>
      </c>
      <c r="AS17" s="1">
        <f t="shared" si="8"/>
        <v>0</v>
      </c>
      <c r="AT17" t="s">
        <v>21</v>
      </c>
      <c r="AU17" t="s">
        <v>29</v>
      </c>
      <c r="AV17" t="s">
        <v>30</v>
      </c>
      <c r="AW17" t="s">
        <v>31</v>
      </c>
      <c r="AX17" t="s">
        <v>32</v>
      </c>
      <c r="AY17" t="s">
        <v>91</v>
      </c>
      <c r="AZ17" t="s">
        <v>33</v>
      </c>
    </row>
    <row r="18" spans="1:52">
      <c r="A18">
        <v>17</v>
      </c>
      <c r="B18" t="s">
        <v>44</v>
      </c>
      <c r="C18">
        <v>17595</v>
      </c>
      <c r="D18" t="s">
        <v>61</v>
      </c>
      <c r="E18" t="s">
        <v>10</v>
      </c>
      <c r="F18">
        <v>14</v>
      </c>
      <c r="G18">
        <v>4</v>
      </c>
      <c r="H18">
        <v>28.5</v>
      </c>
      <c r="I18">
        <v>21.5</v>
      </c>
      <c r="J18">
        <v>21.5</v>
      </c>
      <c r="K18">
        <v>0</v>
      </c>
      <c r="L18" t="s">
        <v>19</v>
      </c>
      <c r="M18">
        <v>24.5</v>
      </c>
      <c r="N18">
        <v>5.5</v>
      </c>
      <c r="O18">
        <v>24</v>
      </c>
      <c r="P18">
        <v>21.5</v>
      </c>
      <c r="Q18">
        <v>18</v>
      </c>
      <c r="R18">
        <v>0</v>
      </c>
      <c r="S18" t="s">
        <v>20</v>
      </c>
      <c r="T18">
        <v>24.5</v>
      </c>
      <c r="U18">
        <v>12.5</v>
      </c>
      <c r="V18">
        <v>27</v>
      </c>
      <c r="W18">
        <v>26</v>
      </c>
      <c r="X18">
        <v>28.5</v>
      </c>
      <c r="Y18" t="s">
        <v>21</v>
      </c>
      <c r="Z18">
        <v>28</v>
      </c>
      <c r="AA18">
        <v>26</v>
      </c>
      <c r="AB18">
        <v>50.5</v>
      </c>
      <c r="AC18">
        <v>54.5</v>
      </c>
      <c r="AD18">
        <v>36</v>
      </c>
      <c r="AE18">
        <v>0</v>
      </c>
      <c r="AF18" t="s">
        <v>22</v>
      </c>
      <c r="AG18">
        <v>25.5</v>
      </c>
      <c r="AH18">
        <v>18</v>
      </c>
      <c r="AI18">
        <v>18</v>
      </c>
      <c r="AJ18">
        <v>22</v>
      </c>
      <c r="AK18" s="1">
        <f t="shared" si="1"/>
        <v>11.5</v>
      </c>
      <c r="AL18" s="1">
        <f t="shared" si="2"/>
        <v>0</v>
      </c>
      <c r="AM18" s="1" t="s">
        <v>102</v>
      </c>
      <c r="AN18" s="1">
        <f t="shared" si="3"/>
        <v>54</v>
      </c>
      <c r="AO18" s="1">
        <f t="shared" si="4"/>
        <v>44</v>
      </c>
      <c r="AP18" s="1">
        <f t="shared" si="5"/>
        <v>69</v>
      </c>
      <c r="AQ18" s="1">
        <f t="shared" si="6"/>
        <v>77</v>
      </c>
      <c r="AR18" s="1">
        <f t="shared" si="7"/>
        <v>48</v>
      </c>
      <c r="AS18" s="1">
        <f t="shared" si="8"/>
        <v>0</v>
      </c>
      <c r="AT18" t="s">
        <v>21</v>
      </c>
      <c r="AU18" t="s">
        <v>29</v>
      </c>
      <c r="AV18" t="s">
        <v>30</v>
      </c>
      <c r="AW18" t="s">
        <v>31</v>
      </c>
      <c r="AX18" t="s">
        <v>39</v>
      </c>
      <c r="AY18" t="s">
        <v>92</v>
      </c>
      <c r="AZ18" t="s">
        <v>33</v>
      </c>
    </row>
    <row r="19" spans="1:52">
      <c r="A19">
        <v>18</v>
      </c>
      <c r="B19" t="s">
        <v>44</v>
      </c>
      <c r="C19">
        <v>18339</v>
      </c>
      <c r="D19" t="s">
        <v>62</v>
      </c>
      <c r="E19" t="s">
        <v>10</v>
      </c>
      <c r="F19">
        <v>32</v>
      </c>
      <c r="G19">
        <v>11.5</v>
      </c>
      <c r="H19">
        <v>34.5</v>
      </c>
      <c r="I19">
        <v>34</v>
      </c>
      <c r="J19">
        <v>32.5</v>
      </c>
      <c r="K19">
        <v>0</v>
      </c>
      <c r="L19" t="s">
        <v>19</v>
      </c>
      <c r="M19">
        <v>31.5</v>
      </c>
      <c r="N19">
        <v>8.5</v>
      </c>
      <c r="O19">
        <v>28</v>
      </c>
      <c r="P19">
        <v>25</v>
      </c>
      <c r="Q19">
        <v>29</v>
      </c>
      <c r="R19">
        <v>0</v>
      </c>
      <c r="S19" t="s">
        <v>20</v>
      </c>
      <c r="T19">
        <v>34</v>
      </c>
      <c r="U19">
        <v>16.5</v>
      </c>
      <c r="V19">
        <v>25</v>
      </c>
      <c r="W19">
        <v>32</v>
      </c>
      <c r="X19">
        <v>22</v>
      </c>
      <c r="Y19" t="s">
        <v>21</v>
      </c>
      <c r="Z19">
        <v>41</v>
      </c>
      <c r="AA19">
        <v>24</v>
      </c>
      <c r="AB19">
        <v>57</v>
      </c>
      <c r="AC19">
        <v>59</v>
      </c>
      <c r="AD19">
        <v>38.5</v>
      </c>
      <c r="AE19">
        <v>0</v>
      </c>
      <c r="AF19" t="s">
        <v>22</v>
      </c>
      <c r="AG19">
        <v>29</v>
      </c>
      <c r="AH19">
        <v>26</v>
      </c>
      <c r="AI19">
        <v>18</v>
      </c>
      <c r="AJ19">
        <v>29</v>
      </c>
      <c r="AK19" s="1">
        <f t="shared" si="1"/>
        <v>14</v>
      </c>
      <c r="AL19" s="1">
        <f t="shared" si="2"/>
        <v>0</v>
      </c>
      <c r="AM19" s="1" t="s">
        <v>102</v>
      </c>
      <c r="AN19" s="1">
        <f t="shared" si="3"/>
        <v>70</v>
      </c>
      <c r="AO19" s="1">
        <f t="shared" si="4"/>
        <v>50</v>
      </c>
      <c r="AP19" s="1">
        <f t="shared" si="5"/>
        <v>75</v>
      </c>
      <c r="AQ19" s="1">
        <f t="shared" si="6"/>
        <v>88</v>
      </c>
      <c r="AR19" s="1">
        <f t="shared" si="7"/>
        <v>53</v>
      </c>
      <c r="AS19" s="1">
        <f t="shared" si="8"/>
        <v>0</v>
      </c>
      <c r="AT19" t="s">
        <v>21</v>
      </c>
      <c r="AU19" t="s">
        <v>29</v>
      </c>
      <c r="AV19" t="s">
        <v>30</v>
      </c>
      <c r="AW19" t="s">
        <v>31</v>
      </c>
      <c r="AX19" t="s">
        <v>38</v>
      </c>
      <c r="AY19" t="s">
        <v>80</v>
      </c>
      <c r="AZ19" t="s">
        <v>33</v>
      </c>
    </row>
    <row r="20" spans="1:52">
      <c r="A20">
        <v>19</v>
      </c>
      <c r="B20" t="s">
        <v>44</v>
      </c>
      <c r="C20">
        <v>17350</v>
      </c>
      <c r="D20" t="s">
        <v>63</v>
      </c>
      <c r="E20" t="s">
        <v>10</v>
      </c>
      <c r="F20">
        <v>29</v>
      </c>
      <c r="G20">
        <v>22</v>
      </c>
      <c r="H20">
        <v>26.5</v>
      </c>
      <c r="I20">
        <v>25.5</v>
      </c>
      <c r="J20">
        <v>21</v>
      </c>
      <c r="K20">
        <v>0</v>
      </c>
      <c r="L20" t="s">
        <v>19</v>
      </c>
      <c r="M20">
        <v>24.5</v>
      </c>
      <c r="N20">
        <v>25</v>
      </c>
      <c r="O20">
        <v>25.5</v>
      </c>
      <c r="P20">
        <v>23</v>
      </c>
      <c r="Q20">
        <v>30</v>
      </c>
      <c r="R20">
        <v>0</v>
      </c>
      <c r="S20" t="s">
        <v>20</v>
      </c>
      <c r="T20">
        <v>8.5</v>
      </c>
      <c r="U20">
        <v>22.5</v>
      </c>
      <c r="V20">
        <v>27.5</v>
      </c>
      <c r="W20">
        <v>27</v>
      </c>
      <c r="X20">
        <v>31.5</v>
      </c>
      <c r="Y20" t="s">
        <v>21</v>
      </c>
      <c r="Z20">
        <v>51</v>
      </c>
      <c r="AA20">
        <v>31</v>
      </c>
      <c r="AB20">
        <v>48.5</v>
      </c>
      <c r="AC20">
        <v>43.5</v>
      </c>
      <c r="AD20">
        <v>51</v>
      </c>
      <c r="AE20">
        <v>0</v>
      </c>
      <c r="AF20" t="s">
        <v>22</v>
      </c>
      <c r="AG20">
        <v>28</v>
      </c>
      <c r="AH20">
        <v>18</v>
      </c>
      <c r="AI20">
        <v>19</v>
      </c>
      <c r="AJ20">
        <v>22</v>
      </c>
      <c r="AK20" s="1">
        <f t="shared" si="1"/>
        <v>14</v>
      </c>
      <c r="AL20" s="1">
        <f t="shared" si="2"/>
        <v>0</v>
      </c>
      <c r="AM20" s="1" t="s">
        <v>102</v>
      </c>
      <c r="AN20" s="1">
        <f t="shared" si="3"/>
        <v>79</v>
      </c>
      <c r="AO20" s="1">
        <f t="shared" si="4"/>
        <v>49</v>
      </c>
      <c r="AP20" s="1">
        <f t="shared" si="5"/>
        <v>68</v>
      </c>
      <c r="AQ20" s="1">
        <f t="shared" si="6"/>
        <v>66</v>
      </c>
      <c r="AR20" s="1">
        <f t="shared" si="7"/>
        <v>65</v>
      </c>
      <c r="AS20" s="1">
        <f t="shared" si="8"/>
        <v>0</v>
      </c>
      <c r="AT20" t="s">
        <v>21</v>
      </c>
      <c r="AU20" t="s">
        <v>29</v>
      </c>
      <c r="AV20" t="s">
        <v>30</v>
      </c>
      <c r="AW20" t="s">
        <v>31</v>
      </c>
      <c r="AX20" t="s">
        <v>42</v>
      </c>
      <c r="AY20" t="s">
        <v>84</v>
      </c>
      <c r="AZ20" t="s">
        <v>33</v>
      </c>
    </row>
    <row r="21" spans="1:52">
      <c r="A21">
        <v>20</v>
      </c>
      <c r="B21" t="s">
        <v>44</v>
      </c>
      <c r="C21">
        <v>14430</v>
      </c>
      <c r="D21" t="s">
        <v>64</v>
      </c>
      <c r="E21" t="s">
        <v>10</v>
      </c>
      <c r="F21">
        <v>18</v>
      </c>
      <c r="G21">
        <v>7.5</v>
      </c>
      <c r="H21">
        <v>28</v>
      </c>
      <c r="I21">
        <v>25</v>
      </c>
      <c r="J21">
        <v>13</v>
      </c>
      <c r="K21">
        <v>19</v>
      </c>
      <c r="L21" t="s">
        <v>19</v>
      </c>
      <c r="M21">
        <v>19.5</v>
      </c>
      <c r="N21">
        <v>6</v>
      </c>
      <c r="O21">
        <v>24.5</v>
      </c>
      <c r="P21">
        <v>18.5</v>
      </c>
      <c r="Q21">
        <v>8</v>
      </c>
      <c r="R21">
        <v>27</v>
      </c>
      <c r="S21" t="s">
        <v>20</v>
      </c>
      <c r="T21">
        <v>20.5</v>
      </c>
      <c r="U21">
        <v>8</v>
      </c>
      <c r="V21">
        <v>30</v>
      </c>
      <c r="W21">
        <v>23</v>
      </c>
      <c r="X21">
        <v>14</v>
      </c>
      <c r="Y21" t="s">
        <v>21</v>
      </c>
      <c r="Z21">
        <v>30</v>
      </c>
      <c r="AA21">
        <v>16</v>
      </c>
      <c r="AB21">
        <v>43</v>
      </c>
      <c r="AC21">
        <v>39</v>
      </c>
      <c r="AD21">
        <v>22.5</v>
      </c>
      <c r="AE21">
        <v>53</v>
      </c>
      <c r="AF21" t="s">
        <v>22</v>
      </c>
      <c r="AG21">
        <v>20</v>
      </c>
      <c r="AH21">
        <v>20</v>
      </c>
      <c r="AI21">
        <v>20</v>
      </c>
      <c r="AJ21">
        <v>15</v>
      </c>
      <c r="AK21" s="1">
        <f t="shared" si="1"/>
        <v>6</v>
      </c>
      <c r="AL21" s="1">
        <f t="shared" si="2"/>
        <v>20</v>
      </c>
      <c r="AM21" s="1" t="s">
        <v>102</v>
      </c>
      <c r="AN21" s="1">
        <f t="shared" si="3"/>
        <v>50</v>
      </c>
      <c r="AO21" s="1">
        <f t="shared" si="4"/>
        <v>36</v>
      </c>
      <c r="AP21" s="1">
        <f t="shared" si="5"/>
        <v>63</v>
      </c>
      <c r="AQ21" s="1">
        <f t="shared" si="6"/>
        <v>54</v>
      </c>
      <c r="AR21" s="1">
        <f t="shared" si="7"/>
        <v>29</v>
      </c>
      <c r="AS21" s="1">
        <f t="shared" si="8"/>
        <v>73</v>
      </c>
      <c r="AT21" t="s">
        <v>21</v>
      </c>
      <c r="AU21" t="s">
        <v>29</v>
      </c>
      <c r="AV21" t="s">
        <v>30</v>
      </c>
      <c r="AW21" t="s">
        <v>31</v>
      </c>
      <c r="AX21" t="s">
        <v>81</v>
      </c>
      <c r="AY21" t="s">
        <v>93</v>
      </c>
      <c r="AZ21" t="s">
        <v>33</v>
      </c>
    </row>
    <row r="22" spans="1:52">
      <c r="A22">
        <v>21</v>
      </c>
      <c r="B22" t="s">
        <v>44</v>
      </c>
      <c r="C22">
        <v>18272</v>
      </c>
      <c r="D22" t="s">
        <v>65</v>
      </c>
      <c r="E22" t="s">
        <v>10</v>
      </c>
      <c r="F22">
        <v>8.5</v>
      </c>
      <c r="G22" t="s">
        <v>11</v>
      </c>
      <c r="H22">
        <v>29</v>
      </c>
      <c r="I22">
        <v>14.5</v>
      </c>
      <c r="J22">
        <v>11</v>
      </c>
      <c r="K22">
        <v>25</v>
      </c>
      <c r="L22" t="s">
        <v>19</v>
      </c>
      <c r="M22">
        <v>17</v>
      </c>
      <c r="N22">
        <v>14.5</v>
      </c>
      <c r="O22">
        <v>22.5</v>
      </c>
      <c r="P22">
        <v>12</v>
      </c>
      <c r="Q22">
        <v>23</v>
      </c>
      <c r="R22">
        <v>21</v>
      </c>
      <c r="S22" t="s">
        <v>20</v>
      </c>
      <c r="T22">
        <v>25.5</v>
      </c>
      <c r="U22">
        <v>6</v>
      </c>
      <c r="V22">
        <v>25</v>
      </c>
      <c r="W22">
        <v>15</v>
      </c>
      <c r="X22">
        <v>14.5</v>
      </c>
      <c r="Y22" t="s">
        <v>21</v>
      </c>
      <c r="Z22">
        <v>28.5</v>
      </c>
      <c r="AA22">
        <v>23</v>
      </c>
      <c r="AB22">
        <v>0</v>
      </c>
      <c r="AC22" t="s">
        <v>75</v>
      </c>
      <c r="AD22">
        <v>0</v>
      </c>
      <c r="AE22">
        <v>49</v>
      </c>
      <c r="AF22" t="s">
        <v>22</v>
      </c>
      <c r="AG22">
        <v>23.5</v>
      </c>
      <c r="AH22">
        <v>20</v>
      </c>
      <c r="AI22">
        <v>19</v>
      </c>
      <c r="AJ22">
        <v>12</v>
      </c>
      <c r="AK22" s="1">
        <f t="shared" si="1"/>
        <v>8.5</v>
      </c>
      <c r="AL22" s="1">
        <f t="shared" si="2"/>
        <v>20</v>
      </c>
      <c r="AM22" s="1" t="s">
        <v>102</v>
      </c>
      <c r="AN22" s="1">
        <f t="shared" si="3"/>
        <v>52</v>
      </c>
      <c r="AO22" s="1">
        <f t="shared" si="4"/>
        <v>43</v>
      </c>
      <c r="AP22" s="1">
        <f t="shared" si="5"/>
        <v>19</v>
      </c>
      <c r="AQ22" s="1">
        <f t="shared" si="6"/>
        <v>12</v>
      </c>
      <c r="AR22" s="1">
        <f t="shared" si="7"/>
        <v>9</v>
      </c>
      <c r="AS22" s="1">
        <f t="shared" si="8"/>
        <v>69</v>
      </c>
      <c r="AT22" t="s">
        <v>21</v>
      </c>
      <c r="AU22" t="s">
        <v>29</v>
      </c>
      <c r="AV22" t="s">
        <v>30</v>
      </c>
      <c r="AW22" t="s">
        <v>31</v>
      </c>
      <c r="AX22" t="s">
        <v>36</v>
      </c>
      <c r="AZ22" t="s">
        <v>94</v>
      </c>
    </row>
    <row r="23" spans="1:52">
      <c r="A23">
        <v>22</v>
      </c>
      <c r="B23" t="s">
        <v>44</v>
      </c>
      <c r="C23">
        <v>14402</v>
      </c>
      <c r="D23" t="s">
        <v>66</v>
      </c>
      <c r="E23" t="s">
        <v>10</v>
      </c>
      <c r="F23">
        <v>10.5</v>
      </c>
      <c r="G23">
        <v>7.5</v>
      </c>
      <c r="H23">
        <v>25.5</v>
      </c>
      <c r="I23">
        <v>22.5</v>
      </c>
      <c r="J23">
        <v>13.5</v>
      </c>
      <c r="K23">
        <v>34</v>
      </c>
      <c r="L23" t="s">
        <v>19</v>
      </c>
      <c r="M23">
        <v>10.5</v>
      </c>
      <c r="N23">
        <v>6</v>
      </c>
      <c r="O23">
        <v>27</v>
      </c>
      <c r="P23">
        <v>27</v>
      </c>
      <c r="Q23">
        <v>17</v>
      </c>
      <c r="R23" t="s">
        <v>12</v>
      </c>
      <c r="S23" t="s">
        <v>20</v>
      </c>
      <c r="T23">
        <v>18.5</v>
      </c>
      <c r="U23">
        <v>2</v>
      </c>
      <c r="V23">
        <v>24</v>
      </c>
      <c r="W23">
        <v>24</v>
      </c>
      <c r="X23">
        <v>16</v>
      </c>
      <c r="Y23" t="s">
        <v>21</v>
      </c>
      <c r="Z23">
        <v>21.5</v>
      </c>
      <c r="AA23">
        <v>12</v>
      </c>
      <c r="AB23">
        <v>41.5</v>
      </c>
      <c r="AC23">
        <v>41</v>
      </c>
      <c r="AD23">
        <v>27.5</v>
      </c>
      <c r="AE23">
        <v>45</v>
      </c>
      <c r="AF23" t="s">
        <v>22</v>
      </c>
      <c r="AG23">
        <v>20</v>
      </c>
      <c r="AH23">
        <v>15</v>
      </c>
      <c r="AI23">
        <v>20</v>
      </c>
      <c r="AJ23">
        <v>12</v>
      </c>
      <c r="AK23" s="1">
        <f t="shared" si="1"/>
        <v>8</v>
      </c>
      <c r="AL23" s="1">
        <f t="shared" si="2"/>
        <v>15</v>
      </c>
      <c r="AM23" s="1" t="s">
        <v>102</v>
      </c>
      <c r="AN23" s="1">
        <f t="shared" si="3"/>
        <v>42</v>
      </c>
      <c r="AO23" s="1">
        <f t="shared" si="4"/>
        <v>27</v>
      </c>
      <c r="AP23" s="1">
        <f t="shared" si="5"/>
        <v>62</v>
      </c>
      <c r="AQ23" s="1">
        <f t="shared" si="6"/>
        <v>53</v>
      </c>
      <c r="AR23" s="1">
        <f t="shared" si="7"/>
        <v>36</v>
      </c>
      <c r="AS23" s="1">
        <f t="shared" si="8"/>
        <v>60</v>
      </c>
      <c r="AT23" t="s">
        <v>21</v>
      </c>
      <c r="AU23" t="s">
        <v>29</v>
      </c>
      <c r="AV23" t="s">
        <v>30</v>
      </c>
      <c r="AW23" t="s">
        <v>31</v>
      </c>
      <c r="AX23" t="s">
        <v>95</v>
      </c>
      <c r="AY23" t="s">
        <v>92</v>
      </c>
      <c r="AZ23" t="s">
        <v>33</v>
      </c>
    </row>
    <row r="24" spans="1:52">
      <c r="A24">
        <v>23</v>
      </c>
      <c r="B24" t="s">
        <v>44</v>
      </c>
      <c r="C24">
        <v>18435</v>
      </c>
      <c r="D24" t="s">
        <v>67</v>
      </c>
      <c r="E24" t="s">
        <v>10</v>
      </c>
      <c r="F24">
        <v>29</v>
      </c>
      <c r="G24">
        <v>16.5</v>
      </c>
      <c r="H24">
        <v>35</v>
      </c>
      <c r="I24">
        <v>28.5</v>
      </c>
      <c r="J24">
        <v>33</v>
      </c>
      <c r="K24">
        <v>0</v>
      </c>
      <c r="L24" t="s">
        <v>19</v>
      </c>
      <c r="M24">
        <v>31</v>
      </c>
      <c r="N24">
        <v>15.5</v>
      </c>
      <c r="O24">
        <v>38</v>
      </c>
      <c r="P24">
        <v>27</v>
      </c>
      <c r="Q24">
        <v>27</v>
      </c>
      <c r="R24">
        <v>0</v>
      </c>
      <c r="S24" t="s">
        <v>20</v>
      </c>
      <c r="T24">
        <v>29</v>
      </c>
      <c r="U24">
        <v>15.5</v>
      </c>
      <c r="V24" t="s">
        <v>11</v>
      </c>
      <c r="W24">
        <v>31</v>
      </c>
      <c r="X24">
        <v>25</v>
      </c>
      <c r="Y24" t="s">
        <v>21</v>
      </c>
      <c r="Z24">
        <v>47.5</v>
      </c>
      <c r="AA24">
        <v>41</v>
      </c>
      <c r="AB24">
        <v>61.5</v>
      </c>
      <c r="AC24">
        <v>64</v>
      </c>
      <c r="AD24">
        <v>56.5</v>
      </c>
      <c r="AE24">
        <v>0</v>
      </c>
      <c r="AF24" t="s">
        <v>22</v>
      </c>
      <c r="AG24">
        <v>30</v>
      </c>
      <c r="AH24">
        <v>27</v>
      </c>
      <c r="AI24">
        <v>19</v>
      </c>
      <c r="AJ24">
        <v>27</v>
      </c>
      <c r="AK24" s="1">
        <f t="shared" si="1"/>
        <v>14.5</v>
      </c>
      <c r="AL24" s="1">
        <f t="shared" si="2"/>
        <v>0</v>
      </c>
      <c r="AM24" s="1" t="s">
        <v>102</v>
      </c>
      <c r="AN24" s="1">
        <f t="shared" si="3"/>
        <v>78</v>
      </c>
      <c r="AO24" s="1">
        <f t="shared" si="4"/>
        <v>68</v>
      </c>
      <c r="AP24" s="1">
        <f t="shared" si="5"/>
        <v>81</v>
      </c>
      <c r="AQ24" s="1">
        <f t="shared" si="6"/>
        <v>91</v>
      </c>
      <c r="AR24" s="1">
        <f t="shared" si="7"/>
        <v>71</v>
      </c>
      <c r="AS24" s="1">
        <f t="shared" si="8"/>
        <v>0</v>
      </c>
      <c r="AT24" t="s">
        <v>21</v>
      </c>
      <c r="AU24" t="s">
        <v>29</v>
      </c>
      <c r="AV24" t="s">
        <v>30</v>
      </c>
      <c r="AW24" t="s">
        <v>31</v>
      </c>
      <c r="AX24" t="s">
        <v>40</v>
      </c>
      <c r="AY24" t="s">
        <v>96</v>
      </c>
      <c r="AZ24" t="s">
        <v>97</v>
      </c>
    </row>
    <row r="25" spans="1:52">
      <c r="A25">
        <v>24</v>
      </c>
      <c r="B25" t="s">
        <v>44</v>
      </c>
      <c r="C25">
        <v>18364</v>
      </c>
      <c r="D25" t="s">
        <v>68</v>
      </c>
      <c r="E25" t="s">
        <v>10</v>
      </c>
      <c r="F25">
        <v>23</v>
      </c>
      <c r="G25">
        <v>19</v>
      </c>
      <c r="H25">
        <v>30</v>
      </c>
      <c r="I25">
        <v>28</v>
      </c>
      <c r="J25">
        <v>21</v>
      </c>
      <c r="K25">
        <v>0</v>
      </c>
      <c r="L25" t="s">
        <v>19</v>
      </c>
      <c r="M25">
        <v>29.5</v>
      </c>
      <c r="N25" t="s">
        <v>11</v>
      </c>
      <c r="O25">
        <v>22.5</v>
      </c>
      <c r="P25">
        <v>20</v>
      </c>
      <c r="Q25">
        <v>26.5</v>
      </c>
      <c r="R25">
        <v>0</v>
      </c>
      <c r="S25" t="s">
        <v>20</v>
      </c>
      <c r="T25">
        <v>29.5</v>
      </c>
      <c r="U25">
        <v>12.5</v>
      </c>
      <c r="V25">
        <v>27</v>
      </c>
      <c r="W25">
        <v>25.5</v>
      </c>
      <c r="X25">
        <v>32</v>
      </c>
      <c r="Y25" t="s">
        <v>21</v>
      </c>
      <c r="Z25">
        <v>42.5</v>
      </c>
      <c r="AA25">
        <v>29</v>
      </c>
      <c r="AB25">
        <v>54</v>
      </c>
      <c r="AC25">
        <v>46.5</v>
      </c>
      <c r="AD25">
        <v>35</v>
      </c>
      <c r="AE25">
        <v>0</v>
      </c>
      <c r="AF25" t="s">
        <v>22</v>
      </c>
      <c r="AG25">
        <v>26</v>
      </c>
      <c r="AH25">
        <v>25</v>
      </c>
      <c r="AI25">
        <v>19</v>
      </c>
      <c r="AJ25">
        <v>26</v>
      </c>
      <c r="AK25" s="1">
        <f t="shared" si="1"/>
        <v>13.5</v>
      </c>
      <c r="AL25" s="1">
        <f t="shared" si="2"/>
        <v>0</v>
      </c>
      <c r="AM25" s="1" t="s">
        <v>102</v>
      </c>
      <c r="AN25" s="1">
        <f t="shared" si="3"/>
        <v>69</v>
      </c>
      <c r="AO25" s="1">
        <f t="shared" si="4"/>
        <v>54</v>
      </c>
      <c r="AP25" s="1">
        <f t="shared" si="5"/>
        <v>73</v>
      </c>
      <c r="AQ25" s="1">
        <f t="shared" si="6"/>
        <v>73</v>
      </c>
      <c r="AR25" s="1">
        <f t="shared" si="7"/>
        <v>49</v>
      </c>
      <c r="AS25" s="1">
        <f t="shared" si="8"/>
        <v>0</v>
      </c>
      <c r="AT25" t="s">
        <v>21</v>
      </c>
      <c r="AU25" t="s">
        <v>29</v>
      </c>
      <c r="AV25" t="s">
        <v>30</v>
      </c>
      <c r="AW25" t="s">
        <v>31</v>
      </c>
      <c r="AX25" t="s">
        <v>41</v>
      </c>
      <c r="AY25" t="s">
        <v>84</v>
      </c>
      <c r="AZ25" t="s">
        <v>33</v>
      </c>
    </row>
    <row r="26" spans="1:52">
      <c r="A26">
        <v>25</v>
      </c>
      <c r="B26" t="s">
        <v>44</v>
      </c>
      <c r="C26">
        <v>14456</v>
      </c>
      <c r="D26" t="s">
        <v>69</v>
      </c>
      <c r="E26" t="s">
        <v>10</v>
      </c>
      <c r="F26">
        <v>7</v>
      </c>
      <c r="G26">
        <v>8</v>
      </c>
      <c r="H26">
        <v>21</v>
      </c>
      <c r="I26">
        <v>16</v>
      </c>
      <c r="J26">
        <v>17</v>
      </c>
      <c r="K26">
        <v>18</v>
      </c>
      <c r="L26" t="s">
        <v>19</v>
      </c>
      <c r="M26">
        <v>10</v>
      </c>
      <c r="N26">
        <v>7.5</v>
      </c>
      <c r="O26">
        <v>16.5</v>
      </c>
      <c r="P26">
        <v>12</v>
      </c>
      <c r="Q26">
        <v>12</v>
      </c>
      <c r="R26">
        <v>20</v>
      </c>
      <c r="S26" t="s">
        <v>20</v>
      </c>
      <c r="T26">
        <v>15.5</v>
      </c>
      <c r="U26">
        <v>15.5</v>
      </c>
      <c r="V26" t="s">
        <v>11</v>
      </c>
      <c r="W26">
        <v>15</v>
      </c>
      <c r="X26">
        <v>10</v>
      </c>
      <c r="Y26" t="s">
        <v>21</v>
      </c>
      <c r="Z26">
        <v>23</v>
      </c>
      <c r="AA26">
        <v>17</v>
      </c>
      <c r="AB26">
        <v>39.5</v>
      </c>
      <c r="AC26">
        <v>31</v>
      </c>
      <c r="AD26">
        <v>23.5</v>
      </c>
      <c r="AE26">
        <v>45</v>
      </c>
      <c r="AF26" t="s">
        <v>22</v>
      </c>
      <c r="AG26">
        <v>12</v>
      </c>
      <c r="AH26">
        <v>19</v>
      </c>
      <c r="AI26">
        <v>19</v>
      </c>
      <c r="AJ26">
        <v>12</v>
      </c>
      <c r="AK26" s="1">
        <f t="shared" si="1"/>
        <v>6.5</v>
      </c>
      <c r="AL26" s="1">
        <f t="shared" si="2"/>
        <v>16.5</v>
      </c>
      <c r="AM26" s="1" t="s">
        <v>102</v>
      </c>
      <c r="AN26" s="1">
        <f t="shared" si="3"/>
        <v>35</v>
      </c>
      <c r="AO26" s="1">
        <f t="shared" si="4"/>
        <v>36</v>
      </c>
      <c r="AP26" s="1">
        <f t="shared" si="5"/>
        <v>59</v>
      </c>
      <c r="AQ26" s="1">
        <f t="shared" si="6"/>
        <v>43</v>
      </c>
      <c r="AR26" s="1">
        <f t="shared" si="7"/>
        <v>30</v>
      </c>
      <c r="AS26" s="1">
        <f t="shared" si="8"/>
        <v>62</v>
      </c>
      <c r="AT26" t="s">
        <v>21</v>
      </c>
      <c r="AU26" t="s">
        <v>29</v>
      </c>
      <c r="AV26" t="s">
        <v>30</v>
      </c>
      <c r="AW26" t="s">
        <v>31</v>
      </c>
      <c r="AX26" t="s">
        <v>98</v>
      </c>
      <c r="AY26" t="s">
        <v>92</v>
      </c>
      <c r="AZ26" t="s">
        <v>33</v>
      </c>
    </row>
    <row r="27" spans="1:52">
      <c r="A27">
        <v>26</v>
      </c>
      <c r="B27" t="s">
        <v>44</v>
      </c>
      <c r="C27">
        <v>14423</v>
      </c>
      <c r="D27" t="s">
        <v>70</v>
      </c>
      <c r="E27" t="s">
        <v>10</v>
      </c>
      <c r="F27">
        <v>23.5</v>
      </c>
      <c r="G27">
        <v>11.5</v>
      </c>
      <c r="H27">
        <v>26.5</v>
      </c>
      <c r="I27">
        <v>23</v>
      </c>
      <c r="J27">
        <v>13</v>
      </c>
      <c r="K27">
        <v>0</v>
      </c>
      <c r="L27" t="s">
        <v>19</v>
      </c>
      <c r="M27">
        <v>21</v>
      </c>
      <c r="N27">
        <v>11.5</v>
      </c>
      <c r="O27">
        <v>20</v>
      </c>
      <c r="P27">
        <v>13.5</v>
      </c>
      <c r="Q27">
        <v>16</v>
      </c>
      <c r="R27">
        <v>0</v>
      </c>
      <c r="S27" t="s">
        <v>20</v>
      </c>
      <c r="T27">
        <v>24.5</v>
      </c>
      <c r="U27">
        <v>14</v>
      </c>
      <c r="V27">
        <v>22.5</v>
      </c>
      <c r="W27">
        <v>24</v>
      </c>
      <c r="X27">
        <v>16.5</v>
      </c>
      <c r="Y27" t="s">
        <v>21</v>
      </c>
      <c r="Z27">
        <v>34.5</v>
      </c>
      <c r="AA27">
        <v>23</v>
      </c>
      <c r="AB27">
        <v>33</v>
      </c>
      <c r="AC27">
        <v>48</v>
      </c>
      <c r="AD27">
        <v>33</v>
      </c>
      <c r="AE27">
        <v>0</v>
      </c>
      <c r="AF27" t="s">
        <v>22</v>
      </c>
      <c r="AG27">
        <v>28</v>
      </c>
      <c r="AH27">
        <v>17</v>
      </c>
      <c r="AI27">
        <v>18</v>
      </c>
      <c r="AJ27">
        <v>17</v>
      </c>
      <c r="AK27" s="1">
        <f t="shared" si="1"/>
        <v>8</v>
      </c>
      <c r="AL27" s="1">
        <f t="shared" si="2"/>
        <v>0</v>
      </c>
      <c r="AM27" s="1" t="s">
        <v>102</v>
      </c>
      <c r="AN27" s="1">
        <f t="shared" si="3"/>
        <v>63</v>
      </c>
      <c r="AO27" s="1">
        <f t="shared" si="4"/>
        <v>40</v>
      </c>
      <c r="AP27" s="1">
        <f t="shared" si="5"/>
        <v>51</v>
      </c>
      <c r="AQ27" s="1">
        <f t="shared" si="6"/>
        <v>65</v>
      </c>
      <c r="AR27" s="1">
        <f t="shared" si="7"/>
        <v>41</v>
      </c>
      <c r="AS27" s="1">
        <f t="shared" si="8"/>
        <v>0</v>
      </c>
      <c r="AT27" t="s">
        <v>21</v>
      </c>
      <c r="AU27" t="s">
        <v>29</v>
      </c>
      <c r="AV27" t="s">
        <v>30</v>
      </c>
      <c r="AW27" t="s">
        <v>31</v>
      </c>
      <c r="AX27" t="s">
        <v>81</v>
      </c>
      <c r="AY27" t="s">
        <v>84</v>
      </c>
      <c r="AZ27" t="s">
        <v>33</v>
      </c>
    </row>
    <row r="28" spans="1:52">
      <c r="A28">
        <v>27</v>
      </c>
      <c r="B28" t="s">
        <v>44</v>
      </c>
      <c r="C28">
        <v>14425</v>
      </c>
      <c r="D28" t="s">
        <v>71</v>
      </c>
      <c r="E28" t="s">
        <v>10</v>
      </c>
      <c r="F28">
        <v>19</v>
      </c>
      <c r="G28">
        <v>6.5</v>
      </c>
      <c r="H28">
        <v>28</v>
      </c>
      <c r="I28">
        <v>29</v>
      </c>
      <c r="J28">
        <v>23</v>
      </c>
      <c r="K28">
        <v>0</v>
      </c>
      <c r="L28" t="s">
        <v>19</v>
      </c>
      <c r="M28">
        <v>16</v>
      </c>
      <c r="N28">
        <v>11.5</v>
      </c>
      <c r="O28">
        <v>25</v>
      </c>
      <c r="P28">
        <v>23</v>
      </c>
      <c r="Q28">
        <v>13</v>
      </c>
      <c r="R28">
        <v>0</v>
      </c>
      <c r="S28" t="s">
        <v>20</v>
      </c>
      <c r="T28">
        <v>17</v>
      </c>
      <c r="U28">
        <v>14.5</v>
      </c>
      <c r="V28">
        <v>19.5</v>
      </c>
      <c r="W28">
        <v>30</v>
      </c>
      <c r="X28">
        <v>28</v>
      </c>
      <c r="Y28" t="s">
        <v>21</v>
      </c>
      <c r="Z28">
        <v>24.5</v>
      </c>
      <c r="AA28">
        <v>22</v>
      </c>
      <c r="AB28">
        <v>44</v>
      </c>
      <c r="AC28">
        <v>54.5</v>
      </c>
      <c r="AD28">
        <v>37.5</v>
      </c>
      <c r="AE28">
        <v>0</v>
      </c>
      <c r="AF28" t="s">
        <v>22</v>
      </c>
      <c r="AG28">
        <v>29.5</v>
      </c>
      <c r="AH28">
        <v>24</v>
      </c>
      <c r="AI28">
        <v>19</v>
      </c>
      <c r="AJ28">
        <v>24</v>
      </c>
      <c r="AK28" s="1">
        <f t="shared" si="1"/>
        <v>11</v>
      </c>
      <c r="AL28" s="1">
        <f t="shared" si="2"/>
        <v>0</v>
      </c>
      <c r="AM28" s="1" t="s">
        <v>102</v>
      </c>
      <c r="AN28" s="1">
        <f t="shared" si="3"/>
        <v>54</v>
      </c>
      <c r="AO28" s="1">
        <f t="shared" si="4"/>
        <v>46</v>
      </c>
      <c r="AP28" s="1">
        <f t="shared" si="5"/>
        <v>63</v>
      </c>
      <c r="AQ28" s="1">
        <f t="shared" si="6"/>
        <v>79</v>
      </c>
      <c r="AR28" s="1">
        <f t="shared" si="7"/>
        <v>49</v>
      </c>
      <c r="AS28" s="1">
        <f t="shared" si="8"/>
        <v>0</v>
      </c>
      <c r="AT28" t="s">
        <v>21</v>
      </c>
      <c r="AU28" t="s">
        <v>29</v>
      </c>
      <c r="AV28" t="s">
        <v>30</v>
      </c>
      <c r="AW28" t="s">
        <v>31</v>
      </c>
      <c r="AX28" t="s">
        <v>90</v>
      </c>
      <c r="AY28" t="s">
        <v>99</v>
      </c>
      <c r="AZ28" t="s">
        <v>100</v>
      </c>
    </row>
    <row r="29" spans="1:52">
      <c r="A29">
        <v>28</v>
      </c>
      <c r="B29" t="s">
        <v>44</v>
      </c>
      <c r="C29">
        <v>18313</v>
      </c>
      <c r="D29" t="s">
        <v>72</v>
      </c>
      <c r="E29" t="s">
        <v>10</v>
      </c>
      <c r="F29">
        <v>0</v>
      </c>
      <c r="G29">
        <v>0</v>
      </c>
      <c r="H29">
        <v>0</v>
      </c>
      <c r="I29">
        <v>25</v>
      </c>
      <c r="J29">
        <v>17</v>
      </c>
      <c r="K29">
        <v>0</v>
      </c>
      <c r="L29" t="s">
        <v>19</v>
      </c>
      <c r="M29">
        <v>25</v>
      </c>
      <c r="N29">
        <v>11.5</v>
      </c>
      <c r="O29">
        <v>27</v>
      </c>
      <c r="P29">
        <v>17.5</v>
      </c>
      <c r="Q29">
        <v>18.5</v>
      </c>
      <c r="R29">
        <v>0</v>
      </c>
      <c r="S29" t="s">
        <v>20</v>
      </c>
      <c r="T29">
        <v>21</v>
      </c>
      <c r="U29">
        <v>10</v>
      </c>
      <c r="V29">
        <v>22.5</v>
      </c>
      <c r="W29">
        <v>22.5</v>
      </c>
      <c r="X29">
        <v>19</v>
      </c>
      <c r="Y29" t="s">
        <v>21</v>
      </c>
      <c r="Z29">
        <v>26.5</v>
      </c>
      <c r="AA29">
        <v>21</v>
      </c>
      <c r="AB29">
        <v>47.5</v>
      </c>
      <c r="AC29">
        <v>46.5</v>
      </c>
      <c r="AD29">
        <v>34</v>
      </c>
      <c r="AE29">
        <v>0</v>
      </c>
      <c r="AF29" t="s">
        <v>22</v>
      </c>
      <c r="AG29">
        <v>28</v>
      </c>
      <c r="AH29">
        <v>26</v>
      </c>
      <c r="AI29">
        <v>17</v>
      </c>
      <c r="AJ29">
        <v>24</v>
      </c>
      <c r="AK29" s="1">
        <f t="shared" si="1"/>
        <v>9.5</v>
      </c>
      <c r="AL29" s="1">
        <f t="shared" si="2"/>
        <v>0</v>
      </c>
      <c r="AM29" s="1" t="s">
        <v>102</v>
      </c>
      <c r="AN29" s="1">
        <f t="shared" si="3"/>
        <v>55</v>
      </c>
      <c r="AO29" s="1">
        <f t="shared" si="4"/>
        <v>47</v>
      </c>
      <c r="AP29" s="1">
        <f t="shared" si="5"/>
        <v>65</v>
      </c>
      <c r="AQ29" s="1">
        <f t="shared" si="6"/>
        <v>71</v>
      </c>
      <c r="AR29" s="1">
        <f t="shared" si="7"/>
        <v>44</v>
      </c>
      <c r="AS29" s="1">
        <f t="shared" si="8"/>
        <v>0</v>
      </c>
      <c r="AT29" t="s">
        <v>21</v>
      </c>
      <c r="AU29" t="s">
        <v>29</v>
      </c>
      <c r="AV29" t="s">
        <v>30</v>
      </c>
      <c r="AW29" t="s">
        <v>31</v>
      </c>
      <c r="AX29" t="s">
        <v>34</v>
      </c>
      <c r="AY29" t="s">
        <v>101</v>
      </c>
      <c r="AZ29" t="s">
        <v>33</v>
      </c>
    </row>
    <row r="30" spans="1:52">
      <c r="A30">
        <v>29</v>
      </c>
      <c r="B30" t="s">
        <v>44</v>
      </c>
      <c r="C30">
        <v>14450</v>
      </c>
      <c r="D30" t="s">
        <v>73</v>
      </c>
      <c r="E30" t="s">
        <v>10</v>
      </c>
      <c r="F30">
        <v>6.5</v>
      </c>
      <c r="G30" t="s">
        <v>11</v>
      </c>
      <c r="H30">
        <v>30</v>
      </c>
      <c r="I30">
        <v>23.5</v>
      </c>
      <c r="J30">
        <v>10</v>
      </c>
      <c r="K30">
        <v>33</v>
      </c>
      <c r="L30" t="s">
        <v>19</v>
      </c>
      <c r="M30">
        <v>22</v>
      </c>
      <c r="N30">
        <v>12.5</v>
      </c>
      <c r="O30">
        <v>25</v>
      </c>
      <c r="P30">
        <v>14</v>
      </c>
      <c r="Q30">
        <v>11.5</v>
      </c>
      <c r="R30">
        <v>21</v>
      </c>
      <c r="S30" t="s">
        <v>20</v>
      </c>
      <c r="T30">
        <v>18</v>
      </c>
      <c r="U30">
        <v>11.5</v>
      </c>
      <c r="V30">
        <v>25.5</v>
      </c>
      <c r="W30">
        <v>22.5</v>
      </c>
      <c r="X30">
        <v>10.5</v>
      </c>
      <c r="Y30" t="s">
        <v>21</v>
      </c>
      <c r="Z30">
        <v>29.5</v>
      </c>
      <c r="AA30">
        <v>9</v>
      </c>
      <c r="AB30">
        <v>43.5</v>
      </c>
      <c r="AC30">
        <v>39.5</v>
      </c>
      <c r="AD30">
        <v>20.5</v>
      </c>
      <c r="AE30">
        <v>48</v>
      </c>
      <c r="AF30" t="s">
        <v>22</v>
      </c>
      <c r="AG30">
        <v>21</v>
      </c>
      <c r="AH30">
        <v>20</v>
      </c>
      <c r="AI30">
        <v>18</v>
      </c>
      <c r="AJ30">
        <v>17</v>
      </c>
      <c r="AK30" s="1">
        <f t="shared" si="1"/>
        <v>5.5</v>
      </c>
      <c r="AL30" s="1">
        <f t="shared" si="2"/>
        <v>23.5</v>
      </c>
      <c r="AM30" s="1" t="s">
        <v>102</v>
      </c>
      <c r="AN30" s="1">
        <f t="shared" si="3"/>
        <v>51</v>
      </c>
      <c r="AO30" s="1">
        <f t="shared" si="4"/>
        <v>29</v>
      </c>
      <c r="AP30" s="1">
        <f t="shared" si="5"/>
        <v>62</v>
      </c>
      <c r="AQ30" s="1">
        <f t="shared" si="6"/>
        <v>57</v>
      </c>
      <c r="AR30" s="1">
        <f t="shared" si="7"/>
        <v>26</v>
      </c>
      <c r="AS30" s="1">
        <f t="shared" si="8"/>
        <v>72</v>
      </c>
      <c r="AT30" t="s">
        <v>21</v>
      </c>
      <c r="AU30" t="s">
        <v>29</v>
      </c>
      <c r="AV30" t="s">
        <v>30</v>
      </c>
      <c r="AW30" t="s">
        <v>31</v>
      </c>
      <c r="AX30" t="s">
        <v>83</v>
      </c>
      <c r="AY30" t="s">
        <v>92</v>
      </c>
      <c r="AZ30" t="s">
        <v>33</v>
      </c>
    </row>
    <row r="31" spans="1:52">
      <c r="A31">
        <v>30</v>
      </c>
      <c r="B31" t="s">
        <v>44</v>
      </c>
      <c r="C31">
        <v>15688</v>
      </c>
      <c r="D31" t="s">
        <v>74</v>
      </c>
      <c r="E31" t="s">
        <v>10</v>
      </c>
      <c r="F31">
        <v>12.5</v>
      </c>
      <c r="G31">
        <v>12.5</v>
      </c>
      <c r="H31">
        <v>21.5</v>
      </c>
      <c r="I31">
        <v>23.5</v>
      </c>
      <c r="J31">
        <v>14.5</v>
      </c>
      <c r="K31">
        <v>31</v>
      </c>
      <c r="L31" t="s">
        <v>19</v>
      </c>
      <c r="M31">
        <v>23</v>
      </c>
      <c r="N31">
        <v>17.5</v>
      </c>
      <c r="O31">
        <v>22</v>
      </c>
      <c r="P31">
        <v>19.5</v>
      </c>
      <c r="Q31">
        <v>16</v>
      </c>
      <c r="R31">
        <v>27</v>
      </c>
      <c r="S31" t="s">
        <v>20</v>
      </c>
      <c r="T31">
        <v>23</v>
      </c>
      <c r="U31">
        <v>12</v>
      </c>
      <c r="V31">
        <v>24.5</v>
      </c>
      <c r="W31">
        <v>25.5</v>
      </c>
      <c r="X31">
        <v>14</v>
      </c>
      <c r="Y31" t="s">
        <v>21</v>
      </c>
      <c r="Z31">
        <v>53</v>
      </c>
      <c r="AA31">
        <v>24</v>
      </c>
      <c r="AB31">
        <v>38</v>
      </c>
      <c r="AC31">
        <v>54</v>
      </c>
      <c r="AD31">
        <v>40.5</v>
      </c>
      <c r="AE31">
        <v>55</v>
      </c>
      <c r="AF31" t="s">
        <v>22</v>
      </c>
      <c r="AG31">
        <v>23</v>
      </c>
      <c r="AH31">
        <v>22</v>
      </c>
      <c r="AI31">
        <v>18</v>
      </c>
      <c r="AJ31">
        <v>21</v>
      </c>
      <c r="AK31" s="1">
        <f t="shared" si="1"/>
        <v>7.5</v>
      </c>
      <c r="AL31" s="1">
        <f t="shared" si="2"/>
        <v>25</v>
      </c>
      <c r="AM31" s="1" t="s">
        <v>102</v>
      </c>
      <c r="AN31" s="1">
        <f t="shared" si="3"/>
        <v>76</v>
      </c>
      <c r="AO31" s="1">
        <f t="shared" si="4"/>
        <v>46</v>
      </c>
      <c r="AP31" s="1">
        <f t="shared" si="5"/>
        <v>56</v>
      </c>
      <c r="AQ31" s="1">
        <f t="shared" si="6"/>
        <v>75</v>
      </c>
      <c r="AR31" s="1">
        <f t="shared" si="7"/>
        <v>48</v>
      </c>
      <c r="AS31" s="1">
        <f t="shared" si="8"/>
        <v>80</v>
      </c>
      <c r="AT31" t="s">
        <v>21</v>
      </c>
      <c r="AU31" t="s">
        <v>29</v>
      </c>
      <c r="AV31" t="s">
        <v>30</v>
      </c>
      <c r="AW31" t="s">
        <v>31</v>
      </c>
      <c r="AX31" t="s">
        <v>37</v>
      </c>
      <c r="AY31" t="s">
        <v>84</v>
      </c>
      <c r="AZ31" t="s">
        <v>33</v>
      </c>
    </row>
    <row r="43" spans="1:1">
      <c r="A43" t="s">
        <v>13</v>
      </c>
    </row>
    <row r="44" spans="1:1">
      <c r="A44" t="s">
        <v>14</v>
      </c>
    </row>
    <row r="45" spans="1:1">
      <c r="A45" t="s">
        <v>15</v>
      </c>
    </row>
    <row r="46" spans="1:1">
      <c r="A46" t="s">
        <v>16</v>
      </c>
    </row>
    <row r="47" spans="1:1">
      <c r="A47" t="s">
        <v>17</v>
      </c>
    </row>
    <row r="48" spans="1:1">
      <c r="A48" t="s">
        <v>16</v>
      </c>
    </row>
    <row r="49" spans="1:1">
      <c r="A49" t="s">
        <v>16</v>
      </c>
    </row>
    <row r="50" spans="1:1">
      <c r="A50" t="s">
        <v>16</v>
      </c>
    </row>
    <row r="51" spans="1:1">
      <c r="A51" t="s">
        <v>15</v>
      </c>
    </row>
    <row r="52" spans="1:1">
      <c r="A52" t="s">
        <v>14</v>
      </c>
    </row>
    <row r="53" spans="1:1">
      <c r="A53" t="s">
        <v>13</v>
      </c>
    </row>
    <row r="54" spans="1:1">
      <c r="A5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XII-OVERALL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Madhavan Achuthalingam</dc:creator>
  <cp:lastModifiedBy>Lakshmi</cp:lastModifiedBy>
  <dcterms:created xsi:type="dcterms:W3CDTF">2024-10-08T12:53:51Z</dcterms:created>
  <dcterms:modified xsi:type="dcterms:W3CDTF">2024-10-10T09:11:27Z</dcterms:modified>
</cp:coreProperties>
</file>