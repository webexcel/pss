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5" yWindow="-105" windowWidth="20730" windowHeight="11760"/>
  </bookViews>
  <sheets>
    <sheet name="XII-OVERALL" sheetId="1" r:id="rId1"/>
  </sheet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3" i="1"/>
  <c r="AF3"/>
  <c r="AG3"/>
  <c r="AH3"/>
  <c r="AE4"/>
  <c r="AF4"/>
  <c r="AG4"/>
  <c r="AH4"/>
  <c r="AE5"/>
  <c r="AF5"/>
  <c r="AG5"/>
  <c r="AH5"/>
  <c r="AE6"/>
  <c r="AF6"/>
  <c r="AG6"/>
  <c r="AH6"/>
  <c r="AE7"/>
  <c r="AF7"/>
  <c r="AG7"/>
  <c r="AH7"/>
  <c r="AE8"/>
  <c r="AF8"/>
  <c r="AG8"/>
  <c r="AH8"/>
  <c r="AE9"/>
  <c r="AF9"/>
  <c r="AG9"/>
  <c r="AH9"/>
  <c r="AE10"/>
  <c r="AF10"/>
  <c r="AG10"/>
  <c r="AH10"/>
  <c r="AE11"/>
  <c r="AF11"/>
  <c r="AG11"/>
  <c r="AH11"/>
  <c r="AE12"/>
  <c r="AF12"/>
  <c r="AG12"/>
  <c r="AH12"/>
  <c r="AE13"/>
  <c r="AF13"/>
  <c r="AG13"/>
  <c r="AH13"/>
  <c r="AE14"/>
  <c r="AF14"/>
  <c r="AG14"/>
  <c r="AH14"/>
  <c r="AE15"/>
  <c r="AF15"/>
  <c r="AG15"/>
  <c r="AH15"/>
  <c r="AE16"/>
  <c r="AF16"/>
  <c r="AG16"/>
  <c r="AH16"/>
  <c r="AE17"/>
  <c r="AF17"/>
  <c r="AG17"/>
  <c r="AH17"/>
  <c r="AE18"/>
  <c r="AF18"/>
  <c r="AG18"/>
  <c r="AH18"/>
  <c r="AE19"/>
  <c r="AF19"/>
  <c r="AG19"/>
  <c r="AH19"/>
  <c r="AE20"/>
  <c r="AF20"/>
  <c r="AG20"/>
  <c r="AH20"/>
  <c r="AE21"/>
  <c r="AF21"/>
  <c r="AG21"/>
  <c r="AH21"/>
  <c r="AE22"/>
  <c r="AF22"/>
  <c r="AG22"/>
  <c r="AH22"/>
  <c r="AE23"/>
  <c r="AF23"/>
  <c r="AG23"/>
  <c r="AH23"/>
  <c r="AE24"/>
  <c r="AF24"/>
  <c r="AG24"/>
  <c r="AH24"/>
  <c r="AE25"/>
  <c r="AF25"/>
  <c r="AG25"/>
  <c r="AH25"/>
  <c r="AE26"/>
  <c r="AF26"/>
  <c r="AG26"/>
  <c r="AH26"/>
  <c r="AE27"/>
  <c r="AF27"/>
  <c r="AG27"/>
  <c r="AH27"/>
  <c r="AE28"/>
  <c r="AF28"/>
  <c r="AG28"/>
  <c r="AH28"/>
  <c r="AH2"/>
  <c r="AG2"/>
  <c r="AF2"/>
  <c r="AE2"/>
  <c r="AD3"/>
  <c r="AD4"/>
  <c r="AD5"/>
  <c r="AD6"/>
  <c r="AD7"/>
  <c r="AD8"/>
  <c r="AD9"/>
  <c r="AD10"/>
  <c r="AD11"/>
  <c r="AD12"/>
  <c r="AD13"/>
  <c r="AD14"/>
  <c r="AD15"/>
  <c r="AD16"/>
  <c r="AD17"/>
  <c r="AD18"/>
  <c r="AD19"/>
  <c r="AD20"/>
  <c r="AD21"/>
  <c r="AD22"/>
  <c r="AD23"/>
  <c r="AD24"/>
  <c r="AD25"/>
  <c r="AD26"/>
  <c r="AD27"/>
  <c r="AD28"/>
  <c r="AD2"/>
  <c r="Y17"/>
  <c r="Y18"/>
  <c r="Y19"/>
  <c r="Y20"/>
  <c r="Y21"/>
  <c r="Y22"/>
  <c r="Y23"/>
  <c r="Y24"/>
  <c r="Y25"/>
  <c r="Y26"/>
  <c r="Y27"/>
  <c r="Y28"/>
  <c r="Y3"/>
  <c r="Y4"/>
  <c r="Y5"/>
  <c r="Y6"/>
  <c r="Y7"/>
  <c r="Y8"/>
  <c r="Y9"/>
  <c r="Y10"/>
  <c r="Y11"/>
  <c r="Y12"/>
  <c r="Y13"/>
  <c r="Y14"/>
  <c r="Y15"/>
  <c r="Y16"/>
  <c r="Y2"/>
</calcChain>
</file>

<file path=xl/sharedStrings.xml><?xml version="1.0" encoding="utf-8"?>
<sst xmlns="http://schemas.openxmlformats.org/spreadsheetml/2006/main" count="438" uniqueCount="126">
  <si>
    <t>Roll_No</t>
  </si>
  <si>
    <t>CLASSSEC</t>
  </si>
  <si>
    <t>Adno</t>
  </si>
  <si>
    <t>name</t>
  </si>
  <si>
    <t>Exam</t>
  </si>
  <si>
    <t>English</t>
  </si>
  <si>
    <t>AB</t>
  </si>
  <si>
    <t>Quarterly</t>
  </si>
  <si>
    <t>Quarterly- IA / Practicals</t>
  </si>
  <si>
    <t>T1</t>
  </si>
  <si>
    <t>T2</t>
  </si>
  <si>
    <t>T3</t>
  </si>
  <si>
    <t>Att</t>
  </si>
  <si>
    <t>Scholastic</t>
  </si>
  <si>
    <t>Sports</t>
  </si>
  <si>
    <t>Yes</t>
  </si>
  <si>
    <t>Good</t>
  </si>
  <si>
    <t>Regular</t>
  </si>
  <si>
    <t>Chemistry</t>
  </si>
  <si>
    <t>Physics</t>
  </si>
  <si>
    <t>Maths</t>
  </si>
  <si>
    <t>Unit Test- I</t>
  </si>
  <si>
    <t>Unit Test-II</t>
  </si>
  <si>
    <t>Informatics_Practices</t>
  </si>
  <si>
    <t>XI-C</t>
  </si>
  <si>
    <t>AKSHAYAA S</t>
  </si>
  <si>
    <t>AMRITAA ASHOK</t>
  </si>
  <si>
    <t>AMRUTH G</t>
  </si>
  <si>
    <t>S ANANYA</t>
  </si>
  <si>
    <t>A ANJANA KRITHIKA</t>
  </si>
  <si>
    <t>DHANESSH A</t>
  </si>
  <si>
    <t>R Y JHAIVHANTH</t>
  </si>
  <si>
    <t>KANNAN SUBRAMANIAN</t>
  </si>
  <si>
    <t>KRIPA OJHA</t>
  </si>
  <si>
    <t>NOORUL AFFAN N</t>
  </si>
  <si>
    <t>PRANAVEASH M</t>
  </si>
  <si>
    <t>PRITHVIRAJ SASTRI</t>
  </si>
  <si>
    <t>RANGANATH TAWKER K</t>
  </si>
  <si>
    <t>RITHUL SRINIVASAN</t>
  </si>
  <si>
    <t>RUPA DHARANI P</t>
  </si>
  <si>
    <t>SACHIN V</t>
  </si>
  <si>
    <t>SAI RATHAN G</t>
  </si>
  <si>
    <t>SANGEETHAA C</t>
  </si>
  <si>
    <t>M SANJEEVAN</t>
  </si>
  <si>
    <t>V SHIVARANJANI</t>
  </si>
  <si>
    <t>SHRIJANI S</t>
  </si>
  <si>
    <t>SIVAPRIYAN A</t>
  </si>
  <si>
    <t>SRIKESHAV N</t>
  </si>
  <si>
    <t>P SRIDHANYAA</t>
  </si>
  <si>
    <t>SRINIVASA RAGHAVAN M S</t>
  </si>
  <si>
    <t>TEJASWIN RAJ S</t>
  </si>
  <si>
    <t>VIDHYALAKSHMI S</t>
  </si>
  <si>
    <t>15 5</t>
  </si>
  <si>
    <t>72/74</t>
  </si>
  <si>
    <t>Participated in annual day prize distribution as a volunteer. She was a part of trekking team to kodaikkanal</t>
  </si>
  <si>
    <t xml:space="preserve">Participated in javelin throw and discus throw selections      </t>
  </si>
  <si>
    <t>Excellent</t>
  </si>
  <si>
    <t>74/74</t>
  </si>
  <si>
    <t>Participated in Bhagavat Geeta chanting competition</t>
  </si>
  <si>
    <t xml:space="preserve"> volunteered in annual day as a prize distribution volunteer. She was a part of trekking team to kodaikannal Won Runner up in schook basketball match  participated and went to finals in shot put and discuss throw and participated in javelin throw    </t>
  </si>
  <si>
    <t>67/74</t>
  </si>
  <si>
    <t>He was winner in futsal event of Maithri culturals</t>
  </si>
  <si>
    <t xml:space="preserve"> Kalpakosha culturals.Hw was a part of trekking team to kodaikkanal The following are his achievements in sports (i)Winners in football tournament conducted by st. Brittos academy (ii) Winners in football tournament conducted by P S Educational society (iii) Runners in football tournament conducted by omega international School (iv) Participated in football tournament conducted by abacus montessori school (v) Participated in school football intramurals (vi) Participated in 100m  200m 400m  long jump and high jump conducted in school and Nehru stadium..  </t>
  </si>
  <si>
    <t>70/74</t>
  </si>
  <si>
    <t xml:space="preserve">Volunteered in School Annual day </t>
  </si>
  <si>
    <t xml:space="preserve"> PS Rhetoric - Day 2.Participated in Kalanjali- Culturals Participated in Reverberations- Culturals  Smaraneeyam culturals - Reflections- Culturals She had participated in intra school sports activities    </t>
  </si>
  <si>
    <t>She "Volunteered for annual day and Volunteered for rhetoric Participated in 3 culturals (Reverberations</t>
  </si>
  <si>
    <t xml:space="preserve"> Maithri and Smaraneeyam)" She was a part of trekking team to kodaikkanal Was student volunteer sports eventsY     </t>
  </si>
  <si>
    <t>68/70</t>
  </si>
  <si>
    <t>He took part in the following inter school cultural events1. Kalpakosha-IPL Auction 2. Reverberations -IPL Auction(1st place) 3. smaraneeyam - IPL Auction(1st place) and Winners events(4th place) 4. Maithri - Treasure hunt and Adzap 5. He participated in trekking to kodaikannal</t>
  </si>
  <si>
    <t xml:space="preserve">He has Participated in inter school sports event like /"short put      </t>
  </si>
  <si>
    <t>65/74</t>
  </si>
  <si>
    <t>He has Participated in inter school culturals like reverberations. He was a part of trekking team to kodaikkanal</t>
  </si>
  <si>
    <t xml:space="preserve">Won silver medal in (i) 100 m running (ii) long jump (iii) 4x100 relay in interschool level also in intra school level he won 1st place in long jump in13th MCC Pedha      </t>
  </si>
  <si>
    <t>He has Volunteered in school annual day functions</t>
  </si>
  <si>
    <t xml:space="preserve">1.Participated in football intramurals 2.Participated in chess intramurals 3.Participated in 200m for sports day 4.Participated in long jump for sports day      </t>
  </si>
  <si>
    <t>61/74</t>
  </si>
  <si>
    <t>(i) She was declared best photojournalist in Lakeview mun 24 (ii) got a special mention in Vanguard Mun 24 (iii) Placed II in Kalpakosha event phtography. Also participated in various Sanskrit competitions.</t>
  </si>
  <si>
    <t xml:space="preserve">Participated in various intraschool competitions      </t>
  </si>
  <si>
    <t>70.5/74</t>
  </si>
  <si>
    <t>(i) Participated in Kalanjali ventures conducted by bala vidya mandir and secured 2nd place in channel surfing competition (ii) Participated in reverberations conducted by psbb group of schools and secured 3rd place in channel surfing and adzap (iii) Participated in mythri conducted by chettinad vidyashram and secured 2nd place in channel surfing and movie spoof.</t>
  </si>
  <si>
    <t xml:space="preserve">Participated in various inter and intra school sports activities      </t>
  </si>
  <si>
    <t>59/74</t>
  </si>
  <si>
    <t>He has Volunteered in school annual day functions. He was a part of trekking team to kodaikkanal</t>
  </si>
  <si>
    <t xml:space="preserve">Participated in Badminton and Carrom Board in Intramurals at our school      </t>
  </si>
  <si>
    <t>Irregular</t>
  </si>
  <si>
    <t>67.5/74</t>
  </si>
  <si>
    <t>He has Volunteered in school Annual day program. He was a part of trekking team to kodaikkanal</t>
  </si>
  <si>
    <t xml:space="preserve">He had Volunteered in Annual sports day meet      </t>
  </si>
  <si>
    <t>(i) He was a volunteer in School annual day function and school cultural programs (ii) He had a verbal mention in special mention in G MUN Chennai and Lake view Mun also he had a high commendation in Ponvidyashram Mun. He was placed I in REFLECTIONS CULTURAL of vidyamandir in event called Expectation Vs Reality. In CV culturals (MAITHRI) won II place in Channel surfing.</t>
  </si>
  <si>
    <t xml:space="preserve">Participated in various Intra school sports activities      </t>
  </si>
  <si>
    <t>66/74</t>
  </si>
  <si>
    <t>Represented school in 6 cultural events: 1) Kalpakosha 2024- represented school in Shipwreck finals. 2) Kalanjali 2024- represented school in block and tackle finals. 3) Reverberations 2024- Won third prize in Adzap and Channel Surfing 4) Reflections 2024- Won 2nd prize in Surprise event 5) Smaraneeyam 2024- Won third prize in Standup comedy 6) Maithri 2024- Won 2nd prize in movie spoof. Represented school in 1 debate competitions: Mock ISDS conducted online- Won best speaker . Represented school in MUNs: PVMUN'24- Verbal mention award and participation VNMUN'24- 2nd prize (high commendation) Represented school in annual day: Tamil play volunteer</t>
  </si>
  <si>
    <t xml:space="preserve">Participation in school annual sports day: Shotput participation Long jump participation Discus Throw participation Javelin throw-4th place special mention      </t>
  </si>
  <si>
    <t>I. Participated in Bharatanatyam dance performance during school's annual day program II. Volunteered in school's Scintillation'24 cultural event She was a part of trekking team to kodaikkanal</t>
  </si>
  <si>
    <t xml:space="preserve">I. Intra-School Sports Event at PS: a) Won 3rd prize in Discus throw b) .Participated in Javelin and Shot Put. C) Represented Saphire house 2. Inter school sports event Represented the school in a) YMCA Buck's Memorial Inter school Sports Meet b) MCC Tambaram Pedha's Inter school Sports Meet c) Throwball Match at St.Britto's College: Won II prize in Inter school throw ball competition conducted by P S Educational society      </t>
  </si>
  <si>
    <t>He was a part of following inter school cultural events. Kalpakosha (basketball)</t>
  </si>
  <si>
    <t xml:space="preserve"> Reverberations ( basketball)  Also he has Volunteered in school annual day program. He was a part of trekking team to kodaikkanal Intramurals (basketball)  shoutput  javelin  </t>
  </si>
  <si>
    <t>He was a player in box cricket in PSBB reverberations culturals in the year 2024. Volunteered in school annual day function</t>
  </si>
  <si>
    <t xml:space="preserve">Represented school team as top order batsman in MCC cricket tournament 2024 played till finals and runner up      </t>
  </si>
  <si>
    <t>73 /74</t>
  </si>
  <si>
    <t>She has volunteered in annual day program of school</t>
  </si>
  <si>
    <t xml:space="preserve">She has participated in intra school sports event like javelin throw      </t>
  </si>
  <si>
    <t>71.5/74</t>
  </si>
  <si>
    <t>He had Volunteered in school annual day program</t>
  </si>
  <si>
    <t xml:space="preserve">He had Volunteered in school sports day functions      </t>
  </si>
  <si>
    <t>She has volunteered in school annual day program</t>
  </si>
  <si>
    <t xml:space="preserve">She has Participated in school sports events      </t>
  </si>
  <si>
    <t>68.5/74</t>
  </si>
  <si>
    <t>She has Participated in the following inter school cultural events 1. Attended CV Mun 2. Volunteered in Annual Day 3. Scintillations Photographer 4. PS Amble Core photographer 5. Participated in Math Talent Test exam</t>
  </si>
  <si>
    <t xml:space="preserve">She has volunteered in school sports day      </t>
  </si>
  <si>
    <t>63.5/74</t>
  </si>
  <si>
    <t>He was Transport volunteer in school annual day</t>
  </si>
  <si>
    <t xml:space="preserve"> participated in maitri 2024 culturals. He was a part of trekking team to kodaikkanal He had Participated in football intramurals and won first place(emerald)     </t>
  </si>
  <si>
    <t>He was a Volunteer in School Annual day. He was a part of trekking team to kodaikkanal</t>
  </si>
  <si>
    <t xml:space="preserve">He had 11volunteered in school intramurals      </t>
  </si>
  <si>
    <t>71/74</t>
  </si>
  <si>
    <t>1.He had Volunteered in school annual day 2.Participated in Vishnu Sahasranamam competetion conducted by PS educational society Golden jubilee celebration</t>
  </si>
  <si>
    <t xml:space="preserve">She has Participated in the school sports day      </t>
  </si>
  <si>
    <t>He was a prize winner in various events like channel surfing</t>
  </si>
  <si>
    <t xml:space="preserve"> surprise event  winnners event  improve acting  shipwreck of kalanjali  reverberations  smarneeyam  mythiri</t>
  </si>
  <si>
    <t xml:space="preserve">He has Participated in the following inter school cultural activities Axis mun - high commendation </t>
  </si>
  <si>
    <t>Lake view- special mention Ed mun - high commendation Kalpakosha 2024 Kalanjali 2024 Reflections 2024 Sankara 2024 Reverbs 2024. He was a part of trekking team to kodaikkanal</t>
  </si>
  <si>
    <t>She had Volunteered For School Annual Day Program. She was a part of trekking team to kodaikkanal</t>
  </si>
  <si>
    <t xml:space="preserve">She had participated in intra school sports activities      </t>
  </si>
  <si>
    <t>TERM1-100</t>
  </si>
</sst>
</file>

<file path=xl/styles.xml><?xml version="1.0" encoding="utf-8"?>
<styleSheet xmlns="http://schemas.openxmlformats.org/spreadsheetml/2006/main">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AO28"/>
  <sheetViews>
    <sheetView tabSelected="1" topLeftCell="X1" workbookViewId="0">
      <selection activeCell="AH3" sqref="AH3"/>
    </sheetView>
  </sheetViews>
  <sheetFormatPr defaultColWidth="11.7109375" defaultRowHeight="15"/>
  <cols>
    <col min="1" max="1" width="6" customWidth="1"/>
    <col min="2" max="2" width="7.28515625" customWidth="1"/>
    <col min="3" max="3" width="6.140625" customWidth="1"/>
    <col min="5" max="6" width="6.42578125" customWidth="1"/>
    <col min="7" max="7" width="5.5703125" customWidth="1"/>
    <col min="8" max="8" width="7.7109375" customWidth="1"/>
    <col min="9" max="9" width="8.140625" customWidth="1"/>
    <col min="10" max="10" width="7" customWidth="1"/>
    <col min="12" max="22" width="8.85546875"/>
    <col min="23" max="23" width="11.7109375" customWidth="1"/>
    <col min="24" max="24" width="8.85546875"/>
    <col min="26" max="28" width="8.85546875"/>
    <col min="35" max="46" width="8.85546875"/>
    <col min="47" max="47" width="7.140625" bestFit="1" customWidth="1"/>
    <col min="48" max="48" width="10.28515625" bestFit="1" customWidth="1"/>
    <col min="49" max="50" width="255.7109375" bestFit="1" customWidth="1"/>
    <col min="51" max="55" width="8.85546875"/>
  </cols>
  <sheetData>
    <row r="1" spans="1:41">
      <c r="A1" t="s">
        <v>0</v>
      </c>
      <c r="B1" t="s">
        <v>1</v>
      </c>
      <c r="C1" t="s">
        <v>2</v>
      </c>
      <c r="D1" t="s">
        <v>3</v>
      </c>
      <c r="E1" t="s">
        <v>4</v>
      </c>
      <c r="F1" t="s">
        <v>19</v>
      </c>
      <c r="G1" t="s">
        <v>20</v>
      </c>
      <c r="H1" t="s">
        <v>5</v>
      </c>
      <c r="I1" t="s">
        <v>23</v>
      </c>
      <c r="J1" t="s">
        <v>18</v>
      </c>
      <c r="K1" t="s">
        <v>4</v>
      </c>
      <c r="L1" t="s">
        <v>19</v>
      </c>
      <c r="M1" t="s">
        <v>20</v>
      </c>
      <c r="N1" t="s">
        <v>5</v>
      </c>
      <c r="O1" t="s">
        <v>23</v>
      </c>
      <c r="P1" t="s">
        <v>18</v>
      </c>
      <c r="Q1" t="s">
        <v>4</v>
      </c>
      <c r="R1" t="s">
        <v>19</v>
      </c>
      <c r="S1" t="s">
        <v>20</v>
      </c>
      <c r="T1" t="s">
        <v>5</v>
      </c>
      <c r="U1" t="s">
        <v>23</v>
      </c>
      <c r="V1" t="s">
        <v>18</v>
      </c>
      <c r="W1" t="s">
        <v>4</v>
      </c>
      <c r="X1" t="s">
        <v>19</v>
      </c>
      <c r="Y1" t="s">
        <v>20</v>
      </c>
      <c r="Z1" t="s">
        <v>5</v>
      </c>
      <c r="AA1" t="s">
        <v>23</v>
      </c>
      <c r="AB1" t="s">
        <v>18</v>
      </c>
      <c r="AC1" t="s">
        <v>125</v>
      </c>
      <c r="AD1" t="s">
        <v>19</v>
      </c>
      <c r="AE1" t="s">
        <v>20</v>
      </c>
      <c r="AF1" t="s">
        <v>5</v>
      </c>
      <c r="AG1" t="s">
        <v>23</v>
      </c>
      <c r="AH1" t="s">
        <v>18</v>
      </c>
      <c r="AI1" t="s">
        <v>4</v>
      </c>
      <c r="AJ1" t="s">
        <v>9</v>
      </c>
      <c r="AK1" t="s">
        <v>10</v>
      </c>
      <c r="AL1" t="s">
        <v>11</v>
      </c>
      <c r="AM1" t="s">
        <v>12</v>
      </c>
      <c r="AN1" t="s">
        <v>13</v>
      </c>
      <c r="AO1" t="s">
        <v>14</v>
      </c>
    </row>
    <row r="2" spans="1:41">
      <c r="A2">
        <v>1</v>
      </c>
      <c r="B2" t="s">
        <v>24</v>
      </c>
      <c r="C2">
        <v>18067</v>
      </c>
      <c r="D2" t="s">
        <v>25</v>
      </c>
      <c r="E2" t="s">
        <v>21</v>
      </c>
      <c r="F2">
        <v>20.5</v>
      </c>
      <c r="G2">
        <v>18</v>
      </c>
      <c r="H2">
        <v>32.5</v>
      </c>
      <c r="I2">
        <v>26.5</v>
      </c>
      <c r="J2" t="s">
        <v>6</v>
      </c>
      <c r="K2" t="s">
        <v>22</v>
      </c>
      <c r="L2">
        <v>21</v>
      </c>
      <c r="M2">
        <v>23.5</v>
      </c>
      <c r="N2">
        <v>30</v>
      </c>
      <c r="O2">
        <v>24</v>
      </c>
      <c r="P2">
        <v>22.5</v>
      </c>
      <c r="Q2" t="s">
        <v>7</v>
      </c>
      <c r="R2">
        <v>36</v>
      </c>
      <c r="S2">
        <v>49</v>
      </c>
      <c r="T2">
        <v>64</v>
      </c>
      <c r="U2">
        <v>60</v>
      </c>
      <c r="V2">
        <v>46</v>
      </c>
      <c r="W2" t="s">
        <v>8</v>
      </c>
      <c r="X2">
        <v>28</v>
      </c>
      <c r="Y2" s="1">
        <f>CEILING((N(G2)+N(M2))/80*20,0.5)</f>
        <v>10.5</v>
      </c>
      <c r="Z2">
        <v>18</v>
      </c>
      <c r="AA2">
        <v>25</v>
      </c>
      <c r="AB2">
        <v>25</v>
      </c>
      <c r="AC2" t="s">
        <v>125</v>
      </c>
      <c r="AD2" s="1">
        <f>ROUND(N(R2)+N(X2),0)</f>
        <v>64</v>
      </c>
      <c r="AE2" s="1">
        <f t="shared" ref="AE2:AH2" si="0">ROUND(N(S2)+N(Y2),0)</f>
        <v>60</v>
      </c>
      <c r="AF2" s="1">
        <f t="shared" si="0"/>
        <v>82</v>
      </c>
      <c r="AG2" s="1">
        <f t="shared" si="0"/>
        <v>85</v>
      </c>
      <c r="AH2" s="1">
        <f t="shared" si="0"/>
        <v>71</v>
      </c>
      <c r="AI2" t="s">
        <v>7</v>
      </c>
      <c r="AJ2" t="s">
        <v>15</v>
      </c>
      <c r="AK2" t="s">
        <v>16</v>
      </c>
      <c r="AL2" t="s">
        <v>17</v>
      </c>
      <c r="AM2" t="s">
        <v>53</v>
      </c>
      <c r="AN2" t="s">
        <v>54</v>
      </c>
      <c r="AO2" t="s">
        <v>55</v>
      </c>
    </row>
    <row r="3" spans="1:41">
      <c r="A3">
        <v>2</v>
      </c>
      <c r="B3" t="s">
        <v>24</v>
      </c>
      <c r="C3">
        <v>18702</v>
      </c>
      <c r="D3" t="s">
        <v>26</v>
      </c>
      <c r="E3" t="s">
        <v>21</v>
      </c>
      <c r="F3">
        <v>22</v>
      </c>
      <c r="G3">
        <v>30</v>
      </c>
      <c r="H3">
        <v>32</v>
      </c>
      <c r="I3">
        <v>28</v>
      </c>
      <c r="J3">
        <v>30</v>
      </c>
      <c r="K3" t="s">
        <v>22</v>
      </c>
      <c r="L3">
        <v>24</v>
      </c>
      <c r="M3">
        <v>27.5</v>
      </c>
      <c r="N3">
        <v>39</v>
      </c>
      <c r="O3">
        <v>30.5</v>
      </c>
      <c r="P3">
        <v>26.5</v>
      </c>
      <c r="Q3" t="s">
        <v>7</v>
      </c>
      <c r="R3">
        <v>50</v>
      </c>
      <c r="S3">
        <v>63.5</v>
      </c>
      <c r="T3">
        <v>69.5</v>
      </c>
      <c r="U3">
        <v>60.5</v>
      </c>
      <c r="V3">
        <v>62.5</v>
      </c>
      <c r="W3" t="s">
        <v>8</v>
      </c>
      <c r="X3">
        <v>28.5</v>
      </c>
      <c r="Y3" s="1">
        <f t="shared" ref="Y3:Y28" si="1">CEILING((N(G3)+N(M3))/80*20,0.5)</f>
        <v>14.5</v>
      </c>
      <c r="Z3">
        <v>9</v>
      </c>
      <c r="AA3">
        <v>28</v>
      </c>
      <c r="AB3">
        <v>29.5</v>
      </c>
      <c r="AC3" t="s">
        <v>125</v>
      </c>
      <c r="AD3" s="1">
        <f t="shared" ref="AD3:AD28" si="2">ROUND(N(R3)+N(X3),0)</f>
        <v>79</v>
      </c>
      <c r="AE3" s="1">
        <f t="shared" ref="AE3:AE28" si="3">ROUND(N(S3)+N(Y3),0)</f>
        <v>78</v>
      </c>
      <c r="AF3" s="1">
        <f t="shared" ref="AF3:AF28" si="4">ROUND(N(T3)+N(Z3),0)</f>
        <v>79</v>
      </c>
      <c r="AG3" s="1">
        <f t="shared" ref="AG3:AG28" si="5">ROUND(N(U3)+N(AA3),0)</f>
        <v>89</v>
      </c>
      <c r="AH3" s="1">
        <f t="shared" ref="AH3:AH28" si="6">ROUND(N(V3)+N(AB3),0)</f>
        <v>92</v>
      </c>
      <c r="AI3" t="s">
        <v>7</v>
      </c>
      <c r="AJ3" t="s">
        <v>15</v>
      </c>
      <c r="AK3" t="s">
        <v>56</v>
      </c>
      <c r="AL3" t="s">
        <v>17</v>
      </c>
      <c r="AM3" t="s">
        <v>57</v>
      </c>
      <c r="AN3" t="s">
        <v>58</v>
      </c>
      <c r="AO3" t="s">
        <v>59</v>
      </c>
    </row>
    <row r="4" spans="1:41">
      <c r="A4">
        <v>3</v>
      </c>
      <c r="B4" t="s">
        <v>24</v>
      </c>
      <c r="C4">
        <v>14574</v>
      </c>
      <c r="D4" t="s">
        <v>27</v>
      </c>
      <c r="E4" t="s">
        <v>21</v>
      </c>
      <c r="F4">
        <v>17</v>
      </c>
      <c r="G4">
        <v>24</v>
      </c>
      <c r="H4">
        <v>31.5</v>
      </c>
      <c r="I4">
        <v>17</v>
      </c>
      <c r="J4">
        <v>24.5</v>
      </c>
      <c r="K4" t="s">
        <v>22</v>
      </c>
      <c r="L4">
        <v>12.5</v>
      </c>
      <c r="M4">
        <v>20.5</v>
      </c>
      <c r="N4">
        <v>27</v>
      </c>
      <c r="O4">
        <v>17</v>
      </c>
      <c r="P4">
        <v>21.5</v>
      </c>
      <c r="Q4" t="s">
        <v>7</v>
      </c>
      <c r="R4" t="s">
        <v>6</v>
      </c>
      <c r="S4">
        <v>49</v>
      </c>
      <c r="T4">
        <v>0</v>
      </c>
      <c r="U4">
        <v>34</v>
      </c>
      <c r="V4">
        <v>28</v>
      </c>
      <c r="W4" t="s">
        <v>8</v>
      </c>
      <c r="X4">
        <v>23.5</v>
      </c>
      <c r="Y4" s="1">
        <f t="shared" si="1"/>
        <v>11.5</v>
      </c>
      <c r="Z4">
        <v>7</v>
      </c>
      <c r="AA4">
        <v>12</v>
      </c>
      <c r="AB4">
        <v>18</v>
      </c>
      <c r="AC4" t="s">
        <v>125</v>
      </c>
      <c r="AD4" s="1">
        <f t="shared" si="2"/>
        <v>24</v>
      </c>
      <c r="AE4" s="1">
        <f t="shared" si="3"/>
        <v>61</v>
      </c>
      <c r="AF4" s="1">
        <f t="shared" si="4"/>
        <v>7</v>
      </c>
      <c r="AG4" s="1">
        <f t="shared" si="5"/>
        <v>46</v>
      </c>
      <c r="AH4" s="1">
        <f t="shared" si="6"/>
        <v>46</v>
      </c>
      <c r="AI4" t="s">
        <v>7</v>
      </c>
      <c r="AJ4" t="s">
        <v>15</v>
      </c>
      <c r="AK4" t="s">
        <v>16</v>
      </c>
      <c r="AL4" t="s">
        <v>17</v>
      </c>
      <c r="AM4" t="s">
        <v>60</v>
      </c>
      <c r="AN4" t="s">
        <v>61</v>
      </c>
      <c r="AO4" t="s">
        <v>62</v>
      </c>
    </row>
    <row r="5" spans="1:41">
      <c r="A5">
        <v>4</v>
      </c>
      <c r="B5" t="s">
        <v>24</v>
      </c>
      <c r="C5">
        <v>17296</v>
      </c>
      <c r="D5" t="s">
        <v>28</v>
      </c>
      <c r="E5" t="s">
        <v>21</v>
      </c>
      <c r="F5" t="s">
        <v>6</v>
      </c>
      <c r="G5">
        <v>26</v>
      </c>
      <c r="H5">
        <v>34</v>
      </c>
      <c r="I5">
        <v>20.5</v>
      </c>
      <c r="J5">
        <v>18.5</v>
      </c>
      <c r="K5" t="s">
        <v>22</v>
      </c>
      <c r="L5">
        <v>11.5</v>
      </c>
      <c r="M5" t="s">
        <v>6</v>
      </c>
      <c r="N5">
        <v>33</v>
      </c>
      <c r="O5">
        <v>23</v>
      </c>
      <c r="P5">
        <v>23</v>
      </c>
      <c r="Q5" t="s">
        <v>7</v>
      </c>
      <c r="R5">
        <v>24</v>
      </c>
      <c r="S5">
        <v>35.5</v>
      </c>
      <c r="T5">
        <v>66.5</v>
      </c>
      <c r="U5">
        <v>40.5</v>
      </c>
      <c r="V5">
        <v>33.5</v>
      </c>
      <c r="W5" t="s">
        <v>8</v>
      </c>
      <c r="X5">
        <v>19</v>
      </c>
      <c r="Y5" s="1">
        <f t="shared" si="1"/>
        <v>6.5</v>
      </c>
      <c r="Z5">
        <v>19</v>
      </c>
      <c r="AA5">
        <v>18</v>
      </c>
      <c r="AB5">
        <v>19</v>
      </c>
      <c r="AC5" t="s">
        <v>125</v>
      </c>
      <c r="AD5" s="1">
        <f t="shared" si="2"/>
        <v>43</v>
      </c>
      <c r="AE5" s="1">
        <f t="shared" si="3"/>
        <v>42</v>
      </c>
      <c r="AF5" s="1">
        <f t="shared" si="4"/>
        <v>86</v>
      </c>
      <c r="AG5" s="1">
        <f t="shared" si="5"/>
        <v>59</v>
      </c>
      <c r="AH5" s="1">
        <f t="shared" si="6"/>
        <v>53</v>
      </c>
      <c r="AI5" t="s">
        <v>7</v>
      </c>
      <c r="AJ5" t="s">
        <v>15</v>
      </c>
      <c r="AK5" t="s">
        <v>16</v>
      </c>
      <c r="AL5" t="s">
        <v>17</v>
      </c>
      <c r="AM5" t="s">
        <v>63</v>
      </c>
      <c r="AN5" t="s">
        <v>64</v>
      </c>
      <c r="AO5" t="s">
        <v>65</v>
      </c>
    </row>
    <row r="6" spans="1:41">
      <c r="A6">
        <v>5</v>
      </c>
      <c r="B6" t="s">
        <v>24</v>
      </c>
      <c r="C6">
        <v>14569</v>
      </c>
      <c r="D6" t="s">
        <v>29</v>
      </c>
      <c r="E6" t="s">
        <v>21</v>
      </c>
      <c r="F6">
        <v>26</v>
      </c>
      <c r="G6">
        <v>34.5</v>
      </c>
      <c r="H6">
        <v>36</v>
      </c>
      <c r="I6">
        <v>30</v>
      </c>
      <c r="J6">
        <v>29</v>
      </c>
      <c r="K6" t="s">
        <v>22</v>
      </c>
      <c r="L6">
        <v>24.5</v>
      </c>
      <c r="M6">
        <v>37</v>
      </c>
      <c r="N6">
        <v>36.5</v>
      </c>
      <c r="O6">
        <v>29.5</v>
      </c>
      <c r="P6">
        <v>28</v>
      </c>
      <c r="Q6" t="s">
        <v>7</v>
      </c>
      <c r="R6">
        <v>49</v>
      </c>
      <c r="S6">
        <v>62.5</v>
      </c>
      <c r="T6">
        <v>72</v>
      </c>
      <c r="U6">
        <v>55.5</v>
      </c>
      <c r="V6">
        <v>59.5</v>
      </c>
      <c r="W6" t="s">
        <v>8</v>
      </c>
      <c r="X6">
        <v>27</v>
      </c>
      <c r="Y6" s="1">
        <f t="shared" si="1"/>
        <v>18</v>
      </c>
      <c r="Z6">
        <v>19</v>
      </c>
      <c r="AA6">
        <v>29</v>
      </c>
      <c r="AB6">
        <v>21.5</v>
      </c>
      <c r="AC6" t="s">
        <v>125</v>
      </c>
      <c r="AD6" s="1">
        <f t="shared" si="2"/>
        <v>76</v>
      </c>
      <c r="AE6" s="1">
        <f t="shared" si="3"/>
        <v>81</v>
      </c>
      <c r="AF6" s="1">
        <f t="shared" si="4"/>
        <v>91</v>
      </c>
      <c r="AG6" s="1">
        <f t="shared" si="5"/>
        <v>85</v>
      </c>
      <c r="AH6" s="1">
        <f t="shared" si="6"/>
        <v>81</v>
      </c>
      <c r="AI6" t="s">
        <v>7</v>
      </c>
      <c r="AJ6" t="s">
        <v>15</v>
      </c>
      <c r="AK6" t="s">
        <v>16</v>
      </c>
      <c r="AL6" t="s">
        <v>17</v>
      </c>
      <c r="AM6" t="s">
        <v>63</v>
      </c>
      <c r="AN6" t="s">
        <v>66</v>
      </c>
      <c r="AO6" t="s">
        <v>67</v>
      </c>
    </row>
    <row r="7" spans="1:41">
      <c r="A7">
        <v>6</v>
      </c>
      <c r="B7" t="s">
        <v>24</v>
      </c>
      <c r="C7">
        <v>14598</v>
      </c>
      <c r="D7" t="s">
        <v>30</v>
      </c>
      <c r="E7" t="s">
        <v>21</v>
      </c>
      <c r="F7">
        <v>12</v>
      </c>
      <c r="G7">
        <v>31</v>
      </c>
      <c r="H7">
        <v>28.5</v>
      </c>
      <c r="I7">
        <v>23.5</v>
      </c>
      <c r="J7">
        <v>24</v>
      </c>
      <c r="K7" t="s">
        <v>22</v>
      </c>
      <c r="L7">
        <v>20.5</v>
      </c>
      <c r="M7">
        <v>20</v>
      </c>
      <c r="N7">
        <v>22.5</v>
      </c>
      <c r="O7">
        <v>28</v>
      </c>
      <c r="P7">
        <v>25.5</v>
      </c>
      <c r="Q7" t="s">
        <v>7</v>
      </c>
      <c r="R7">
        <v>44</v>
      </c>
      <c r="S7">
        <v>57</v>
      </c>
      <c r="T7">
        <v>57.5</v>
      </c>
      <c r="U7">
        <v>47</v>
      </c>
      <c r="V7">
        <v>53.5</v>
      </c>
      <c r="W7" t="s">
        <v>8</v>
      </c>
      <c r="X7">
        <v>23</v>
      </c>
      <c r="Y7" s="1">
        <f t="shared" si="1"/>
        <v>13</v>
      </c>
      <c r="Z7">
        <v>19</v>
      </c>
      <c r="AA7">
        <v>24</v>
      </c>
      <c r="AB7">
        <v>18</v>
      </c>
      <c r="AC7" t="s">
        <v>125</v>
      </c>
      <c r="AD7" s="1">
        <f t="shared" si="2"/>
        <v>67</v>
      </c>
      <c r="AE7" s="1">
        <f t="shared" si="3"/>
        <v>70</v>
      </c>
      <c r="AF7" s="1">
        <f t="shared" si="4"/>
        <v>77</v>
      </c>
      <c r="AG7" s="1">
        <f t="shared" si="5"/>
        <v>71</v>
      </c>
      <c r="AH7" s="1">
        <f t="shared" si="6"/>
        <v>72</v>
      </c>
      <c r="AI7" t="s">
        <v>7</v>
      </c>
      <c r="AJ7" t="s">
        <v>15</v>
      </c>
      <c r="AK7" t="s">
        <v>56</v>
      </c>
      <c r="AL7" t="s">
        <v>17</v>
      </c>
      <c r="AM7" t="s">
        <v>68</v>
      </c>
      <c r="AN7" t="s">
        <v>69</v>
      </c>
      <c r="AO7" t="s">
        <v>70</v>
      </c>
    </row>
    <row r="8" spans="1:41">
      <c r="A8">
        <v>7</v>
      </c>
      <c r="B8" t="s">
        <v>24</v>
      </c>
      <c r="C8">
        <v>15990</v>
      </c>
      <c r="D8" t="s">
        <v>31</v>
      </c>
      <c r="E8" t="s">
        <v>21</v>
      </c>
      <c r="F8">
        <v>7</v>
      </c>
      <c r="G8">
        <v>7</v>
      </c>
      <c r="H8">
        <v>29</v>
      </c>
      <c r="I8">
        <v>16.5</v>
      </c>
      <c r="J8">
        <v>10</v>
      </c>
      <c r="K8" t="s">
        <v>22</v>
      </c>
      <c r="L8">
        <v>5.5</v>
      </c>
      <c r="M8">
        <v>6.5</v>
      </c>
      <c r="N8">
        <v>27</v>
      </c>
      <c r="O8">
        <v>13</v>
      </c>
      <c r="P8">
        <v>14.5</v>
      </c>
      <c r="Q8" t="s">
        <v>7</v>
      </c>
      <c r="R8">
        <v>13</v>
      </c>
      <c r="S8">
        <v>32</v>
      </c>
      <c r="T8">
        <v>0</v>
      </c>
      <c r="U8">
        <v>36</v>
      </c>
      <c r="V8">
        <v>18.5</v>
      </c>
      <c r="W8" t="s">
        <v>8</v>
      </c>
      <c r="X8">
        <v>27</v>
      </c>
      <c r="Y8" s="1">
        <f t="shared" si="1"/>
        <v>3.5</v>
      </c>
      <c r="Z8">
        <v>20</v>
      </c>
      <c r="AA8">
        <v>20</v>
      </c>
      <c r="AB8">
        <v>16.5</v>
      </c>
      <c r="AC8" t="s">
        <v>125</v>
      </c>
      <c r="AD8" s="1">
        <f t="shared" si="2"/>
        <v>40</v>
      </c>
      <c r="AE8" s="1">
        <f t="shared" si="3"/>
        <v>36</v>
      </c>
      <c r="AF8" s="1">
        <f t="shared" si="4"/>
        <v>20</v>
      </c>
      <c r="AG8" s="1">
        <f t="shared" si="5"/>
        <v>56</v>
      </c>
      <c r="AH8" s="1">
        <f t="shared" si="6"/>
        <v>35</v>
      </c>
      <c r="AI8" t="s">
        <v>7</v>
      </c>
      <c r="AJ8" t="s">
        <v>15</v>
      </c>
      <c r="AK8" t="s">
        <v>16</v>
      </c>
      <c r="AL8" t="s">
        <v>17</v>
      </c>
      <c r="AM8" t="s">
        <v>71</v>
      </c>
      <c r="AN8" t="s">
        <v>72</v>
      </c>
      <c r="AO8" t="s">
        <v>73</v>
      </c>
    </row>
    <row r="9" spans="1:41">
      <c r="A9">
        <v>8</v>
      </c>
      <c r="B9" t="s">
        <v>24</v>
      </c>
      <c r="C9">
        <v>17610</v>
      </c>
      <c r="D9" t="s">
        <v>32</v>
      </c>
      <c r="E9" t="s">
        <v>21</v>
      </c>
      <c r="F9">
        <v>26.5</v>
      </c>
      <c r="G9">
        <v>24</v>
      </c>
      <c r="H9">
        <v>37</v>
      </c>
      <c r="I9">
        <v>32</v>
      </c>
      <c r="J9">
        <v>29</v>
      </c>
      <c r="K9" t="s">
        <v>22</v>
      </c>
      <c r="L9">
        <v>25.5</v>
      </c>
      <c r="M9">
        <v>22</v>
      </c>
      <c r="N9">
        <v>32.5</v>
      </c>
      <c r="O9">
        <v>31</v>
      </c>
      <c r="P9">
        <v>29.5</v>
      </c>
      <c r="Q9" t="s">
        <v>7</v>
      </c>
      <c r="R9">
        <v>40</v>
      </c>
      <c r="S9">
        <v>67</v>
      </c>
      <c r="T9">
        <v>70.5</v>
      </c>
      <c r="U9">
        <v>62.5</v>
      </c>
      <c r="V9">
        <v>57</v>
      </c>
      <c r="W9" t="s">
        <v>8</v>
      </c>
      <c r="X9">
        <v>30</v>
      </c>
      <c r="Y9" s="1">
        <f t="shared" si="1"/>
        <v>11.5</v>
      </c>
      <c r="Z9">
        <v>20</v>
      </c>
      <c r="AA9">
        <v>28</v>
      </c>
      <c r="AB9">
        <v>29.5</v>
      </c>
      <c r="AC9" t="s">
        <v>125</v>
      </c>
      <c r="AD9" s="1">
        <f t="shared" si="2"/>
        <v>70</v>
      </c>
      <c r="AE9" s="1">
        <f t="shared" si="3"/>
        <v>79</v>
      </c>
      <c r="AF9" s="1">
        <f t="shared" si="4"/>
        <v>91</v>
      </c>
      <c r="AG9" s="1">
        <f t="shared" si="5"/>
        <v>91</v>
      </c>
      <c r="AH9" s="1">
        <f t="shared" si="6"/>
        <v>87</v>
      </c>
      <c r="AI9" t="s">
        <v>7</v>
      </c>
      <c r="AJ9" t="s">
        <v>15</v>
      </c>
      <c r="AK9" t="s">
        <v>16</v>
      </c>
      <c r="AL9" t="s">
        <v>17</v>
      </c>
      <c r="AM9" t="s">
        <v>57</v>
      </c>
      <c r="AN9" t="s">
        <v>74</v>
      </c>
      <c r="AO9" t="s">
        <v>75</v>
      </c>
    </row>
    <row r="10" spans="1:41">
      <c r="A10">
        <v>9</v>
      </c>
      <c r="B10" t="s">
        <v>24</v>
      </c>
      <c r="C10">
        <v>15694</v>
      </c>
      <c r="D10" t="s">
        <v>33</v>
      </c>
      <c r="E10" t="s">
        <v>21</v>
      </c>
      <c r="F10" t="s">
        <v>6</v>
      </c>
      <c r="G10" t="s">
        <v>6</v>
      </c>
      <c r="H10" t="s">
        <v>6</v>
      </c>
      <c r="I10">
        <v>25</v>
      </c>
      <c r="J10">
        <v>19.5</v>
      </c>
      <c r="K10" t="s">
        <v>22</v>
      </c>
      <c r="L10">
        <v>6</v>
      </c>
      <c r="M10">
        <v>17</v>
      </c>
      <c r="N10">
        <v>32.5</v>
      </c>
      <c r="O10">
        <v>29</v>
      </c>
      <c r="P10">
        <v>23</v>
      </c>
      <c r="Q10" t="s">
        <v>7</v>
      </c>
      <c r="R10">
        <v>41</v>
      </c>
      <c r="S10">
        <v>37.5</v>
      </c>
      <c r="T10">
        <v>61.5</v>
      </c>
      <c r="U10">
        <v>50.5</v>
      </c>
      <c r="V10">
        <v>41</v>
      </c>
      <c r="W10" t="s">
        <v>8</v>
      </c>
      <c r="X10">
        <v>27</v>
      </c>
      <c r="Y10" s="1">
        <f t="shared" si="1"/>
        <v>4.5</v>
      </c>
      <c r="Z10">
        <v>17</v>
      </c>
      <c r="AA10">
        <v>26</v>
      </c>
      <c r="AB10">
        <v>25.5</v>
      </c>
      <c r="AC10" t="s">
        <v>125</v>
      </c>
      <c r="AD10" s="1">
        <f t="shared" si="2"/>
        <v>68</v>
      </c>
      <c r="AE10" s="1">
        <f t="shared" si="3"/>
        <v>42</v>
      </c>
      <c r="AF10" s="1">
        <f t="shared" si="4"/>
        <v>79</v>
      </c>
      <c r="AG10" s="1">
        <f t="shared" si="5"/>
        <v>77</v>
      </c>
      <c r="AH10" s="1">
        <f t="shared" si="6"/>
        <v>67</v>
      </c>
      <c r="AI10" t="s">
        <v>7</v>
      </c>
      <c r="AJ10" t="s">
        <v>15</v>
      </c>
      <c r="AK10" t="s">
        <v>16</v>
      </c>
      <c r="AL10" t="s">
        <v>17</v>
      </c>
      <c r="AM10" t="s">
        <v>76</v>
      </c>
      <c r="AN10" t="s">
        <v>77</v>
      </c>
      <c r="AO10" t="s">
        <v>78</v>
      </c>
    </row>
    <row r="11" spans="1:41">
      <c r="A11">
        <v>10</v>
      </c>
      <c r="B11" t="s">
        <v>24</v>
      </c>
      <c r="C11">
        <v>18792</v>
      </c>
      <c r="D11" t="s">
        <v>34</v>
      </c>
      <c r="E11" t="s">
        <v>21</v>
      </c>
      <c r="F11">
        <v>12</v>
      </c>
      <c r="G11">
        <v>22</v>
      </c>
      <c r="H11">
        <v>25.5</v>
      </c>
      <c r="I11">
        <v>21.5</v>
      </c>
      <c r="J11">
        <v>18</v>
      </c>
      <c r="K11" t="s">
        <v>22</v>
      </c>
      <c r="L11">
        <v>13.5</v>
      </c>
      <c r="M11">
        <v>22.5</v>
      </c>
      <c r="N11">
        <v>25.5</v>
      </c>
      <c r="O11">
        <v>21.5</v>
      </c>
      <c r="P11">
        <v>14.5</v>
      </c>
      <c r="Q11" t="s">
        <v>7</v>
      </c>
      <c r="R11">
        <v>21</v>
      </c>
      <c r="S11">
        <v>24</v>
      </c>
      <c r="T11">
        <v>51</v>
      </c>
      <c r="U11">
        <v>43.5</v>
      </c>
      <c r="V11">
        <v>26</v>
      </c>
      <c r="W11" t="s">
        <v>8</v>
      </c>
      <c r="X11">
        <v>26</v>
      </c>
      <c r="Y11" s="1">
        <f t="shared" si="1"/>
        <v>11.5</v>
      </c>
      <c r="Z11">
        <v>8</v>
      </c>
      <c r="AA11">
        <v>25</v>
      </c>
      <c r="AB11">
        <v>16.5</v>
      </c>
      <c r="AC11" t="s">
        <v>125</v>
      </c>
      <c r="AD11" s="1">
        <f t="shared" si="2"/>
        <v>47</v>
      </c>
      <c r="AE11" s="1">
        <f t="shared" si="3"/>
        <v>36</v>
      </c>
      <c r="AF11" s="1">
        <f t="shared" si="4"/>
        <v>59</v>
      </c>
      <c r="AG11" s="1">
        <f t="shared" si="5"/>
        <v>69</v>
      </c>
      <c r="AH11" s="1">
        <f t="shared" si="6"/>
        <v>43</v>
      </c>
      <c r="AI11" t="s">
        <v>7</v>
      </c>
      <c r="AJ11" t="s">
        <v>15</v>
      </c>
      <c r="AK11" t="s">
        <v>16</v>
      </c>
      <c r="AL11" t="s">
        <v>17</v>
      </c>
      <c r="AM11" t="s">
        <v>79</v>
      </c>
      <c r="AN11" t="s">
        <v>80</v>
      </c>
      <c r="AO11" t="s">
        <v>81</v>
      </c>
    </row>
    <row r="12" spans="1:41">
      <c r="A12">
        <v>11</v>
      </c>
      <c r="B12" t="s">
        <v>24</v>
      </c>
      <c r="C12">
        <v>15419</v>
      </c>
      <c r="D12" t="s">
        <v>35</v>
      </c>
      <c r="E12" t="s">
        <v>21</v>
      </c>
      <c r="F12">
        <v>6</v>
      </c>
      <c r="G12">
        <v>16</v>
      </c>
      <c r="H12">
        <v>30</v>
      </c>
      <c r="I12" t="s">
        <v>6</v>
      </c>
      <c r="J12">
        <v>16.5</v>
      </c>
      <c r="K12" t="s">
        <v>22</v>
      </c>
      <c r="L12">
        <v>3</v>
      </c>
      <c r="M12">
        <v>6</v>
      </c>
      <c r="N12">
        <v>31</v>
      </c>
      <c r="O12">
        <v>25</v>
      </c>
      <c r="P12">
        <v>6.5</v>
      </c>
      <c r="Q12" t="s">
        <v>7</v>
      </c>
      <c r="R12">
        <v>15</v>
      </c>
      <c r="S12">
        <v>20.5</v>
      </c>
      <c r="T12">
        <v>53</v>
      </c>
      <c r="U12">
        <v>44</v>
      </c>
      <c r="V12">
        <v>13</v>
      </c>
      <c r="W12" t="s">
        <v>8</v>
      </c>
      <c r="X12">
        <v>24</v>
      </c>
      <c r="Y12" s="1">
        <f t="shared" si="1"/>
        <v>5.5</v>
      </c>
      <c r="Z12">
        <v>9</v>
      </c>
      <c r="AA12">
        <v>25</v>
      </c>
      <c r="AB12">
        <v>12</v>
      </c>
      <c r="AC12" t="s">
        <v>125</v>
      </c>
      <c r="AD12" s="1">
        <f t="shared" si="2"/>
        <v>39</v>
      </c>
      <c r="AE12" s="1">
        <f t="shared" si="3"/>
        <v>26</v>
      </c>
      <c r="AF12" s="1">
        <f t="shared" si="4"/>
        <v>62</v>
      </c>
      <c r="AG12" s="1">
        <f t="shared" si="5"/>
        <v>69</v>
      </c>
      <c r="AH12" s="1">
        <f t="shared" si="6"/>
        <v>25</v>
      </c>
      <c r="AI12" t="s">
        <v>7</v>
      </c>
      <c r="AJ12" t="s">
        <v>15</v>
      </c>
      <c r="AK12" t="s">
        <v>16</v>
      </c>
      <c r="AL12" t="s">
        <v>17</v>
      </c>
      <c r="AM12" t="s">
        <v>82</v>
      </c>
      <c r="AN12" t="s">
        <v>83</v>
      </c>
      <c r="AO12" t="s">
        <v>84</v>
      </c>
    </row>
    <row r="13" spans="1:41">
      <c r="A13">
        <v>12</v>
      </c>
      <c r="B13" t="s">
        <v>24</v>
      </c>
      <c r="C13">
        <v>17644</v>
      </c>
      <c r="D13" t="s">
        <v>36</v>
      </c>
      <c r="E13" t="s">
        <v>21</v>
      </c>
      <c r="F13">
        <v>9</v>
      </c>
      <c r="G13">
        <v>13</v>
      </c>
      <c r="H13">
        <v>30.5</v>
      </c>
      <c r="I13">
        <v>14.5</v>
      </c>
      <c r="J13">
        <v>9.5</v>
      </c>
      <c r="K13" t="s">
        <v>22</v>
      </c>
      <c r="L13">
        <v>9.5</v>
      </c>
      <c r="M13" t="s">
        <v>6</v>
      </c>
      <c r="N13">
        <v>29</v>
      </c>
      <c r="O13">
        <v>16</v>
      </c>
      <c r="P13">
        <v>11.5</v>
      </c>
      <c r="Q13" t="s">
        <v>7</v>
      </c>
      <c r="R13">
        <v>15</v>
      </c>
      <c r="S13">
        <v>17</v>
      </c>
      <c r="T13">
        <v>52</v>
      </c>
      <c r="U13">
        <v>27</v>
      </c>
      <c r="V13">
        <v>28</v>
      </c>
      <c r="W13" t="s">
        <v>8</v>
      </c>
      <c r="X13" t="s">
        <v>6</v>
      </c>
      <c r="Y13" s="1">
        <f t="shared" si="1"/>
        <v>3.5</v>
      </c>
      <c r="Z13">
        <v>19</v>
      </c>
      <c r="AA13">
        <v>14</v>
      </c>
      <c r="AB13">
        <v>20.5</v>
      </c>
      <c r="AC13" t="s">
        <v>125</v>
      </c>
      <c r="AD13" s="1">
        <f t="shared" si="2"/>
        <v>15</v>
      </c>
      <c r="AE13" s="1">
        <f t="shared" si="3"/>
        <v>21</v>
      </c>
      <c r="AF13" s="1">
        <f t="shared" si="4"/>
        <v>71</v>
      </c>
      <c r="AG13" s="1">
        <f t="shared" si="5"/>
        <v>41</v>
      </c>
      <c r="AH13" s="1">
        <f t="shared" si="6"/>
        <v>49</v>
      </c>
      <c r="AI13" t="s">
        <v>7</v>
      </c>
      <c r="AJ13" t="s">
        <v>15</v>
      </c>
      <c r="AK13" t="s">
        <v>16</v>
      </c>
      <c r="AL13" t="s">
        <v>85</v>
      </c>
      <c r="AM13" t="s">
        <v>86</v>
      </c>
      <c r="AN13" t="s">
        <v>87</v>
      </c>
      <c r="AO13" t="s">
        <v>88</v>
      </c>
    </row>
    <row r="14" spans="1:41">
      <c r="A14">
        <v>13</v>
      </c>
      <c r="B14" t="s">
        <v>24</v>
      </c>
      <c r="C14">
        <v>14913</v>
      </c>
      <c r="D14" t="s">
        <v>37</v>
      </c>
      <c r="E14" t="s">
        <v>21</v>
      </c>
      <c r="F14">
        <v>14</v>
      </c>
      <c r="G14">
        <v>24</v>
      </c>
      <c r="H14">
        <v>24</v>
      </c>
      <c r="I14" t="s">
        <v>6</v>
      </c>
      <c r="J14">
        <v>21</v>
      </c>
      <c r="K14" t="s">
        <v>22</v>
      </c>
      <c r="L14">
        <v>16.5</v>
      </c>
      <c r="M14">
        <v>21</v>
      </c>
      <c r="N14">
        <v>34.5</v>
      </c>
      <c r="O14">
        <v>17.5</v>
      </c>
      <c r="P14">
        <v>13</v>
      </c>
      <c r="Q14" t="s">
        <v>7</v>
      </c>
      <c r="R14">
        <v>27</v>
      </c>
      <c r="S14">
        <v>27</v>
      </c>
      <c r="T14">
        <v>56.5</v>
      </c>
      <c r="U14">
        <v>30.5</v>
      </c>
      <c r="V14">
        <v>29</v>
      </c>
      <c r="W14" t="s">
        <v>8</v>
      </c>
      <c r="X14">
        <v>27</v>
      </c>
      <c r="Y14" s="1">
        <f t="shared" si="1"/>
        <v>11.5</v>
      </c>
      <c r="Z14">
        <v>20</v>
      </c>
      <c r="AA14">
        <v>19</v>
      </c>
      <c r="AB14">
        <v>17.5</v>
      </c>
      <c r="AC14" t="s">
        <v>125</v>
      </c>
      <c r="AD14" s="1">
        <f t="shared" si="2"/>
        <v>54</v>
      </c>
      <c r="AE14" s="1">
        <f t="shared" si="3"/>
        <v>39</v>
      </c>
      <c r="AF14" s="1">
        <f t="shared" si="4"/>
        <v>77</v>
      </c>
      <c r="AG14" s="1">
        <f t="shared" si="5"/>
        <v>50</v>
      </c>
      <c r="AH14" s="1">
        <f t="shared" si="6"/>
        <v>47</v>
      </c>
      <c r="AI14" t="s">
        <v>7</v>
      </c>
      <c r="AJ14" t="s">
        <v>15</v>
      </c>
      <c r="AK14" t="s">
        <v>16</v>
      </c>
      <c r="AL14" t="s">
        <v>17</v>
      </c>
      <c r="AM14" t="s">
        <v>63</v>
      </c>
      <c r="AN14" t="s">
        <v>89</v>
      </c>
      <c r="AO14" t="s">
        <v>90</v>
      </c>
    </row>
    <row r="15" spans="1:41">
      <c r="A15">
        <v>14</v>
      </c>
      <c r="B15" t="s">
        <v>24</v>
      </c>
      <c r="C15">
        <v>14654</v>
      </c>
      <c r="D15" t="s">
        <v>38</v>
      </c>
      <c r="E15" t="s">
        <v>21</v>
      </c>
      <c r="F15">
        <v>8</v>
      </c>
      <c r="G15">
        <v>20.5</v>
      </c>
      <c r="H15">
        <v>32.5</v>
      </c>
      <c r="I15">
        <v>20</v>
      </c>
      <c r="J15">
        <v>11.5</v>
      </c>
      <c r="K15" t="s">
        <v>22</v>
      </c>
      <c r="L15">
        <v>15.5</v>
      </c>
      <c r="M15">
        <v>14</v>
      </c>
      <c r="N15">
        <v>25.5</v>
      </c>
      <c r="O15">
        <v>16</v>
      </c>
      <c r="P15">
        <v>21.5</v>
      </c>
      <c r="Q15" t="s">
        <v>7</v>
      </c>
      <c r="R15">
        <v>35</v>
      </c>
      <c r="S15">
        <v>32.5</v>
      </c>
      <c r="T15">
        <v>62</v>
      </c>
      <c r="U15" t="s">
        <v>6</v>
      </c>
      <c r="V15">
        <v>29</v>
      </c>
      <c r="W15" t="s">
        <v>8</v>
      </c>
      <c r="X15">
        <v>22</v>
      </c>
      <c r="Y15" s="1">
        <f t="shared" si="1"/>
        <v>9</v>
      </c>
      <c r="Z15">
        <v>19</v>
      </c>
      <c r="AA15">
        <v>14</v>
      </c>
      <c r="AB15">
        <v>3</v>
      </c>
      <c r="AC15" t="s">
        <v>125</v>
      </c>
      <c r="AD15" s="1">
        <f t="shared" si="2"/>
        <v>57</v>
      </c>
      <c r="AE15" s="1">
        <f t="shared" si="3"/>
        <v>42</v>
      </c>
      <c r="AF15" s="1">
        <f t="shared" si="4"/>
        <v>81</v>
      </c>
      <c r="AG15" s="1">
        <f t="shared" si="5"/>
        <v>14</v>
      </c>
      <c r="AH15" s="1">
        <f t="shared" si="6"/>
        <v>32</v>
      </c>
      <c r="AI15" t="s">
        <v>7</v>
      </c>
      <c r="AJ15" t="s">
        <v>15</v>
      </c>
      <c r="AK15" t="s">
        <v>16</v>
      </c>
      <c r="AL15" t="s">
        <v>17</v>
      </c>
      <c r="AM15" t="s">
        <v>91</v>
      </c>
      <c r="AN15" t="s">
        <v>92</v>
      </c>
      <c r="AO15" t="s">
        <v>93</v>
      </c>
    </row>
    <row r="16" spans="1:41">
      <c r="A16">
        <v>15</v>
      </c>
      <c r="B16" t="s">
        <v>24</v>
      </c>
      <c r="C16">
        <v>14655</v>
      </c>
      <c r="D16" t="s">
        <v>39</v>
      </c>
      <c r="E16" t="s">
        <v>21</v>
      </c>
      <c r="F16">
        <v>12.5</v>
      </c>
      <c r="G16">
        <v>14</v>
      </c>
      <c r="H16">
        <v>24.5</v>
      </c>
      <c r="I16">
        <v>18</v>
      </c>
      <c r="J16">
        <v>17</v>
      </c>
      <c r="K16" t="s">
        <v>22</v>
      </c>
      <c r="L16">
        <v>7</v>
      </c>
      <c r="M16">
        <v>10</v>
      </c>
      <c r="N16">
        <v>31</v>
      </c>
      <c r="O16">
        <v>18.5</v>
      </c>
      <c r="P16">
        <v>13</v>
      </c>
      <c r="Q16" t="s">
        <v>7</v>
      </c>
      <c r="R16">
        <v>18</v>
      </c>
      <c r="S16">
        <v>20</v>
      </c>
      <c r="T16">
        <v>45.5</v>
      </c>
      <c r="U16">
        <v>46</v>
      </c>
      <c r="V16">
        <v>28</v>
      </c>
      <c r="W16" t="s">
        <v>8</v>
      </c>
      <c r="X16">
        <v>27</v>
      </c>
      <c r="Y16" s="1">
        <f t="shared" si="1"/>
        <v>6</v>
      </c>
      <c r="Z16">
        <v>17</v>
      </c>
      <c r="AA16">
        <v>21</v>
      </c>
      <c r="AB16">
        <v>21.5</v>
      </c>
      <c r="AC16" t="s">
        <v>125</v>
      </c>
      <c r="AD16" s="1">
        <f t="shared" si="2"/>
        <v>45</v>
      </c>
      <c r="AE16" s="1">
        <f t="shared" si="3"/>
        <v>26</v>
      </c>
      <c r="AF16" s="1">
        <f t="shared" si="4"/>
        <v>63</v>
      </c>
      <c r="AG16" s="1">
        <f t="shared" si="5"/>
        <v>67</v>
      </c>
      <c r="AH16" s="1">
        <f t="shared" si="6"/>
        <v>50</v>
      </c>
      <c r="AI16" t="s">
        <v>7</v>
      </c>
      <c r="AJ16" t="s">
        <v>15</v>
      </c>
      <c r="AK16" t="s">
        <v>16</v>
      </c>
      <c r="AL16" t="s">
        <v>17</v>
      </c>
      <c r="AM16" t="s">
        <v>57</v>
      </c>
      <c r="AN16" t="s">
        <v>94</v>
      </c>
      <c r="AO16" t="s">
        <v>95</v>
      </c>
    </row>
    <row r="17" spans="1:41">
      <c r="A17">
        <v>16</v>
      </c>
      <c r="B17" t="s">
        <v>24</v>
      </c>
      <c r="C17">
        <v>14633</v>
      </c>
      <c r="D17" t="s">
        <v>40</v>
      </c>
      <c r="E17" t="s">
        <v>21</v>
      </c>
      <c r="F17">
        <v>8</v>
      </c>
      <c r="G17">
        <v>13.5</v>
      </c>
      <c r="H17">
        <v>34.5</v>
      </c>
      <c r="I17">
        <v>20</v>
      </c>
      <c r="J17">
        <v>12.5</v>
      </c>
      <c r="K17" t="s">
        <v>22</v>
      </c>
      <c r="L17">
        <v>10</v>
      </c>
      <c r="M17">
        <v>8</v>
      </c>
      <c r="N17">
        <v>25</v>
      </c>
      <c r="O17">
        <v>27.5</v>
      </c>
      <c r="P17">
        <v>13.5</v>
      </c>
      <c r="Q17" t="s">
        <v>7</v>
      </c>
      <c r="R17">
        <v>26</v>
      </c>
      <c r="S17">
        <v>20</v>
      </c>
      <c r="T17">
        <v>50.5</v>
      </c>
      <c r="U17">
        <v>45.5</v>
      </c>
      <c r="V17">
        <v>25.5</v>
      </c>
      <c r="W17" t="s">
        <v>8</v>
      </c>
      <c r="X17">
        <v>23</v>
      </c>
      <c r="Y17" s="1">
        <f>CEILING((N(G17)+N(M17))/80*20,0.5)</f>
        <v>5.5</v>
      </c>
      <c r="Z17">
        <v>17</v>
      </c>
      <c r="AA17">
        <v>24</v>
      </c>
      <c r="AB17">
        <v>12.5</v>
      </c>
      <c r="AC17" t="s">
        <v>125</v>
      </c>
      <c r="AD17" s="1">
        <f t="shared" si="2"/>
        <v>49</v>
      </c>
      <c r="AE17" s="1">
        <f t="shared" si="3"/>
        <v>26</v>
      </c>
      <c r="AF17" s="1">
        <f t="shared" si="4"/>
        <v>68</v>
      </c>
      <c r="AG17" s="1">
        <f t="shared" si="5"/>
        <v>70</v>
      </c>
      <c r="AH17" s="1">
        <f t="shared" si="6"/>
        <v>38</v>
      </c>
      <c r="AI17" t="s">
        <v>7</v>
      </c>
      <c r="AJ17" t="s">
        <v>15</v>
      </c>
      <c r="AK17" t="s">
        <v>16</v>
      </c>
      <c r="AL17" t="s">
        <v>17</v>
      </c>
      <c r="AM17" t="s">
        <v>57</v>
      </c>
      <c r="AN17" t="s">
        <v>96</v>
      </c>
      <c r="AO17" t="s">
        <v>97</v>
      </c>
    </row>
    <row r="18" spans="1:41">
      <c r="A18">
        <v>17</v>
      </c>
      <c r="B18" t="s">
        <v>24</v>
      </c>
      <c r="C18">
        <v>18055</v>
      </c>
      <c r="D18" t="s">
        <v>41</v>
      </c>
      <c r="E18" t="s">
        <v>21</v>
      </c>
      <c r="F18">
        <v>20</v>
      </c>
      <c r="G18">
        <v>28</v>
      </c>
      <c r="H18">
        <v>30</v>
      </c>
      <c r="I18">
        <v>30</v>
      </c>
      <c r="J18">
        <v>19.5</v>
      </c>
      <c r="K18" t="s">
        <v>22</v>
      </c>
      <c r="L18">
        <v>22.5</v>
      </c>
      <c r="M18">
        <v>28</v>
      </c>
      <c r="N18">
        <v>29.5</v>
      </c>
      <c r="O18">
        <v>24.5</v>
      </c>
      <c r="P18">
        <v>27.5</v>
      </c>
      <c r="Q18" t="s">
        <v>7</v>
      </c>
      <c r="R18">
        <v>42</v>
      </c>
      <c r="S18">
        <v>55</v>
      </c>
      <c r="T18">
        <v>53</v>
      </c>
      <c r="U18">
        <v>47</v>
      </c>
      <c r="V18">
        <v>52</v>
      </c>
      <c r="W18" t="s">
        <v>8</v>
      </c>
      <c r="X18">
        <v>28</v>
      </c>
      <c r="Y18" s="1">
        <f t="shared" si="1"/>
        <v>14</v>
      </c>
      <c r="Z18">
        <v>18</v>
      </c>
      <c r="AA18">
        <v>21</v>
      </c>
      <c r="AB18">
        <v>28</v>
      </c>
      <c r="AC18" t="s">
        <v>125</v>
      </c>
      <c r="AD18" s="1">
        <f t="shared" si="2"/>
        <v>70</v>
      </c>
      <c r="AE18" s="1">
        <f t="shared" si="3"/>
        <v>69</v>
      </c>
      <c r="AF18" s="1">
        <f t="shared" si="4"/>
        <v>71</v>
      </c>
      <c r="AG18" s="1">
        <f t="shared" si="5"/>
        <v>68</v>
      </c>
      <c r="AH18" s="1">
        <f t="shared" si="6"/>
        <v>80</v>
      </c>
      <c r="AI18" t="s">
        <v>7</v>
      </c>
      <c r="AJ18" t="s">
        <v>15</v>
      </c>
      <c r="AK18" t="s">
        <v>16</v>
      </c>
      <c r="AL18" t="s">
        <v>17</v>
      </c>
      <c r="AM18" t="s">
        <v>57</v>
      </c>
      <c r="AN18" t="s">
        <v>98</v>
      </c>
      <c r="AO18" t="s">
        <v>99</v>
      </c>
    </row>
    <row r="19" spans="1:41">
      <c r="A19">
        <v>18</v>
      </c>
      <c r="B19" t="s">
        <v>24</v>
      </c>
      <c r="C19">
        <v>14589</v>
      </c>
      <c r="D19" t="s">
        <v>42</v>
      </c>
      <c r="E19" t="s">
        <v>21</v>
      </c>
      <c r="F19">
        <v>18</v>
      </c>
      <c r="G19">
        <v>24</v>
      </c>
      <c r="H19">
        <v>21.5</v>
      </c>
      <c r="I19">
        <v>18</v>
      </c>
      <c r="J19">
        <v>18.5</v>
      </c>
      <c r="K19" t="s">
        <v>22</v>
      </c>
      <c r="L19">
        <v>12</v>
      </c>
      <c r="M19">
        <v>24.5</v>
      </c>
      <c r="N19">
        <v>21</v>
      </c>
      <c r="O19">
        <v>16</v>
      </c>
      <c r="P19">
        <v>20.5</v>
      </c>
      <c r="Q19" t="s">
        <v>7</v>
      </c>
      <c r="R19">
        <v>19</v>
      </c>
      <c r="S19">
        <v>31.5</v>
      </c>
      <c r="T19">
        <v>40.5</v>
      </c>
      <c r="U19">
        <v>35</v>
      </c>
      <c r="V19">
        <v>33</v>
      </c>
      <c r="W19" t="s">
        <v>8</v>
      </c>
      <c r="X19">
        <v>26</v>
      </c>
      <c r="Y19" s="1">
        <f t="shared" si="1"/>
        <v>12.5</v>
      </c>
      <c r="Z19">
        <v>13</v>
      </c>
      <c r="AA19">
        <v>15</v>
      </c>
      <c r="AB19">
        <v>23.5</v>
      </c>
      <c r="AC19" t="s">
        <v>125</v>
      </c>
      <c r="AD19" s="1">
        <f t="shared" si="2"/>
        <v>45</v>
      </c>
      <c r="AE19" s="1">
        <f t="shared" si="3"/>
        <v>44</v>
      </c>
      <c r="AF19" s="1">
        <f t="shared" si="4"/>
        <v>54</v>
      </c>
      <c r="AG19" s="1">
        <f t="shared" si="5"/>
        <v>50</v>
      </c>
      <c r="AH19" s="1">
        <f t="shared" si="6"/>
        <v>57</v>
      </c>
      <c r="AI19" t="s">
        <v>7</v>
      </c>
      <c r="AJ19" t="s">
        <v>15</v>
      </c>
      <c r="AK19" t="s">
        <v>16</v>
      </c>
      <c r="AL19" t="s">
        <v>17</v>
      </c>
      <c r="AM19" t="s">
        <v>100</v>
      </c>
      <c r="AN19" t="s">
        <v>101</v>
      </c>
      <c r="AO19" t="s">
        <v>102</v>
      </c>
    </row>
    <row r="20" spans="1:41">
      <c r="A20">
        <v>19</v>
      </c>
      <c r="B20" t="s">
        <v>24</v>
      </c>
      <c r="C20">
        <v>14719</v>
      </c>
      <c r="D20" t="s">
        <v>43</v>
      </c>
      <c r="E20" t="s">
        <v>21</v>
      </c>
      <c r="F20">
        <v>19.5</v>
      </c>
      <c r="G20">
        <v>27.5</v>
      </c>
      <c r="H20">
        <v>23.5</v>
      </c>
      <c r="I20">
        <v>16.5</v>
      </c>
      <c r="J20">
        <v>18</v>
      </c>
      <c r="K20" t="s">
        <v>22</v>
      </c>
      <c r="L20">
        <v>21</v>
      </c>
      <c r="M20">
        <v>30</v>
      </c>
      <c r="N20">
        <v>23</v>
      </c>
      <c r="O20">
        <v>20.5</v>
      </c>
      <c r="P20">
        <v>23</v>
      </c>
      <c r="Q20" t="s">
        <v>7</v>
      </c>
      <c r="R20">
        <v>40</v>
      </c>
      <c r="S20">
        <v>60</v>
      </c>
      <c r="T20">
        <v>37.5</v>
      </c>
      <c r="U20">
        <v>43.5</v>
      </c>
      <c r="V20">
        <v>45</v>
      </c>
      <c r="W20" t="s">
        <v>8</v>
      </c>
      <c r="X20">
        <v>26</v>
      </c>
      <c r="Y20" s="1">
        <f t="shared" si="1"/>
        <v>14.5</v>
      </c>
      <c r="Z20">
        <v>19</v>
      </c>
      <c r="AA20">
        <v>24</v>
      </c>
      <c r="AB20">
        <v>22</v>
      </c>
      <c r="AC20" t="s">
        <v>125</v>
      </c>
      <c r="AD20" s="1">
        <f t="shared" si="2"/>
        <v>66</v>
      </c>
      <c r="AE20" s="1">
        <f t="shared" si="3"/>
        <v>75</v>
      </c>
      <c r="AF20" s="1">
        <f t="shared" si="4"/>
        <v>57</v>
      </c>
      <c r="AG20" s="1">
        <f t="shared" si="5"/>
        <v>68</v>
      </c>
      <c r="AH20" s="1">
        <f t="shared" si="6"/>
        <v>67</v>
      </c>
      <c r="AI20" t="s">
        <v>7</v>
      </c>
      <c r="AJ20" t="s">
        <v>15</v>
      </c>
      <c r="AK20" t="s">
        <v>16</v>
      </c>
      <c r="AL20" t="s">
        <v>17</v>
      </c>
      <c r="AM20" t="s">
        <v>103</v>
      </c>
      <c r="AN20" t="s">
        <v>104</v>
      </c>
      <c r="AO20" t="s">
        <v>105</v>
      </c>
    </row>
    <row r="21" spans="1:41">
      <c r="A21">
        <v>20</v>
      </c>
      <c r="B21" t="s">
        <v>24</v>
      </c>
      <c r="C21">
        <v>18750</v>
      </c>
      <c r="D21" t="s">
        <v>44</v>
      </c>
      <c r="E21" t="s">
        <v>21</v>
      </c>
      <c r="F21">
        <v>19.5</v>
      </c>
      <c r="G21">
        <v>24</v>
      </c>
      <c r="H21">
        <v>27</v>
      </c>
      <c r="I21">
        <v>14</v>
      </c>
      <c r="J21">
        <v>24.5</v>
      </c>
      <c r="K21" t="s">
        <v>22</v>
      </c>
      <c r="L21">
        <v>16.5</v>
      </c>
      <c r="M21">
        <v>27.5</v>
      </c>
      <c r="N21">
        <v>30</v>
      </c>
      <c r="O21">
        <v>24.5</v>
      </c>
      <c r="P21">
        <v>26</v>
      </c>
      <c r="Q21" t="s">
        <v>7</v>
      </c>
      <c r="R21">
        <v>32</v>
      </c>
      <c r="S21">
        <v>41</v>
      </c>
      <c r="T21">
        <v>52</v>
      </c>
      <c r="U21">
        <v>53</v>
      </c>
      <c r="V21">
        <v>46.5</v>
      </c>
      <c r="W21" t="s">
        <v>8</v>
      </c>
      <c r="X21">
        <v>29</v>
      </c>
      <c r="Y21" s="1">
        <f t="shared" si="1"/>
        <v>13</v>
      </c>
      <c r="Z21">
        <v>20</v>
      </c>
      <c r="AA21">
        <v>23</v>
      </c>
      <c r="AB21">
        <v>28</v>
      </c>
      <c r="AC21" t="s">
        <v>125</v>
      </c>
      <c r="AD21" s="1">
        <f t="shared" si="2"/>
        <v>61</v>
      </c>
      <c r="AE21" s="1">
        <f t="shared" si="3"/>
        <v>54</v>
      </c>
      <c r="AF21" s="1">
        <f t="shared" si="4"/>
        <v>72</v>
      </c>
      <c r="AG21" s="1">
        <f t="shared" si="5"/>
        <v>76</v>
      </c>
      <c r="AH21" s="1">
        <f t="shared" si="6"/>
        <v>75</v>
      </c>
      <c r="AI21" t="s">
        <v>7</v>
      </c>
      <c r="AJ21" t="s">
        <v>15</v>
      </c>
      <c r="AK21" t="s">
        <v>16</v>
      </c>
      <c r="AL21" t="s">
        <v>17</v>
      </c>
      <c r="AM21" t="s">
        <v>53</v>
      </c>
      <c r="AN21" t="s">
        <v>106</v>
      </c>
      <c r="AO21" t="s">
        <v>107</v>
      </c>
    </row>
    <row r="22" spans="1:41">
      <c r="A22">
        <v>21</v>
      </c>
      <c r="B22" t="s">
        <v>24</v>
      </c>
      <c r="C22">
        <v>17234</v>
      </c>
      <c r="D22" t="s">
        <v>45</v>
      </c>
      <c r="E22" t="s">
        <v>21</v>
      </c>
      <c r="F22">
        <v>19.5</v>
      </c>
      <c r="G22">
        <v>27.5</v>
      </c>
      <c r="H22">
        <v>30.5</v>
      </c>
      <c r="I22" t="s">
        <v>6</v>
      </c>
      <c r="J22" t="s">
        <v>6</v>
      </c>
      <c r="K22" t="s">
        <v>22</v>
      </c>
      <c r="L22">
        <v>13</v>
      </c>
      <c r="M22">
        <v>26</v>
      </c>
      <c r="N22">
        <v>35.5</v>
      </c>
      <c r="O22">
        <v>22</v>
      </c>
      <c r="P22">
        <v>20</v>
      </c>
      <c r="Q22" t="s">
        <v>7</v>
      </c>
      <c r="R22">
        <v>31</v>
      </c>
      <c r="S22">
        <v>66</v>
      </c>
      <c r="T22">
        <v>55.5</v>
      </c>
      <c r="U22">
        <v>51</v>
      </c>
      <c r="V22">
        <v>47.5</v>
      </c>
      <c r="W22" t="s">
        <v>8</v>
      </c>
      <c r="X22">
        <v>21</v>
      </c>
      <c r="Y22" s="1">
        <f t="shared" si="1"/>
        <v>13.5</v>
      </c>
      <c r="Z22">
        <v>18</v>
      </c>
      <c r="AA22">
        <v>21</v>
      </c>
      <c r="AB22">
        <v>28</v>
      </c>
      <c r="AC22" t="s">
        <v>125</v>
      </c>
      <c r="AD22" s="1">
        <f t="shared" si="2"/>
        <v>52</v>
      </c>
      <c r="AE22" s="1">
        <f t="shared" si="3"/>
        <v>80</v>
      </c>
      <c r="AF22" s="1">
        <f t="shared" si="4"/>
        <v>74</v>
      </c>
      <c r="AG22" s="1">
        <f t="shared" si="5"/>
        <v>72</v>
      </c>
      <c r="AH22" s="1">
        <f t="shared" si="6"/>
        <v>76</v>
      </c>
      <c r="AI22" t="s">
        <v>7</v>
      </c>
      <c r="AJ22" t="s">
        <v>15</v>
      </c>
      <c r="AK22" t="s">
        <v>56</v>
      </c>
      <c r="AL22" t="s">
        <v>17</v>
      </c>
      <c r="AM22" t="s">
        <v>108</v>
      </c>
      <c r="AN22" t="s">
        <v>109</v>
      </c>
      <c r="AO22" t="s">
        <v>110</v>
      </c>
    </row>
    <row r="23" spans="1:41">
      <c r="A23">
        <v>22</v>
      </c>
      <c r="B23" t="s">
        <v>24</v>
      </c>
      <c r="C23">
        <v>15201</v>
      </c>
      <c r="D23" t="s">
        <v>46</v>
      </c>
      <c r="E23" t="s">
        <v>21</v>
      </c>
      <c r="F23">
        <v>2</v>
      </c>
      <c r="G23">
        <v>7</v>
      </c>
      <c r="H23">
        <v>24</v>
      </c>
      <c r="I23">
        <v>19.5</v>
      </c>
      <c r="J23">
        <v>13</v>
      </c>
      <c r="K23" t="s">
        <v>22</v>
      </c>
      <c r="L23">
        <v>12</v>
      </c>
      <c r="M23">
        <v>10</v>
      </c>
      <c r="N23">
        <v>27.5</v>
      </c>
      <c r="O23">
        <v>13</v>
      </c>
      <c r="P23">
        <v>14</v>
      </c>
      <c r="Q23" t="s">
        <v>7</v>
      </c>
      <c r="R23" t="s">
        <v>6</v>
      </c>
      <c r="S23">
        <v>28.5</v>
      </c>
      <c r="T23">
        <v>0</v>
      </c>
      <c r="U23">
        <v>30.5</v>
      </c>
      <c r="V23">
        <v>24</v>
      </c>
      <c r="W23" t="s">
        <v>8</v>
      </c>
      <c r="X23">
        <v>23</v>
      </c>
      <c r="Y23" s="1">
        <f t="shared" si="1"/>
        <v>4.5</v>
      </c>
      <c r="Z23">
        <v>18</v>
      </c>
      <c r="AA23">
        <v>20</v>
      </c>
      <c r="AB23">
        <v>19.5</v>
      </c>
      <c r="AC23" t="s">
        <v>125</v>
      </c>
      <c r="AD23" s="1">
        <f t="shared" si="2"/>
        <v>23</v>
      </c>
      <c r="AE23" s="1">
        <f t="shared" si="3"/>
        <v>33</v>
      </c>
      <c r="AF23" s="1">
        <f t="shared" si="4"/>
        <v>18</v>
      </c>
      <c r="AG23" s="1">
        <f t="shared" si="5"/>
        <v>51</v>
      </c>
      <c r="AH23" s="1">
        <f t="shared" si="6"/>
        <v>44</v>
      </c>
      <c r="AI23" t="s">
        <v>7</v>
      </c>
      <c r="AJ23" t="s">
        <v>15</v>
      </c>
      <c r="AK23" t="s">
        <v>16</v>
      </c>
      <c r="AL23" t="s">
        <v>17</v>
      </c>
      <c r="AM23" t="s">
        <v>111</v>
      </c>
      <c r="AN23" t="s">
        <v>112</v>
      </c>
      <c r="AO23" t="s">
        <v>113</v>
      </c>
    </row>
    <row r="24" spans="1:41">
      <c r="A24">
        <v>23</v>
      </c>
      <c r="B24" t="s">
        <v>24</v>
      </c>
      <c r="C24">
        <v>14660</v>
      </c>
      <c r="D24" t="s">
        <v>47</v>
      </c>
      <c r="E24" t="s">
        <v>21</v>
      </c>
      <c r="F24">
        <v>13</v>
      </c>
      <c r="G24">
        <v>19</v>
      </c>
      <c r="H24">
        <v>21.5</v>
      </c>
      <c r="I24">
        <v>19</v>
      </c>
      <c r="J24">
        <v>16.5</v>
      </c>
      <c r="K24" t="s">
        <v>22</v>
      </c>
      <c r="L24">
        <v>8.5</v>
      </c>
      <c r="M24">
        <v>14.5</v>
      </c>
      <c r="N24">
        <v>19.5</v>
      </c>
      <c r="O24">
        <v>22</v>
      </c>
      <c r="P24" t="s">
        <v>52</v>
      </c>
      <c r="Q24" t="s">
        <v>7</v>
      </c>
      <c r="R24">
        <v>27</v>
      </c>
      <c r="S24">
        <v>33</v>
      </c>
      <c r="T24">
        <v>45</v>
      </c>
      <c r="U24">
        <v>46.5</v>
      </c>
      <c r="V24">
        <v>35.5</v>
      </c>
      <c r="W24" t="s">
        <v>8</v>
      </c>
      <c r="X24">
        <v>27</v>
      </c>
      <c r="Y24" s="1">
        <f t="shared" si="1"/>
        <v>8.5</v>
      </c>
      <c r="Z24">
        <v>17</v>
      </c>
      <c r="AA24">
        <v>23</v>
      </c>
      <c r="AB24">
        <v>22</v>
      </c>
      <c r="AC24" t="s">
        <v>125</v>
      </c>
      <c r="AD24" s="1">
        <f t="shared" si="2"/>
        <v>54</v>
      </c>
      <c r="AE24" s="1">
        <f t="shared" si="3"/>
        <v>42</v>
      </c>
      <c r="AF24" s="1">
        <f t="shared" si="4"/>
        <v>62</v>
      </c>
      <c r="AG24" s="1">
        <f t="shared" si="5"/>
        <v>70</v>
      </c>
      <c r="AH24" s="1">
        <f t="shared" si="6"/>
        <v>58</v>
      </c>
      <c r="AI24" t="s">
        <v>7</v>
      </c>
      <c r="AJ24" t="s">
        <v>15</v>
      </c>
      <c r="AK24" t="s">
        <v>16</v>
      </c>
      <c r="AL24" t="s">
        <v>17</v>
      </c>
      <c r="AM24" t="s">
        <v>63</v>
      </c>
      <c r="AN24" t="s">
        <v>114</v>
      </c>
      <c r="AO24" t="s">
        <v>115</v>
      </c>
    </row>
    <row r="25" spans="1:41">
      <c r="A25">
        <v>24</v>
      </c>
      <c r="B25" t="s">
        <v>24</v>
      </c>
      <c r="C25">
        <v>18699</v>
      </c>
      <c r="D25" t="s">
        <v>48</v>
      </c>
      <c r="E25" t="s">
        <v>21</v>
      </c>
      <c r="F25">
        <v>13</v>
      </c>
      <c r="G25">
        <v>23</v>
      </c>
      <c r="H25">
        <v>34</v>
      </c>
      <c r="I25">
        <v>23.5</v>
      </c>
      <c r="J25">
        <v>27</v>
      </c>
      <c r="K25" t="s">
        <v>22</v>
      </c>
      <c r="L25">
        <v>16.5</v>
      </c>
      <c r="M25">
        <v>14</v>
      </c>
      <c r="N25">
        <v>38.5</v>
      </c>
      <c r="O25">
        <v>23.5</v>
      </c>
      <c r="P25">
        <v>31.5</v>
      </c>
      <c r="Q25" t="s">
        <v>7</v>
      </c>
      <c r="R25">
        <v>33</v>
      </c>
      <c r="S25">
        <v>54</v>
      </c>
      <c r="T25">
        <v>58.5</v>
      </c>
      <c r="U25">
        <v>49</v>
      </c>
      <c r="V25">
        <v>49.5</v>
      </c>
      <c r="W25" t="s">
        <v>8</v>
      </c>
      <c r="X25">
        <v>25</v>
      </c>
      <c r="Y25" s="1">
        <f t="shared" si="1"/>
        <v>9.5</v>
      </c>
      <c r="Z25">
        <v>19</v>
      </c>
      <c r="AA25">
        <v>20</v>
      </c>
      <c r="AB25">
        <v>26.5</v>
      </c>
      <c r="AC25" t="s">
        <v>125</v>
      </c>
      <c r="AD25" s="1">
        <f t="shared" si="2"/>
        <v>58</v>
      </c>
      <c r="AE25" s="1">
        <f t="shared" si="3"/>
        <v>64</v>
      </c>
      <c r="AF25" s="1">
        <f t="shared" si="4"/>
        <v>78</v>
      </c>
      <c r="AG25" s="1">
        <f t="shared" si="5"/>
        <v>69</v>
      </c>
      <c r="AH25" s="1">
        <f t="shared" si="6"/>
        <v>76</v>
      </c>
      <c r="AI25" t="s">
        <v>7</v>
      </c>
      <c r="AJ25" t="s">
        <v>15</v>
      </c>
      <c r="AK25" t="s">
        <v>16</v>
      </c>
      <c r="AL25" t="s">
        <v>17</v>
      </c>
      <c r="AM25" t="s">
        <v>116</v>
      </c>
      <c r="AN25" t="s">
        <v>117</v>
      </c>
      <c r="AO25" t="s">
        <v>118</v>
      </c>
    </row>
    <row r="26" spans="1:41">
      <c r="A26">
        <v>25</v>
      </c>
      <c r="B26" t="s">
        <v>24</v>
      </c>
      <c r="C26">
        <v>16344</v>
      </c>
      <c r="D26" t="s">
        <v>49</v>
      </c>
      <c r="E26" t="s">
        <v>21</v>
      </c>
      <c r="F26">
        <v>12.5</v>
      </c>
      <c r="G26">
        <v>22</v>
      </c>
      <c r="H26">
        <v>20</v>
      </c>
      <c r="I26">
        <v>10</v>
      </c>
      <c r="J26">
        <v>16</v>
      </c>
      <c r="K26" t="s">
        <v>22</v>
      </c>
      <c r="L26">
        <v>12</v>
      </c>
      <c r="M26">
        <v>19</v>
      </c>
      <c r="N26">
        <v>26</v>
      </c>
      <c r="O26">
        <v>16.5</v>
      </c>
      <c r="P26">
        <v>22</v>
      </c>
      <c r="Q26" t="s">
        <v>7</v>
      </c>
      <c r="R26">
        <v>24</v>
      </c>
      <c r="S26">
        <v>30</v>
      </c>
      <c r="T26">
        <v>39.5</v>
      </c>
      <c r="U26">
        <v>29</v>
      </c>
      <c r="V26">
        <v>23.5</v>
      </c>
      <c r="W26" t="s">
        <v>8</v>
      </c>
      <c r="X26">
        <v>22</v>
      </c>
      <c r="Y26" s="1">
        <f t="shared" si="1"/>
        <v>10.5</v>
      </c>
      <c r="Z26">
        <v>20</v>
      </c>
      <c r="AA26">
        <v>16</v>
      </c>
      <c r="AB26">
        <v>10</v>
      </c>
      <c r="AC26" t="s">
        <v>125</v>
      </c>
      <c r="AD26" s="1">
        <f t="shared" si="2"/>
        <v>46</v>
      </c>
      <c r="AE26" s="1">
        <f t="shared" si="3"/>
        <v>41</v>
      </c>
      <c r="AF26" s="1">
        <f t="shared" si="4"/>
        <v>60</v>
      </c>
      <c r="AG26" s="1">
        <f t="shared" si="5"/>
        <v>45</v>
      </c>
      <c r="AH26" s="1">
        <f t="shared" si="6"/>
        <v>34</v>
      </c>
      <c r="AI26" t="s">
        <v>7</v>
      </c>
      <c r="AJ26" t="s">
        <v>15</v>
      </c>
      <c r="AK26" t="s">
        <v>16</v>
      </c>
      <c r="AL26" t="s">
        <v>17</v>
      </c>
      <c r="AM26" t="s">
        <v>116</v>
      </c>
      <c r="AN26" t="s">
        <v>119</v>
      </c>
      <c r="AO26" t="s">
        <v>120</v>
      </c>
    </row>
    <row r="27" spans="1:41">
      <c r="A27">
        <v>26</v>
      </c>
      <c r="B27" t="s">
        <v>24</v>
      </c>
      <c r="C27">
        <v>14628</v>
      </c>
      <c r="D27" t="s">
        <v>50</v>
      </c>
      <c r="E27" t="s">
        <v>21</v>
      </c>
      <c r="F27">
        <v>11.5</v>
      </c>
      <c r="G27">
        <v>12</v>
      </c>
      <c r="H27">
        <v>22.5</v>
      </c>
      <c r="I27" t="s">
        <v>6</v>
      </c>
      <c r="J27">
        <v>18.5</v>
      </c>
      <c r="K27" t="s">
        <v>22</v>
      </c>
      <c r="L27">
        <v>5</v>
      </c>
      <c r="M27">
        <v>9.5</v>
      </c>
      <c r="N27" t="s">
        <v>6</v>
      </c>
      <c r="O27">
        <v>19.5</v>
      </c>
      <c r="P27">
        <v>16.5</v>
      </c>
      <c r="Q27" t="s">
        <v>7</v>
      </c>
      <c r="R27">
        <v>21</v>
      </c>
      <c r="S27">
        <v>28.5</v>
      </c>
      <c r="T27">
        <v>39.5</v>
      </c>
      <c r="U27">
        <v>33</v>
      </c>
      <c r="V27">
        <v>28.5</v>
      </c>
      <c r="W27" t="s">
        <v>8</v>
      </c>
      <c r="X27">
        <v>21</v>
      </c>
      <c r="Y27" s="1">
        <f t="shared" si="1"/>
        <v>5.5</v>
      </c>
      <c r="Z27">
        <v>8</v>
      </c>
      <c r="AA27">
        <v>22</v>
      </c>
      <c r="AB27">
        <v>12.5</v>
      </c>
      <c r="AC27" t="s">
        <v>125</v>
      </c>
      <c r="AD27" s="1">
        <f t="shared" si="2"/>
        <v>42</v>
      </c>
      <c r="AE27" s="1">
        <f t="shared" si="3"/>
        <v>34</v>
      </c>
      <c r="AF27" s="1">
        <f t="shared" si="4"/>
        <v>48</v>
      </c>
      <c r="AG27" s="1">
        <f t="shared" si="5"/>
        <v>55</v>
      </c>
      <c r="AH27" s="1">
        <f t="shared" si="6"/>
        <v>41</v>
      </c>
      <c r="AI27" t="s">
        <v>7</v>
      </c>
      <c r="AJ27" t="s">
        <v>15</v>
      </c>
      <c r="AK27" t="s">
        <v>16</v>
      </c>
      <c r="AL27" t="s">
        <v>17</v>
      </c>
      <c r="AM27" t="s">
        <v>111</v>
      </c>
      <c r="AN27" t="s">
        <v>121</v>
      </c>
      <c r="AO27" t="s">
        <v>122</v>
      </c>
    </row>
    <row r="28" spans="1:41">
      <c r="A28">
        <v>27</v>
      </c>
      <c r="B28" t="s">
        <v>24</v>
      </c>
      <c r="C28">
        <v>18801</v>
      </c>
      <c r="D28" t="s">
        <v>51</v>
      </c>
      <c r="E28" t="s">
        <v>21</v>
      </c>
      <c r="F28">
        <v>9</v>
      </c>
      <c r="G28">
        <v>25</v>
      </c>
      <c r="H28">
        <v>32</v>
      </c>
      <c r="I28">
        <v>15</v>
      </c>
      <c r="J28">
        <v>17.5</v>
      </c>
      <c r="K28" t="s">
        <v>22</v>
      </c>
      <c r="L28">
        <v>13.5</v>
      </c>
      <c r="M28">
        <v>11</v>
      </c>
      <c r="N28">
        <v>30.5</v>
      </c>
      <c r="O28">
        <v>12</v>
      </c>
      <c r="P28">
        <v>20.5</v>
      </c>
      <c r="Q28" t="s">
        <v>7</v>
      </c>
      <c r="R28">
        <v>31</v>
      </c>
      <c r="S28">
        <v>28</v>
      </c>
      <c r="T28">
        <v>52.5</v>
      </c>
      <c r="U28">
        <v>43</v>
      </c>
      <c r="V28">
        <v>40.5</v>
      </c>
      <c r="W28" t="s">
        <v>8</v>
      </c>
      <c r="X28" t="s">
        <v>6</v>
      </c>
      <c r="Y28" s="1">
        <f t="shared" si="1"/>
        <v>9</v>
      </c>
      <c r="Z28">
        <v>18</v>
      </c>
      <c r="AA28">
        <v>19</v>
      </c>
      <c r="AB28">
        <v>25</v>
      </c>
      <c r="AC28" t="s">
        <v>125</v>
      </c>
      <c r="AD28" s="1">
        <f t="shared" si="2"/>
        <v>31</v>
      </c>
      <c r="AE28" s="1">
        <f t="shared" si="3"/>
        <v>37</v>
      </c>
      <c r="AF28" s="1">
        <f t="shared" si="4"/>
        <v>71</v>
      </c>
      <c r="AG28" s="1">
        <f t="shared" si="5"/>
        <v>62</v>
      </c>
      <c r="AH28" s="1">
        <f t="shared" si="6"/>
        <v>66</v>
      </c>
      <c r="AI28" t="s">
        <v>7</v>
      </c>
      <c r="AJ28" t="s">
        <v>15</v>
      </c>
      <c r="AK28" t="s">
        <v>16</v>
      </c>
      <c r="AL28" t="s">
        <v>17</v>
      </c>
      <c r="AM28" t="s">
        <v>116</v>
      </c>
      <c r="AN28" t="s">
        <v>123</v>
      </c>
      <c r="AO28" t="s">
        <v>124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XII-OVERALL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Madhavan Achuthalingam</dc:creator>
  <cp:lastModifiedBy>User</cp:lastModifiedBy>
  <dcterms:created xsi:type="dcterms:W3CDTF">2024-10-08T12:53:51Z</dcterms:created>
  <dcterms:modified xsi:type="dcterms:W3CDTF">2024-10-10T14:23:09Z</dcterms:modified>
</cp:coreProperties>
</file>