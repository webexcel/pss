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 i="1"/>
  <c r="AJ3"/>
  <c r="AK3"/>
  <c r="AL3"/>
  <c r="AM3"/>
  <c r="AI4"/>
  <c r="AJ4"/>
  <c r="AK4"/>
  <c r="AL4"/>
  <c r="AM4"/>
  <c r="AI5"/>
  <c r="AJ5"/>
  <c r="AK5"/>
  <c r="AL5"/>
  <c r="AM5"/>
  <c r="AI6"/>
  <c r="AJ6"/>
  <c r="AK6"/>
  <c r="AL6"/>
  <c r="AM6"/>
  <c r="AI7"/>
  <c r="AJ7"/>
  <c r="AK7"/>
  <c r="AL7"/>
  <c r="AM7"/>
  <c r="AI8"/>
  <c r="AJ8"/>
  <c r="AK8"/>
  <c r="AL8"/>
  <c r="AM8"/>
  <c r="AI9"/>
  <c r="AJ9"/>
  <c r="AK9"/>
  <c r="AL9"/>
  <c r="AM9"/>
  <c r="AI10"/>
  <c r="AJ10"/>
  <c r="AK10"/>
  <c r="AL10"/>
  <c r="AM10"/>
  <c r="AI11"/>
  <c r="AJ11"/>
  <c r="AK11"/>
  <c r="AL11"/>
  <c r="AM11"/>
  <c r="AI12"/>
  <c r="AJ12"/>
  <c r="AK12"/>
  <c r="AL12"/>
  <c r="AM12"/>
  <c r="AI13"/>
  <c r="AJ13"/>
  <c r="AK13"/>
  <c r="AL13"/>
  <c r="AM13"/>
  <c r="AI14"/>
  <c r="AJ14"/>
  <c r="AK14"/>
  <c r="AL14"/>
  <c r="AM14"/>
  <c r="AI15"/>
  <c r="AJ15"/>
  <c r="AK15"/>
  <c r="AL15"/>
  <c r="AM15"/>
  <c r="AI16"/>
  <c r="AJ16"/>
  <c r="AK16"/>
  <c r="AL16"/>
  <c r="AM16"/>
  <c r="AI17"/>
  <c r="AJ17"/>
  <c r="AK17"/>
  <c r="AL17"/>
  <c r="AM17"/>
  <c r="AI18"/>
  <c r="AJ18"/>
  <c r="AK18"/>
  <c r="AL18"/>
  <c r="AM18"/>
  <c r="AI19"/>
  <c r="AJ19"/>
  <c r="AK19"/>
  <c r="AL19"/>
  <c r="AM19"/>
  <c r="AI20"/>
  <c r="AJ20"/>
  <c r="AK20"/>
  <c r="AL20"/>
  <c r="AM20"/>
  <c r="AI21"/>
  <c r="AJ21"/>
  <c r="AK21"/>
  <c r="AL21"/>
  <c r="AM21"/>
  <c r="AI22"/>
  <c r="AJ22"/>
  <c r="AK22"/>
  <c r="AL22"/>
  <c r="AM22"/>
  <c r="AI23"/>
  <c r="AJ23"/>
  <c r="AK23"/>
  <c r="AL23"/>
  <c r="AM23"/>
  <c r="AI24"/>
  <c r="AJ24"/>
  <c r="AK24"/>
  <c r="AL24"/>
  <c r="AM24"/>
  <c r="AI25"/>
  <c r="AJ25"/>
  <c r="AK25"/>
  <c r="AL25"/>
  <c r="AM25"/>
  <c r="AI26"/>
  <c r="AJ26"/>
  <c r="AK26"/>
  <c r="AL26"/>
  <c r="AM26"/>
  <c r="AI27"/>
  <c r="AJ27"/>
  <c r="AK27"/>
  <c r="AL27"/>
  <c r="AM27"/>
  <c r="AI28"/>
  <c r="AJ28"/>
  <c r="AK28"/>
  <c r="AL28"/>
  <c r="AM28"/>
  <c r="AI29"/>
  <c r="AJ29"/>
  <c r="AK29"/>
  <c r="AL29"/>
  <c r="AM29"/>
  <c r="AI30"/>
  <c r="AJ30"/>
  <c r="AK30"/>
  <c r="AL30"/>
  <c r="AM30"/>
  <c r="AI31"/>
  <c r="AJ31"/>
  <c r="AK31"/>
  <c r="AL31"/>
  <c r="AM31"/>
  <c r="AI32"/>
  <c r="AJ32"/>
  <c r="AK32"/>
  <c r="AL32"/>
  <c r="AM32"/>
  <c r="AI33"/>
  <c r="AJ33"/>
  <c r="AK33"/>
  <c r="AL33"/>
  <c r="AM33"/>
  <c r="AI34"/>
  <c r="AJ34"/>
  <c r="AK34"/>
  <c r="AL34"/>
  <c r="AM34"/>
  <c r="AI35"/>
  <c r="AJ35"/>
  <c r="AK35"/>
  <c r="AL35"/>
  <c r="AM35"/>
  <c r="AI36"/>
  <c r="AJ36"/>
  <c r="AK36"/>
  <c r="AL36"/>
  <c r="AM36"/>
  <c r="AI37"/>
  <c r="AJ37"/>
  <c r="AK37"/>
  <c r="AL37"/>
  <c r="AM37"/>
  <c r="AI38"/>
  <c r="AJ38"/>
  <c r="AK38"/>
  <c r="AL38"/>
  <c r="AM38"/>
  <c r="AI39"/>
  <c r="AJ39"/>
  <c r="AK39"/>
  <c r="AL39"/>
  <c r="AM39"/>
  <c r="AM2"/>
  <c r="AL2"/>
  <c r="AK2"/>
  <c r="AJ2"/>
  <c r="AI2"/>
  <c r="AH3"/>
  <c r="AH4"/>
  <c r="AH5"/>
  <c r="AH6"/>
  <c r="AH7"/>
  <c r="AH8"/>
  <c r="AH9"/>
  <c r="AH10"/>
  <c r="AH11"/>
  <c r="AH12"/>
  <c r="AH13"/>
  <c r="AH14"/>
  <c r="AH15"/>
  <c r="AH16"/>
  <c r="AH17"/>
  <c r="AH18"/>
  <c r="AH19"/>
  <c r="AH20"/>
  <c r="AH21"/>
  <c r="AH22"/>
  <c r="AH23"/>
  <c r="AH24"/>
  <c r="AH25"/>
  <c r="AH26"/>
  <c r="AH27"/>
  <c r="AH28"/>
  <c r="AH29"/>
  <c r="AH30"/>
  <c r="AH31"/>
  <c r="AH32"/>
  <c r="AH33"/>
  <c r="AH34"/>
  <c r="AH35"/>
  <c r="AH36"/>
  <c r="AH37"/>
  <c r="AH38"/>
  <c r="AH39"/>
  <c r="AH2"/>
</calcChain>
</file>

<file path=xl/sharedStrings.xml><?xml version="1.0" encoding="utf-8"?>
<sst xmlns="http://schemas.openxmlformats.org/spreadsheetml/2006/main" count="595" uniqueCount="136">
  <si>
    <t>Roll_No</t>
  </si>
  <si>
    <t>CLASSSEC</t>
  </si>
  <si>
    <t>Adno</t>
  </si>
  <si>
    <t>name</t>
  </si>
  <si>
    <t>Exam</t>
  </si>
  <si>
    <t>English</t>
  </si>
  <si>
    <t>Accountancy</t>
  </si>
  <si>
    <t>Economics</t>
  </si>
  <si>
    <t>Entrepreneurship</t>
  </si>
  <si>
    <t>Business_Studies</t>
  </si>
  <si>
    <t>Legal_Studies</t>
  </si>
  <si>
    <t>XI-E</t>
  </si>
  <si>
    <t>ANANYA S</t>
  </si>
  <si>
    <t>Unit Test- I</t>
  </si>
  <si>
    <t>GADI BHARGAV KRISHNA</t>
  </si>
  <si>
    <t>AB</t>
  </si>
  <si>
    <t>KAUSHAL K</t>
  </si>
  <si>
    <t>KAUSHALAN J</t>
  </si>
  <si>
    <t>KHAVYA G</t>
  </si>
  <si>
    <t>LAVANYA A</t>
  </si>
  <si>
    <t>R MEDHA</t>
  </si>
  <si>
    <t>NIKHIL G</t>
  </si>
  <si>
    <t>N POOJA</t>
  </si>
  <si>
    <t>SAIRAM KUMAR</t>
  </si>
  <si>
    <t>SHARMILA V</t>
  </si>
  <si>
    <t>SHIVANE JAGAN</t>
  </si>
  <si>
    <t>H SHYAM SUNDAR</t>
  </si>
  <si>
    <t>SRISHTI MISHRA K</t>
  </si>
  <si>
    <t>VIBHA K V</t>
  </si>
  <si>
    <t>ABISHEK RAAM G</t>
  </si>
  <si>
    <t>M ADITHIYAA</t>
  </si>
  <si>
    <t>S ANKITH</t>
  </si>
  <si>
    <t>S ANUSHREE</t>
  </si>
  <si>
    <t>ASHIKA U</t>
  </si>
  <si>
    <t>JANAANI V</t>
  </si>
  <si>
    <t>JANAVI R</t>
  </si>
  <si>
    <t>V KAMALESHKUMAR</t>
  </si>
  <si>
    <t>NITHYASREE S</t>
  </si>
  <si>
    <t>K K PRAVEEN RAJA</t>
  </si>
  <si>
    <t>PRIYADHARSHINI</t>
  </si>
  <si>
    <t>B RAJAKUMARA</t>
  </si>
  <si>
    <t>RISHAB R JAIN</t>
  </si>
  <si>
    <t>ROSHAN R JAIN</t>
  </si>
  <si>
    <t>M S SAI SANJAY</t>
  </si>
  <si>
    <t>S SAIRAM</t>
  </si>
  <si>
    <t>N SANJITH VAIBHAV</t>
  </si>
  <si>
    <t>SIDDHESHWAR S</t>
  </si>
  <si>
    <t>SRI RAGHAVI</t>
  </si>
  <si>
    <t>B SRUTHI LAVANYA</t>
  </si>
  <si>
    <t>SUPRA N BHAT</t>
  </si>
  <si>
    <t>R SWATHI</t>
  </si>
  <si>
    <t>TARUN KRISHNA P</t>
  </si>
  <si>
    <t>Unit Test-II</t>
  </si>
  <si>
    <t>Quarterly</t>
  </si>
  <si>
    <t>OD</t>
  </si>
  <si>
    <t>Quarterly- IA / Practicals</t>
  </si>
  <si>
    <t>T1</t>
  </si>
  <si>
    <t>T2</t>
  </si>
  <si>
    <t>T3</t>
  </si>
  <si>
    <t>Att</t>
  </si>
  <si>
    <t>Scholastic</t>
  </si>
  <si>
    <t>Sports</t>
  </si>
  <si>
    <t>Yes</t>
  </si>
  <si>
    <t>Good</t>
  </si>
  <si>
    <t>Regular</t>
  </si>
  <si>
    <t>77/78</t>
  </si>
  <si>
    <t>1.Annual day participant (dance) 2 .level II trecking completed 3 .PS amble volunteer (photography) 4 . Literary fest volunteer (photography) 5 .BVM culturals PSBB culturals (participated)</t>
  </si>
  <si>
    <t xml:space="preserve">      </t>
  </si>
  <si>
    <t>74/78</t>
  </si>
  <si>
    <t>Intra school general knowledge quiz competition- 3rd place Annual day volunteering- row duty</t>
  </si>
  <si>
    <t>75/78</t>
  </si>
  <si>
    <t>1.) English Play Volunteer 2.) Completed Trek 3.) Participation in Literary Fest Drama</t>
  </si>
  <si>
    <t>1)participated in literary fest 2)annual day stage volunteer 3)participated in Sankar culturals</t>
  </si>
  <si>
    <t>1) tamil play volunteer 2) participated in english play</t>
  </si>
  <si>
    <t>Annual day volunteer (vip refreshment ) Ps amble volunteer Level 2 Trekking completed. Literary fest design (invitation)</t>
  </si>
  <si>
    <t>1) Annual day refreshments volunteer 2) Ps Amble-Outreach Team 3) Scintillations-Outreach Team 4) Rhetoric-Swing team 5) Cvmun-High Commendation 6) Sanmun-Special Mention 7) Reverberations- Lawyers Up-4th+ Kalanjali-Lawyers Up-4th 8) Student Reporter at YoCee 9) ISDS Regional Selections-School Representative 10) PSMUN- Conference Admin 11) Level 2 trekking completion 12) Literary Fest-Roleplay(Participant) 13) Lakeviewmun-High Commendation 14) Axismun-Organising Committee(Volunteer) 15) Gmun-High Commendation</t>
  </si>
  <si>
    <t xml:space="preserve">1) Annual Sports Day Meet-High Jump-2nd 2) Intramurals-Badminton- 1st 3) Intramurals- Table Tennis- 3rd 4) YMCA buck meet- Badminton- Overall Championship- U17+ Quarter Finalist(Singles and Doubles) 5) Clusters- Badminton- Pre-Quarter Finalist- U19 6) Gymnastics intern and instructor- The Little Gym      </t>
  </si>
  <si>
    <t>1. Annal day volunteer 2. Level ll trekking completed 3. Ps amble volunteer</t>
  </si>
  <si>
    <t xml:space="preserve">1. Participated in kalpakosha culturals(basketball) 2. Participated in reverberation culturals (basketball) 3. Shot put (3rd place)      </t>
  </si>
  <si>
    <t>68/78</t>
  </si>
  <si>
    <t>1) participated in english play 2)annual day (art volunteer)</t>
  </si>
  <si>
    <t>Annual day volunteering Level II trekking completion PS amble volunteering</t>
  </si>
  <si>
    <t>68.5/78</t>
  </si>
  <si>
    <t>1. Annual day volunteering (art) 2. Level ll trekking completed 3. PS Amble volunteered in legalia and helped out in stalls</t>
  </si>
  <si>
    <t xml:space="preserve">1. Intramurals participation in badminton  throwball  100m  200m  high jump 2. Relay winner 3rd place  </t>
  </si>
  <si>
    <t>70/78</t>
  </si>
  <si>
    <t>1. Annual day Media team volunteer 2. Won 1st in Block and Tackle at Smaraneeyam (Sankara) Culturals and Runner Up to Mr. Smaraneeyam. 3. Won 1st in Expectations vs Reality at Reflections (Culturals) and 2nd Runner Up to Mr.Reflections. 4. Won 3rd Place in Block and Tackle and Channel Surfing at Reverberations (PSBB KKN) Culturals. 5. Won 3rd prize in Surprise Event at Kalpakosha (Sir Sivaswami Kalalaya) Culturals. 6. Won High Commendation at CVMUN in UNCCT 7. Won High Commendation at SANMUN in AIPPM 8. Won Special Mention at PVMUN in OIC 9. Won Special Mention in Samskruta Sudha 10. Won "Top 4" in Colosseum Debating Competition among College-level debaters. 11. Chaired as a "Vice-Chairperson" in Lakeview MUN 2024 12. Chaired as a "Vice-Chairperson" in AXISMUN 2024 13. Chaired as a "Vice-Chairperson" in VINTAGEMUN 2024 14. Serving as the "Charge'd Affaires" of PSMUN 2024 15. Part of the Design and Outreach team of Scintillations 2024 16. Part of the Band for Sports Day 2024 17. School Representative for ISDS Debate 18. Won "Best Speaker" at Judgementalists Debate 19. Completed Trek. 20. Marketing Volunteer for PS AMBLE 21. Part of the Swing Team and Marketing Team for Rhetoric 2024</t>
  </si>
  <si>
    <t>1. Annual day participation 2. Level II trekking completion 3. PS amble volunteering 4.Literary fest participation</t>
  </si>
  <si>
    <t>1. Volunteered in refreshments 2. Volunteered in legalia and helped out in stalls</t>
  </si>
  <si>
    <t>59/78</t>
  </si>
  <si>
    <t>1) Annual day volunteer for transport 3) Participated for Kalpakosha(SSK)</t>
  </si>
  <si>
    <t xml:space="preserve"> kalanjali(BVM) and reflections(VM) 4) Level II Trek completed 5) Put up a stall for PS Amble      </t>
  </si>
  <si>
    <t>65/78</t>
  </si>
  <si>
    <t>1)Annual day tamil play volunteer 2) Completed level ll trek 3) 1st prize in Lear to earn project work entrepreneurship 4) Participated in kalanjali culturals and won 1st prize [channel surfing ] 5)participated in dance [kalanjali] 6)literary fest tamil [Vivadhamedai] volunteer</t>
  </si>
  <si>
    <t>61.5/78</t>
  </si>
  <si>
    <t>Row volunteers</t>
  </si>
  <si>
    <t xml:space="preserve">Inter school tournament runner ups [cricket ]      </t>
  </si>
  <si>
    <t>70.5/78</t>
  </si>
  <si>
    <t>1.tamil drama volunteer 2. Participated in shankara</t>
  </si>
  <si>
    <t xml:space="preserve"> chettinad vidhyashram vidhya Mandir won 3rd prize in fireless cooking. 3. Learn to earn project     </t>
  </si>
  <si>
    <t>69.5/78</t>
  </si>
  <si>
    <t>1.Annual day refreshments volunteer 2.Participated in PS AMBLE</t>
  </si>
  <si>
    <t xml:space="preserve">1.Sports day-400m bronze &amp; relay silver 2.clusters participated in 800m &amp; 400m semifinalist      </t>
  </si>
  <si>
    <t>1)Annual day stage volunteer 2) Completed trek 3) 1st prize in Lear to earn project work entrepreneurship 4) Participated in Shankara and Chettinad vidhyashram culturals</t>
  </si>
  <si>
    <t>76.5/78</t>
  </si>
  <si>
    <t>1. Annual day volunteering ( Tamil play). 2. level 2 trekking completed. 3. Learn to earn entrepreneurship project</t>
  </si>
  <si>
    <t>73/78</t>
  </si>
  <si>
    <t>1. Annual day volunteer( business meet) 2. â completed level ll trek 3. â participated in kalanjali culturals and reflections culturals 4. â Tamil literary fest volunteer</t>
  </si>
  <si>
    <t xml:space="preserve">â MCA cricket trophy U19 - runners      </t>
  </si>
  <si>
    <t>1.Participated in Vidya Mandir</t>
  </si>
  <si>
    <t xml:space="preserve">Shankara BVM Chettinad Vidyashram culturals 2.PS Amble participant 1.Annual day - best student in sports award 2.Chennai district - 200m bronze 3.CM trophy - 100 and 200 gold 4.Clusters-100 gold and 200 silver 5.YMCA buck meet - 100 gold and 200 silver 6.MCC Pedhas- 100 and 200 gold   </t>
  </si>
  <si>
    <t>76/78</t>
  </si>
  <si>
    <t>1. Annual day volunteering 2. learn to earn project</t>
  </si>
  <si>
    <t xml:space="preserve">Intramual (carrom 1st place)      </t>
  </si>
  <si>
    <t>1. Annual day volunteer 2. Learn to earn entrepreneurship project</t>
  </si>
  <si>
    <t xml:space="preserve">1. â abacus football tournament (participation) 2. St. Brittoâ€™s football tournament (winners) 3. â lady Andal football tournament (winners) â â  4. â omega football tournament (participantion) 5. â Clusters football (winners)8. Football intramural (winner) 6. Relay (3rd place )      </t>
  </si>
  <si>
    <t>69/78</t>
  </si>
  <si>
    <t>1.Annual day volunteer (photography) 2 .level II trecking completed 3 .PS amble volunteer (photography) 4 . Literary fest volunteer (photography) 5 . Participated in sankara culturals smaraneeyam (dance) Vm culturals Reflections (dance)</t>
  </si>
  <si>
    <t>1. Annual day volunteering (Transport) 2. Level II trekking completion (done) 3. Literary fest participation (roleplay) 4. Learn to Earn project work Entrepreneurship(winners)</t>
  </si>
  <si>
    <t xml:space="preserve">5. Sports participation or winning (Discus throw)      </t>
  </si>
  <si>
    <t>1. Annual day volunteering 2. Trekking completed 3. Sports participation 4. Learn to earn project work Entropreneurship</t>
  </si>
  <si>
    <t>71.5/78</t>
  </si>
  <si>
    <t>1. Annual Day stage volunteer 2. P.s. Amble- learn to earn</t>
  </si>
  <si>
    <t xml:space="preserve"> put up a stall 3. Completed Level 2 trek 1. Relay 400m- Winners 2. Participated in 100m  200m sprint 3. Intramurals- Badminton (boys) runner up    </t>
  </si>
  <si>
    <t>78/78</t>
  </si>
  <si>
    <t>1. Annual day volunteering 2. Level II Trek completed 3. Learn to earn entrepreneurship project</t>
  </si>
  <si>
    <t>1. Participated in music endowment competition 2. Annual day volunteering 3. Learn to earn entrepreneurship project(winners) 4. Participation in carrom board 5. Intramural chess participation</t>
  </si>
  <si>
    <t>72.5/78</t>
  </si>
  <si>
    <t>1.Tamil play participant 2.completed trek</t>
  </si>
  <si>
    <t>1) annual day participant(dance) 2)was a part of group in learn to earn entrepreneurship project</t>
  </si>
  <si>
    <t>1. Annual day volunteer 2. â learn to earn project entrepreneurship</t>
  </si>
  <si>
    <t xml:space="preserve">1. â Abacus football tournament (participation) 2. St. Brittoâ€™s football tournament (winners) 3. â Lady Andal football tournament (winners) â â  4. â Omega football tournament (participation) 5. â Clusters football (winners) 6. â Intramural ( football 3rd place  1500m participation )     </t>
  </si>
  <si>
    <t>Annual Day- Art volunteer P.S.Amble- Winner Completed Trek</t>
  </si>
  <si>
    <t>1.participated in annual day tamil drama. 2.completed trek. 3.1st prize in learn to earn project entrepreneurship</t>
  </si>
  <si>
    <t>School Annual Day- Stage volunteer Participated in Smaraneeyam-Business Quiz- Sri Sankara School P.S. Amble- Stall (Panem et Seuss)</t>
  </si>
  <si>
    <t>TERM1-100</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</si>
</sst>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16"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T39"/>
  <sheetViews>
    <sheetView tabSelected="1" topLeftCell="X1" workbookViewId="0">
      <selection activeCell="M13" sqref="M13"/>
    </sheetView>
  </sheetViews>
  <sheetFormatPr defaultColWidth="11.7109375" defaultRowHeight="15"/>
  <cols>
    <col min="1" max="1" width="6.28515625" customWidth="1"/>
    <col min="2" max="2" width="5.5703125" customWidth="1"/>
    <col min="3" max="3" width="5.85546875" customWidth="1"/>
    <col min="5" max="5" width="8.28515625" customWidth="1"/>
    <col min="6" max="6" width="6.42578125" customWidth="1"/>
    <col min="7" max="7" width="5.7109375" customWidth="1"/>
    <col min="8" max="8" width="6.5703125" customWidth="1"/>
    <col min="9" max="9" width="6.42578125" customWidth="1"/>
    <col min="10" max="10" width="7.7109375" customWidth="1"/>
    <col min="11" max="11" width="6.28515625" customWidth="1"/>
    <col min="12" max="32" width="8.85546875"/>
    <col min="40" max="44" width="8.85546875"/>
    <col min="45" max="45" width="255.7109375" bestFit="1" customWidth="1"/>
    <col min="46" max="46" width="8.85546875"/>
    <col min="47" max="47" width="7.140625" bestFit="1" customWidth="1"/>
    <col min="48" max="48" width="10.28515625" bestFit="1" customWidth="1"/>
    <col min="49" max="50" width="255.7109375" bestFit="1" customWidth="1"/>
    <col min="51" max="55" width="8.85546875"/>
  </cols>
  <sheetData>
    <row r="1" spans="1:46">
      <c r="A1" t="s">
        <v>0</v>
      </c>
      <c r="B1" t="s">
        <v>1</v>
      </c>
      <c r="C1" t="s">
        <v>2</v>
      </c>
      <c r="D1" t="s">
        <v>3</v>
      </c>
      <c r="E1" t="s">
        <v>4</v>
      </c>
      <c r="F1" t="s">
        <v>5</v>
      </c>
      <c r="G1" t="s">
        <v>6</v>
      </c>
      <c r="H1" t="s">
        <v>7</v>
      </c>
      <c r="I1" t="s">
        <v>8</v>
      </c>
      <c r="J1" t="s">
        <v>9</v>
      </c>
      <c r="K1" t="s">
        <v>10</v>
      </c>
      <c r="L1" t="s">
        <v>4</v>
      </c>
      <c r="M1" t="s">
        <v>5</v>
      </c>
      <c r="N1" t="s">
        <v>6</v>
      </c>
      <c r="O1" t="s">
        <v>7</v>
      </c>
      <c r="P1" t="s">
        <v>8</v>
      </c>
      <c r="Q1" t="s">
        <v>9</v>
      </c>
      <c r="R1" t="s">
        <v>10</v>
      </c>
      <c r="S1" t="s">
        <v>4</v>
      </c>
      <c r="T1" t="s">
        <v>5</v>
      </c>
      <c r="U1" t="s">
        <v>6</v>
      </c>
      <c r="V1" t="s">
        <v>7</v>
      </c>
      <c r="W1" t="s">
        <v>8</v>
      </c>
      <c r="X1" t="s">
        <v>9</v>
      </c>
      <c r="Y1" t="s">
        <v>10</v>
      </c>
      <c r="Z1" t="s">
        <v>4</v>
      </c>
      <c r="AA1" t="s">
        <v>5</v>
      </c>
      <c r="AB1" t="s">
        <v>6</v>
      </c>
      <c r="AC1" t="s">
        <v>7</v>
      </c>
      <c r="AD1" t="s">
        <v>8</v>
      </c>
      <c r="AE1" t="s">
        <v>9</v>
      </c>
      <c r="AF1" t="s">
        <v>10</v>
      </c>
      <c r="AG1" t="s">
        <v>135</v>
      </c>
      <c r="AH1" t="s">
        <v>5</v>
      </c>
      <c r="AI1" t="s">
        <v>6</v>
      </c>
      <c r="AJ1" t="s">
        <v>7</v>
      </c>
      <c r="AK1" t="s">
        <v>8</v>
      </c>
      <c r="AL1" t="s">
        <v>9</v>
      </c>
      <c r="AM1" t="s">
        <v>10</v>
      </c>
      <c r="AN1" t="s">
        <v>4</v>
      </c>
      <c r="AO1" t="s">
        <v>56</v>
      </c>
      <c r="AP1" t="s">
        <v>57</v>
      </c>
      <c r="AQ1" t="s">
        <v>58</v>
      </c>
      <c r="AR1" t="s">
        <v>59</v>
      </c>
      <c r="AS1" t="s">
        <v>60</v>
      </c>
      <c r="AT1" t="s">
        <v>61</v>
      </c>
    </row>
    <row r="2" spans="1:46">
      <c r="A2">
        <v>1</v>
      </c>
      <c r="B2" t="s">
        <v>11</v>
      </c>
      <c r="C2">
        <v>14568</v>
      </c>
      <c r="D2" t="s">
        <v>12</v>
      </c>
      <c r="E2" t="s">
        <v>13</v>
      </c>
      <c r="F2">
        <v>23</v>
      </c>
      <c r="G2">
        <v>25</v>
      </c>
      <c r="H2">
        <v>3</v>
      </c>
      <c r="I2">
        <v>0</v>
      </c>
      <c r="J2">
        <v>9</v>
      </c>
      <c r="K2">
        <v>6</v>
      </c>
      <c r="L2" t="s">
        <v>52</v>
      </c>
      <c r="M2">
        <v>27.5</v>
      </c>
      <c r="N2">
        <v>21</v>
      </c>
      <c r="O2">
        <v>11</v>
      </c>
      <c r="P2">
        <v>0</v>
      </c>
      <c r="Q2">
        <v>11</v>
      </c>
      <c r="R2">
        <v>15</v>
      </c>
      <c r="S2" t="s">
        <v>53</v>
      </c>
      <c r="T2">
        <v>35.5</v>
      </c>
      <c r="U2">
        <v>43</v>
      </c>
      <c r="V2">
        <v>18</v>
      </c>
      <c r="W2">
        <v>0</v>
      </c>
      <c r="X2">
        <v>11</v>
      </c>
      <c r="Y2">
        <v>20</v>
      </c>
      <c r="Z2" t="s">
        <v>55</v>
      </c>
      <c r="AA2">
        <v>18</v>
      </c>
      <c r="AB2">
        <v>11</v>
      </c>
      <c r="AC2">
        <v>14</v>
      </c>
      <c r="AD2">
        <v>0</v>
      </c>
      <c r="AE2">
        <v>15</v>
      </c>
      <c r="AF2">
        <v>13</v>
      </c>
      <c r="AG2" t="s">
        <v>135</v>
      </c>
      <c r="AH2" s="1">
        <f>ROUND(N(AA2)+N(T2),0)</f>
        <v>54</v>
      </c>
      <c r="AI2" s="1">
        <f t="shared" ref="AI2:AM2" si="0">ROUND(N(AB2)+N(U2),0)</f>
        <v>54</v>
      </c>
      <c r="AJ2" s="1">
        <f t="shared" si="0"/>
        <v>32</v>
      </c>
      <c r="AK2" s="1">
        <f t="shared" si="0"/>
        <v>0</v>
      </c>
      <c r="AL2" s="1">
        <f t="shared" si="0"/>
        <v>26</v>
      </c>
      <c r="AM2" s="1">
        <f t="shared" si="0"/>
        <v>33</v>
      </c>
      <c r="AN2" t="s">
        <v>53</v>
      </c>
      <c r="AO2" t="s">
        <v>62</v>
      </c>
      <c r="AP2" t="s">
        <v>63</v>
      </c>
      <c r="AQ2" t="s">
        <v>64</v>
      </c>
      <c r="AR2" t="s">
        <v>65</v>
      </c>
      <c r="AS2" t="s">
        <v>66</v>
      </c>
      <c r="AT2" t="s">
        <v>67</v>
      </c>
    </row>
    <row r="3" spans="1:46">
      <c r="A3">
        <v>2</v>
      </c>
      <c r="B3" t="s">
        <v>11</v>
      </c>
      <c r="C3">
        <v>16292</v>
      </c>
      <c r="D3" t="s">
        <v>14</v>
      </c>
      <c r="E3" t="s">
        <v>13</v>
      </c>
      <c r="F3">
        <v>26.5</v>
      </c>
      <c r="G3">
        <v>19</v>
      </c>
      <c r="H3" t="s">
        <v>15</v>
      </c>
      <c r="I3">
        <v>0</v>
      </c>
      <c r="J3">
        <v>24</v>
      </c>
      <c r="K3" t="s">
        <v>15</v>
      </c>
      <c r="L3" t="s">
        <v>52</v>
      </c>
      <c r="M3">
        <v>23</v>
      </c>
      <c r="N3">
        <v>12</v>
      </c>
      <c r="O3">
        <v>8</v>
      </c>
      <c r="P3">
        <v>0</v>
      </c>
      <c r="Q3">
        <v>17</v>
      </c>
      <c r="R3">
        <v>20</v>
      </c>
      <c r="S3" t="s">
        <v>53</v>
      </c>
      <c r="T3">
        <v>43.5</v>
      </c>
      <c r="U3">
        <v>22</v>
      </c>
      <c r="V3">
        <v>36</v>
      </c>
      <c r="W3">
        <v>0</v>
      </c>
      <c r="X3">
        <v>30</v>
      </c>
      <c r="Y3">
        <v>33</v>
      </c>
      <c r="Z3" t="s">
        <v>55</v>
      </c>
      <c r="AA3">
        <v>18</v>
      </c>
      <c r="AB3">
        <v>9</v>
      </c>
      <c r="AC3">
        <v>17</v>
      </c>
      <c r="AD3">
        <v>0</v>
      </c>
      <c r="AE3">
        <v>5</v>
      </c>
      <c r="AF3">
        <v>10</v>
      </c>
      <c r="AG3" t="s">
        <v>135</v>
      </c>
      <c r="AH3" s="1">
        <f t="shared" ref="AH3:AH39" si="1">ROUND(N(AA3)+N(T3),0)</f>
        <v>62</v>
      </c>
      <c r="AI3" s="1">
        <f t="shared" ref="AI3:AI39" si="2">ROUND(N(AB3)+N(U3),0)</f>
        <v>31</v>
      </c>
      <c r="AJ3" s="1">
        <f t="shared" ref="AJ3:AJ39" si="3">ROUND(N(AC3)+N(V3),0)</f>
        <v>53</v>
      </c>
      <c r="AK3" s="1">
        <f t="shared" ref="AK3:AK39" si="4">ROUND(N(AD3)+N(W3),0)</f>
        <v>0</v>
      </c>
      <c r="AL3" s="1">
        <f t="shared" ref="AL3:AL39" si="5">ROUND(N(AE3)+N(X3),0)</f>
        <v>35</v>
      </c>
      <c r="AM3" s="1">
        <f t="shared" ref="AM3:AM39" si="6">ROUND(N(AF3)+N(Y3),0)</f>
        <v>43</v>
      </c>
      <c r="AN3" t="s">
        <v>53</v>
      </c>
      <c r="AO3" t="s">
        <v>62</v>
      </c>
      <c r="AP3" t="s">
        <v>63</v>
      </c>
      <c r="AQ3" t="s">
        <v>64</v>
      </c>
      <c r="AR3" t="s">
        <v>68</v>
      </c>
      <c r="AS3" t="s">
        <v>69</v>
      </c>
      <c r="AT3" t="s">
        <v>67</v>
      </c>
    </row>
    <row r="4" spans="1:46">
      <c r="A4">
        <v>3</v>
      </c>
      <c r="B4" t="s">
        <v>11</v>
      </c>
      <c r="C4">
        <v>18840</v>
      </c>
      <c r="D4" t="s">
        <v>16</v>
      </c>
      <c r="E4" t="s">
        <v>13</v>
      </c>
      <c r="F4">
        <v>31</v>
      </c>
      <c r="G4">
        <v>20</v>
      </c>
      <c r="H4">
        <v>22</v>
      </c>
      <c r="I4">
        <v>0</v>
      </c>
      <c r="J4">
        <v>36</v>
      </c>
      <c r="K4">
        <v>30</v>
      </c>
      <c r="L4" t="s">
        <v>52</v>
      </c>
      <c r="M4">
        <v>27.5</v>
      </c>
      <c r="N4">
        <v>15</v>
      </c>
      <c r="O4">
        <v>15</v>
      </c>
      <c r="P4">
        <v>0</v>
      </c>
      <c r="Q4">
        <v>27</v>
      </c>
      <c r="R4">
        <v>33</v>
      </c>
      <c r="S4" t="s">
        <v>53</v>
      </c>
      <c r="T4">
        <v>66</v>
      </c>
      <c r="U4">
        <v>35</v>
      </c>
      <c r="V4">
        <v>42</v>
      </c>
      <c r="W4">
        <v>0</v>
      </c>
      <c r="X4">
        <v>59</v>
      </c>
      <c r="Y4">
        <v>53</v>
      </c>
      <c r="Z4" t="s">
        <v>55</v>
      </c>
      <c r="AA4">
        <v>20</v>
      </c>
      <c r="AB4">
        <v>12.5</v>
      </c>
      <c r="AC4">
        <v>15</v>
      </c>
      <c r="AD4">
        <v>0</v>
      </c>
      <c r="AE4">
        <v>16</v>
      </c>
      <c r="AF4">
        <v>16</v>
      </c>
      <c r="AG4" t="s">
        <v>135</v>
      </c>
      <c r="AH4" s="1">
        <f t="shared" si="1"/>
        <v>86</v>
      </c>
      <c r="AI4" s="1">
        <f t="shared" si="2"/>
        <v>48</v>
      </c>
      <c r="AJ4" s="1">
        <f t="shared" si="3"/>
        <v>57</v>
      </c>
      <c r="AK4" s="1">
        <f t="shared" si="4"/>
        <v>0</v>
      </c>
      <c r="AL4" s="1">
        <f t="shared" si="5"/>
        <v>75</v>
      </c>
      <c r="AM4" s="1">
        <f t="shared" si="6"/>
        <v>69</v>
      </c>
      <c r="AN4" t="s">
        <v>53</v>
      </c>
      <c r="AO4" t="s">
        <v>62</v>
      </c>
      <c r="AP4" t="s">
        <v>63</v>
      </c>
      <c r="AQ4" t="s">
        <v>64</v>
      </c>
      <c r="AR4" t="s">
        <v>70</v>
      </c>
      <c r="AS4" t="s">
        <v>71</v>
      </c>
      <c r="AT4" t="s">
        <v>67</v>
      </c>
    </row>
    <row r="5" spans="1:46">
      <c r="A5">
        <v>4</v>
      </c>
      <c r="B5" t="s">
        <v>11</v>
      </c>
      <c r="C5">
        <v>15422</v>
      </c>
      <c r="D5" t="s">
        <v>17</v>
      </c>
      <c r="E5" t="s">
        <v>13</v>
      </c>
      <c r="F5">
        <v>35.5</v>
      </c>
      <c r="G5">
        <v>32</v>
      </c>
      <c r="H5">
        <v>27</v>
      </c>
      <c r="I5">
        <v>0</v>
      </c>
      <c r="J5">
        <v>37</v>
      </c>
      <c r="K5">
        <v>34</v>
      </c>
      <c r="L5" t="s">
        <v>52</v>
      </c>
      <c r="M5">
        <v>33.5</v>
      </c>
      <c r="N5">
        <v>27</v>
      </c>
      <c r="O5">
        <v>22</v>
      </c>
      <c r="P5">
        <v>0</v>
      </c>
      <c r="Q5">
        <v>35</v>
      </c>
      <c r="R5">
        <v>37</v>
      </c>
      <c r="S5" t="s">
        <v>53</v>
      </c>
      <c r="T5">
        <v>57</v>
      </c>
      <c r="U5">
        <v>56</v>
      </c>
      <c r="V5">
        <v>48</v>
      </c>
      <c r="W5">
        <v>0</v>
      </c>
      <c r="X5">
        <v>70</v>
      </c>
      <c r="Y5">
        <v>69</v>
      </c>
      <c r="Z5" t="s">
        <v>55</v>
      </c>
      <c r="AA5">
        <v>20</v>
      </c>
      <c r="AB5">
        <v>12</v>
      </c>
      <c r="AC5">
        <v>13</v>
      </c>
      <c r="AD5">
        <v>0</v>
      </c>
      <c r="AE5">
        <v>16</v>
      </c>
      <c r="AF5">
        <v>18</v>
      </c>
      <c r="AG5" t="s">
        <v>135</v>
      </c>
      <c r="AH5" s="1">
        <f t="shared" si="1"/>
        <v>77</v>
      </c>
      <c r="AI5" s="1">
        <f t="shared" si="2"/>
        <v>68</v>
      </c>
      <c r="AJ5" s="1">
        <f t="shared" si="3"/>
        <v>61</v>
      </c>
      <c r="AK5" s="1">
        <f t="shared" si="4"/>
        <v>0</v>
      </c>
      <c r="AL5" s="1">
        <f t="shared" si="5"/>
        <v>86</v>
      </c>
      <c r="AM5" s="1">
        <f t="shared" si="6"/>
        <v>87</v>
      </c>
      <c r="AN5" t="s">
        <v>53</v>
      </c>
      <c r="AO5" t="s">
        <v>62</v>
      </c>
      <c r="AP5" t="s">
        <v>63</v>
      </c>
      <c r="AQ5" t="s">
        <v>64</v>
      </c>
      <c r="AR5" t="s">
        <v>70</v>
      </c>
      <c r="AS5" t="s">
        <v>72</v>
      </c>
      <c r="AT5" t="s">
        <v>67</v>
      </c>
    </row>
    <row r="6" spans="1:46">
      <c r="A6">
        <v>5</v>
      </c>
      <c r="B6" t="s">
        <v>11</v>
      </c>
      <c r="C6">
        <v>14672</v>
      </c>
      <c r="D6" t="s">
        <v>18</v>
      </c>
      <c r="E6" t="s">
        <v>13</v>
      </c>
      <c r="F6">
        <v>29.5</v>
      </c>
      <c r="G6">
        <v>28</v>
      </c>
      <c r="H6">
        <v>13</v>
      </c>
      <c r="I6">
        <v>0</v>
      </c>
      <c r="J6">
        <v>26</v>
      </c>
      <c r="K6">
        <v>26</v>
      </c>
      <c r="L6" t="s">
        <v>52</v>
      </c>
      <c r="M6">
        <v>31.5</v>
      </c>
      <c r="N6">
        <v>31</v>
      </c>
      <c r="O6">
        <v>24</v>
      </c>
      <c r="P6">
        <v>0</v>
      </c>
      <c r="Q6">
        <v>26</v>
      </c>
      <c r="R6">
        <v>29</v>
      </c>
      <c r="S6" t="s">
        <v>53</v>
      </c>
      <c r="T6">
        <v>51.5</v>
      </c>
      <c r="U6">
        <v>58</v>
      </c>
      <c r="V6">
        <v>44</v>
      </c>
      <c r="W6">
        <v>0</v>
      </c>
      <c r="X6">
        <v>32</v>
      </c>
      <c r="Y6">
        <v>51</v>
      </c>
      <c r="Z6" t="s">
        <v>55</v>
      </c>
      <c r="AA6">
        <v>17.5</v>
      </c>
      <c r="AB6">
        <v>17.5</v>
      </c>
      <c r="AC6">
        <v>17</v>
      </c>
      <c r="AD6">
        <v>0</v>
      </c>
      <c r="AE6">
        <v>13</v>
      </c>
      <c r="AF6">
        <v>16</v>
      </c>
      <c r="AG6" t="s">
        <v>135</v>
      </c>
      <c r="AH6" s="1">
        <f t="shared" si="1"/>
        <v>69</v>
      </c>
      <c r="AI6" s="1">
        <f t="shared" si="2"/>
        <v>76</v>
      </c>
      <c r="AJ6" s="1">
        <f t="shared" si="3"/>
        <v>61</v>
      </c>
      <c r="AK6" s="1">
        <f t="shared" si="4"/>
        <v>0</v>
      </c>
      <c r="AL6" s="1">
        <f t="shared" si="5"/>
        <v>45</v>
      </c>
      <c r="AM6" s="1">
        <f t="shared" si="6"/>
        <v>67</v>
      </c>
      <c r="AN6" t="s">
        <v>53</v>
      </c>
      <c r="AO6" t="s">
        <v>62</v>
      </c>
      <c r="AP6" t="s">
        <v>63</v>
      </c>
      <c r="AQ6" t="s">
        <v>64</v>
      </c>
      <c r="AR6" t="s">
        <v>70</v>
      </c>
      <c r="AS6" t="s">
        <v>73</v>
      </c>
      <c r="AT6" t="s">
        <v>67</v>
      </c>
    </row>
    <row r="7" spans="1:46">
      <c r="A7">
        <v>6</v>
      </c>
      <c r="B7" t="s">
        <v>11</v>
      </c>
      <c r="C7">
        <v>14704</v>
      </c>
      <c r="D7" t="s">
        <v>19</v>
      </c>
      <c r="E7" t="s">
        <v>13</v>
      </c>
      <c r="F7">
        <v>26.5</v>
      </c>
      <c r="G7">
        <v>28</v>
      </c>
      <c r="H7">
        <v>20</v>
      </c>
      <c r="I7">
        <v>0</v>
      </c>
      <c r="J7">
        <v>26</v>
      </c>
      <c r="K7">
        <v>20</v>
      </c>
      <c r="L7" t="s">
        <v>52</v>
      </c>
      <c r="M7">
        <v>29.5</v>
      </c>
      <c r="N7">
        <v>23</v>
      </c>
      <c r="O7">
        <v>5</v>
      </c>
      <c r="P7">
        <v>0</v>
      </c>
      <c r="Q7">
        <v>15</v>
      </c>
      <c r="R7">
        <v>26</v>
      </c>
      <c r="S7" t="s">
        <v>53</v>
      </c>
      <c r="T7">
        <v>53.5</v>
      </c>
      <c r="U7">
        <v>26</v>
      </c>
      <c r="V7">
        <v>41</v>
      </c>
      <c r="W7">
        <v>0</v>
      </c>
      <c r="X7">
        <v>46</v>
      </c>
      <c r="Y7">
        <v>47</v>
      </c>
      <c r="Z7" t="s">
        <v>55</v>
      </c>
      <c r="AA7">
        <v>19.5</v>
      </c>
      <c r="AB7">
        <v>10.5</v>
      </c>
      <c r="AC7">
        <v>4</v>
      </c>
      <c r="AD7">
        <v>0</v>
      </c>
      <c r="AE7">
        <v>10</v>
      </c>
      <c r="AF7">
        <v>15</v>
      </c>
      <c r="AG7" t="s">
        <v>135</v>
      </c>
      <c r="AH7" s="1">
        <f t="shared" si="1"/>
        <v>73</v>
      </c>
      <c r="AI7" s="1">
        <f t="shared" si="2"/>
        <v>37</v>
      </c>
      <c r="AJ7" s="1">
        <f t="shared" si="3"/>
        <v>45</v>
      </c>
      <c r="AK7" s="1">
        <f t="shared" si="4"/>
        <v>0</v>
      </c>
      <c r="AL7" s="1">
        <f t="shared" si="5"/>
        <v>56</v>
      </c>
      <c r="AM7" s="1">
        <f t="shared" si="6"/>
        <v>62</v>
      </c>
      <c r="AN7" t="s">
        <v>53</v>
      </c>
      <c r="AO7" t="s">
        <v>62</v>
      </c>
      <c r="AP7" t="s">
        <v>63</v>
      </c>
      <c r="AQ7" t="s">
        <v>64</v>
      </c>
      <c r="AR7" t="s">
        <v>70</v>
      </c>
      <c r="AS7" t="s">
        <v>74</v>
      </c>
      <c r="AT7" t="s">
        <v>67</v>
      </c>
    </row>
    <row r="8" spans="1:46">
      <c r="A8">
        <v>7</v>
      </c>
      <c r="B8" t="s">
        <v>11</v>
      </c>
      <c r="C8">
        <v>14686</v>
      </c>
      <c r="D8" t="s">
        <v>20</v>
      </c>
      <c r="E8" t="s">
        <v>13</v>
      </c>
      <c r="F8">
        <v>33</v>
      </c>
      <c r="G8">
        <v>22</v>
      </c>
      <c r="H8">
        <v>27</v>
      </c>
      <c r="I8">
        <v>0</v>
      </c>
      <c r="J8">
        <v>30</v>
      </c>
      <c r="K8">
        <v>23</v>
      </c>
      <c r="L8" t="s">
        <v>52</v>
      </c>
      <c r="M8">
        <v>30.5</v>
      </c>
      <c r="N8">
        <v>34</v>
      </c>
      <c r="O8">
        <v>17</v>
      </c>
      <c r="P8">
        <v>0</v>
      </c>
      <c r="Q8">
        <v>27</v>
      </c>
      <c r="R8">
        <v>34</v>
      </c>
      <c r="S8" t="s">
        <v>53</v>
      </c>
      <c r="T8">
        <v>70</v>
      </c>
      <c r="U8">
        <v>53</v>
      </c>
      <c r="V8">
        <v>50</v>
      </c>
      <c r="W8">
        <v>0</v>
      </c>
      <c r="X8">
        <v>55</v>
      </c>
      <c r="Y8">
        <v>73</v>
      </c>
      <c r="Z8" t="s">
        <v>55</v>
      </c>
      <c r="AA8">
        <v>20</v>
      </c>
      <c r="AB8">
        <v>13.5</v>
      </c>
      <c r="AC8">
        <v>10</v>
      </c>
      <c r="AD8">
        <v>0</v>
      </c>
      <c r="AE8">
        <v>15</v>
      </c>
      <c r="AF8">
        <v>18</v>
      </c>
      <c r="AG8" t="s">
        <v>135</v>
      </c>
      <c r="AH8" s="1">
        <f t="shared" si="1"/>
        <v>90</v>
      </c>
      <c r="AI8" s="1">
        <f t="shared" si="2"/>
        <v>67</v>
      </c>
      <c r="AJ8" s="1">
        <f t="shared" si="3"/>
        <v>60</v>
      </c>
      <c r="AK8" s="1">
        <f t="shared" si="4"/>
        <v>0</v>
      </c>
      <c r="AL8" s="1">
        <f t="shared" si="5"/>
        <v>70</v>
      </c>
      <c r="AM8" s="1">
        <f t="shared" si="6"/>
        <v>91</v>
      </c>
      <c r="AN8" t="s">
        <v>53</v>
      </c>
      <c r="AO8" t="s">
        <v>62</v>
      </c>
      <c r="AP8" t="s">
        <v>63</v>
      </c>
      <c r="AQ8" t="s">
        <v>64</v>
      </c>
      <c r="AR8" t="s">
        <v>70</v>
      </c>
      <c r="AS8" t="s">
        <v>75</v>
      </c>
      <c r="AT8" t="s">
        <v>76</v>
      </c>
    </row>
    <row r="9" spans="1:46">
      <c r="A9">
        <v>8</v>
      </c>
      <c r="B9" t="s">
        <v>11</v>
      </c>
      <c r="C9">
        <v>16004</v>
      </c>
      <c r="D9" t="s">
        <v>21</v>
      </c>
      <c r="E9" t="s">
        <v>13</v>
      </c>
      <c r="F9">
        <v>17.5</v>
      </c>
      <c r="G9">
        <v>23</v>
      </c>
      <c r="H9">
        <v>7</v>
      </c>
      <c r="I9">
        <v>0</v>
      </c>
      <c r="J9">
        <v>13</v>
      </c>
      <c r="K9">
        <v>7</v>
      </c>
      <c r="L9" t="s">
        <v>52</v>
      </c>
      <c r="M9">
        <v>22.5</v>
      </c>
      <c r="N9">
        <v>23</v>
      </c>
      <c r="O9">
        <v>11</v>
      </c>
      <c r="P9">
        <v>0</v>
      </c>
      <c r="Q9">
        <v>20</v>
      </c>
      <c r="R9">
        <v>15</v>
      </c>
      <c r="S9" t="s">
        <v>53</v>
      </c>
      <c r="T9">
        <v>31.5</v>
      </c>
      <c r="U9">
        <v>37</v>
      </c>
      <c r="V9">
        <v>30</v>
      </c>
      <c r="W9">
        <v>0</v>
      </c>
      <c r="X9">
        <v>32</v>
      </c>
      <c r="Y9">
        <v>41</v>
      </c>
      <c r="Z9" t="s">
        <v>55</v>
      </c>
      <c r="AA9">
        <v>14</v>
      </c>
      <c r="AB9">
        <v>8.5</v>
      </c>
      <c r="AC9">
        <v>11</v>
      </c>
      <c r="AD9">
        <v>0</v>
      </c>
      <c r="AE9">
        <v>12</v>
      </c>
      <c r="AF9">
        <v>8</v>
      </c>
      <c r="AG9" t="s">
        <v>135</v>
      </c>
      <c r="AH9" s="1">
        <f t="shared" si="1"/>
        <v>46</v>
      </c>
      <c r="AI9" s="1">
        <f t="shared" si="2"/>
        <v>46</v>
      </c>
      <c r="AJ9" s="1">
        <f t="shared" si="3"/>
        <v>41</v>
      </c>
      <c r="AK9" s="1">
        <f t="shared" si="4"/>
        <v>0</v>
      </c>
      <c r="AL9" s="1">
        <f t="shared" si="5"/>
        <v>44</v>
      </c>
      <c r="AM9" s="1">
        <f t="shared" si="6"/>
        <v>49</v>
      </c>
      <c r="AN9" t="s">
        <v>53</v>
      </c>
      <c r="AO9" t="s">
        <v>62</v>
      </c>
      <c r="AP9" t="s">
        <v>63</v>
      </c>
      <c r="AQ9" t="s">
        <v>64</v>
      </c>
      <c r="AR9" t="s">
        <v>70</v>
      </c>
      <c r="AS9" t="s">
        <v>77</v>
      </c>
      <c r="AT9" t="s">
        <v>78</v>
      </c>
    </row>
    <row r="10" spans="1:46">
      <c r="A10">
        <v>9</v>
      </c>
      <c r="B10" t="s">
        <v>11</v>
      </c>
      <c r="C10">
        <v>18845</v>
      </c>
      <c r="D10" t="s">
        <v>22</v>
      </c>
      <c r="E10" t="s">
        <v>13</v>
      </c>
      <c r="F10">
        <v>29</v>
      </c>
      <c r="G10">
        <v>14</v>
      </c>
      <c r="H10">
        <v>11</v>
      </c>
      <c r="I10">
        <v>0</v>
      </c>
      <c r="J10">
        <v>24</v>
      </c>
      <c r="K10">
        <v>12.5</v>
      </c>
      <c r="L10" t="s">
        <v>52</v>
      </c>
      <c r="M10">
        <v>28</v>
      </c>
      <c r="N10">
        <v>21</v>
      </c>
      <c r="O10">
        <v>14</v>
      </c>
      <c r="P10">
        <v>0</v>
      </c>
      <c r="Q10" t="s">
        <v>15</v>
      </c>
      <c r="R10">
        <v>23</v>
      </c>
      <c r="S10" t="s">
        <v>53</v>
      </c>
      <c r="T10">
        <v>49</v>
      </c>
      <c r="U10">
        <v>39</v>
      </c>
      <c r="V10">
        <v>13</v>
      </c>
      <c r="W10">
        <v>0</v>
      </c>
      <c r="X10">
        <v>24</v>
      </c>
      <c r="Y10">
        <v>40</v>
      </c>
      <c r="Z10" t="s">
        <v>55</v>
      </c>
      <c r="AA10">
        <v>14</v>
      </c>
      <c r="AB10">
        <v>10.5</v>
      </c>
      <c r="AC10">
        <v>15</v>
      </c>
      <c r="AD10">
        <v>0</v>
      </c>
      <c r="AE10">
        <v>12</v>
      </c>
      <c r="AF10">
        <v>14</v>
      </c>
      <c r="AG10" t="s">
        <v>135</v>
      </c>
      <c r="AH10" s="1">
        <f t="shared" si="1"/>
        <v>63</v>
      </c>
      <c r="AI10" s="1">
        <f t="shared" si="2"/>
        <v>50</v>
      </c>
      <c r="AJ10" s="1">
        <f t="shared" si="3"/>
        <v>28</v>
      </c>
      <c r="AK10" s="1">
        <f t="shared" si="4"/>
        <v>0</v>
      </c>
      <c r="AL10" s="1">
        <f t="shared" si="5"/>
        <v>36</v>
      </c>
      <c r="AM10" s="1">
        <f t="shared" si="6"/>
        <v>54</v>
      </c>
      <c r="AN10" t="s">
        <v>53</v>
      </c>
      <c r="AO10" t="s">
        <v>62</v>
      </c>
      <c r="AP10" t="s">
        <v>63</v>
      </c>
      <c r="AQ10" t="s">
        <v>64</v>
      </c>
      <c r="AR10" t="s">
        <v>79</v>
      </c>
      <c r="AS10" t="s">
        <v>80</v>
      </c>
      <c r="AT10" t="s">
        <v>67</v>
      </c>
    </row>
    <row r="11" spans="1:46">
      <c r="A11">
        <v>10</v>
      </c>
      <c r="B11" t="s">
        <v>11</v>
      </c>
      <c r="C11">
        <v>16968</v>
      </c>
      <c r="D11" t="s">
        <v>23</v>
      </c>
      <c r="E11" t="s">
        <v>13</v>
      </c>
      <c r="F11">
        <v>22</v>
      </c>
      <c r="G11">
        <v>32</v>
      </c>
      <c r="H11">
        <v>19</v>
      </c>
      <c r="I11">
        <v>0</v>
      </c>
      <c r="J11">
        <v>22</v>
      </c>
      <c r="K11">
        <v>26</v>
      </c>
      <c r="L11" t="s">
        <v>52</v>
      </c>
      <c r="M11">
        <v>26</v>
      </c>
      <c r="N11">
        <v>20</v>
      </c>
      <c r="O11">
        <v>16</v>
      </c>
      <c r="P11">
        <v>0</v>
      </c>
      <c r="Q11">
        <v>23</v>
      </c>
      <c r="R11">
        <v>22</v>
      </c>
      <c r="S11" t="s">
        <v>53</v>
      </c>
      <c r="T11">
        <v>52</v>
      </c>
      <c r="U11">
        <v>49</v>
      </c>
      <c r="V11">
        <v>50</v>
      </c>
      <c r="W11">
        <v>0</v>
      </c>
      <c r="X11">
        <v>51</v>
      </c>
      <c r="Y11">
        <v>42</v>
      </c>
      <c r="Z11" t="s">
        <v>55</v>
      </c>
      <c r="AA11">
        <v>13</v>
      </c>
      <c r="AB11">
        <v>6.5</v>
      </c>
      <c r="AC11">
        <v>4</v>
      </c>
      <c r="AD11">
        <v>0</v>
      </c>
      <c r="AE11" t="s">
        <v>15</v>
      </c>
      <c r="AF11">
        <v>9</v>
      </c>
      <c r="AG11" t="s">
        <v>135</v>
      </c>
      <c r="AH11" s="1">
        <f t="shared" si="1"/>
        <v>65</v>
      </c>
      <c r="AI11" s="1">
        <f t="shared" si="2"/>
        <v>56</v>
      </c>
      <c r="AJ11" s="1">
        <f t="shared" si="3"/>
        <v>54</v>
      </c>
      <c r="AK11" s="1">
        <f t="shared" si="4"/>
        <v>0</v>
      </c>
      <c r="AL11" s="1">
        <f t="shared" si="5"/>
        <v>51</v>
      </c>
      <c r="AM11" s="1">
        <f t="shared" si="6"/>
        <v>51</v>
      </c>
    </row>
    <row r="12" spans="1:46">
      <c r="A12">
        <v>11</v>
      </c>
      <c r="B12" t="s">
        <v>11</v>
      </c>
      <c r="C12">
        <v>14616</v>
      </c>
      <c r="D12" t="s">
        <v>24</v>
      </c>
      <c r="E12" t="s">
        <v>13</v>
      </c>
      <c r="F12">
        <v>27.5</v>
      </c>
      <c r="G12">
        <v>24</v>
      </c>
      <c r="H12">
        <v>14</v>
      </c>
      <c r="I12">
        <v>0</v>
      </c>
      <c r="J12">
        <v>16</v>
      </c>
      <c r="K12">
        <v>14</v>
      </c>
      <c r="L12" t="s">
        <v>52</v>
      </c>
      <c r="M12">
        <v>24.5</v>
      </c>
      <c r="N12">
        <v>24</v>
      </c>
      <c r="O12">
        <v>11</v>
      </c>
      <c r="P12">
        <v>0</v>
      </c>
      <c r="Q12">
        <v>21</v>
      </c>
      <c r="R12">
        <v>17</v>
      </c>
      <c r="S12" t="s">
        <v>53</v>
      </c>
      <c r="T12">
        <v>48.5</v>
      </c>
      <c r="U12">
        <v>43</v>
      </c>
      <c r="V12">
        <v>37</v>
      </c>
      <c r="W12">
        <v>0</v>
      </c>
      <c r="X12">
        <v>39</v>
      </c>
      <c r="Y12">
        <v>41</v>
      </c>
      <c r="Z12" t="s">
        <v>55</v>
      </c>
      <c r="AA12">
        <v>14.5</v>
      </c>
      <c r="AB12">
        <v>9.5</v>
      </c>
      <c r="AC12">
        <v>14</v>
      </c>
      <c r="AD12">
        <v>0</v>
      </c>
      <c r="AE12">
        <v>15</v>
      </c>
      <c r="AF12">
        <v>16</v>
      </c>
      <c r="AG12" t="s">
        <v>135</v>
      </c>
      <c r="AH12" s="1">
        <f t="shared" si="1"/>
        <v>63</v>
      </c>
      <c r="AI12" s="1">
        <f t="shared" si="2"/>
        <v>53</v>
      </c>
      <c r="AJ12" s="1">
        <f t="shared" si="3"/>
        <v>51</v>
      </c>
      <c r="AK12" s="1">
        <f t="shared" si="4"/>
        <v>0</v>
      </c>
      <c r="AL12" s="1">
        <f t="shared" si="5"/>
        <v>54</v>
      </c>
      <c r="AM12" s="1">
        <f t="shared" si="6"/>
        <v>57</v>
      </c>
      <c r="AN12" t="s">
        <v>53</v>
      </c>
      <c r="AO12" t="s">
        <v>62</v>
      </c>
      <c r="AP12" t="s">
        <v>63</v>
      </c>
      <c r="AQ12" t="s">
        <v>64</v>
      </c>
      <c r="AR12" t="s">
        <v>70</v>
      </c>
      <c r="AS12" t="s">
        <v>81</v>
      </c>
      <c r="AT12" t="s">
        <v>67</v>
      </c>
    </row>
    <row r="13" spans="1:46">
      <c r="A13">
        <v>12</v>
      </c>
      <c r="B13" t="s">
        <v>11</v>
      </c>
      <c r="C13">
        <v>18048</v>
      </c>
      <c r="D13" t="s">
        <v>25</v>
      </c>
      <c r="E13" t="s">
        <v>13</v>
      </c>
      <c r="F13">
        <v>30.5</v>
      </c>
      <c r="G13">
        <v>30</v>
      </c>
      <c r="H13" t="s">
        <v>15</v>
      </c>
      <c r="I13">
        <v>0</v>
      </c>
      <c r="J13" t="s">
        <v>15</v>
      </c>
      <c r="K13" t="s">
        <v>15</v>
      </c>
      <c r="L13" t="s">
        <v>52</v>
      </c>
      <c r="M13">
        <v>29.5</v>
      </c>
      <c r="N13">
        <v>31</v>
      </c>
      <c r="O13">
        <v>17</v>
      </c>
      <c r="P13">
        <v>0</v>
      </c>
      <c r="Q13">
        <v>29</v>
      </c>
      <c r="R13">
        <v>26</v>
      </c>
      <c r="S13" t="s">
        <v>53</v>
      </c>
      <c r="T13" t="s">
        <v>15</v>
      </c>
      <c r="U13" t="s">
        <v>15</v>
      </c>
      <c r="V13">
        <v>42</v>
      </c>
      <c r="W13">
        <v>0</v>
      </c>
      <c r="X13">
        <v>55</v>
      </c>
      <c r="Y13">
        <v>49</v>
      </c>
      <c r="Z13" t="s">
        <v>55</v>
      </c>
      <c r="AA13">
        <v>13</v>
      </c>
      <c r="AB13">
        <v>15</v>
      </c>
      <c r="AC13">
        <v>17</v>
      </c>
      <c r="AD13">
        <v>0</v>
      </c>
      <c r="AE13">
        <v>17</v>
      </c>
      <c r="AF13">
        <v>16</v>
      </c>
      <c r="AG13" t="s">
        <v>135</v>
      </c>
      <c r="AH13" s="1">
        <f t="shared" si="1"/>
        <v>13</v>
      </c>
      <c r="AI13" s="1">
        <f t="shared" si="2"/>
        <v>15</v>
      </c>
      <c r="AJ13" s="1">
        <f t="shared" si="3"/>
        <v>59</v>
      </c>
      <c r="AK13" s="1">
        <f t="shared" si="4"/>
        <v>0</v>
      </c>
      <c r="AL13" s="1">
        <f t="shared" si="5"/>
        <v>72</v>
      </c>
      <c r="AM13" s="1">
        <f t="shared" si="6"/>
        <v>65</v>
      </c>
      <c r="AN13" t="s">
        <v>53</v>
      </c>
      <c r="AO13" t="s">
        <v>62</v>
      </c>
      <c r="AP13" t="s">
        <v>63</v>
      </c>
      <c r="AQ13" t="s">
        <v>64</v>
      </c>
      <c r="AR13" t="s">
        <v>82</v>
      </c>
      <c r="AS13" t="s">
        <v>83</v>
      </c>
      <c r="AT13" t="s">
        <v>84</v>
      </c>
    </row>
    <row r="14" spans="1:46">
      <c r="A14">
        <v>13</v>
      </c>
      <c r="B14" t="s">
        <v>11</v>
      </c>
      <c r="C14">
        <v>16796</v>
      </c>
      <c r="D14" t="s">
        <v>26</v>
      </c>
      <c r="E14" t="s">
        <v>13</v>
      </c>
      <c r="F14">
        <v>33</v>
      </c>
      <c r="G14">
        <v>32</v>
      </c>
      <c r="H14">
        <v>22</v>
      </c>
      <c r="I14">
        <v>0</v>
      </c>
      <c r="J14">
        <v>32</v>
      </c>
      <c r="K14">
        <v>30</v>
      </c>
      <c r="L14" t="s">
        <v>52</v>
      </c>
      <c r="M14">
        <v>36</v>
      </c>
      <c r="N14">
        <v>34</v>
      </c>
      <c r="O14">
        <v>20</v>
      </c>
      <c r="P14">
        <v>0</v>
      </c>
      <c r="Q14">
        <v>37</v>
      </c>
      <c r="R14">
        <v>33</v>
      </c>
      <c r="S14" t="s">
        <v>53</v>
      </c>
      <c r="T14">
        <v>60</v>
      </c>
      <c r="U14">
        <v>58</v>
      </c>
      <c r="V14">
        <v>56</v>
      </c>
      <c r="W14">
        <v>0</v>
      </c>
      <c r="X14">
        <v>53</v>
      </c>
      <c r="Y14">
        <v>64</v>
      </c>
      <c r="Z14" t="s">
        <v>55</v>
      </c>
      <c r="AA14">
        <v>20</v>
      </c>
      <c r="AB14">
        <v>6.5</v>
      </c>
      <c r="AC14">
        <v>12</v>
      </c>
      <c r="AD14">
        <v>0</v>
      </c>
      <c r="AE14">
        <v>16</v>
      </c>
      <c r="AF14">
        <v>17</v>
      </c>
      <c r="AG14" t="s">
        <v>135</v>
      </c>
      <c r="AH14" s="1">
        <f t="shared" si="1"/>
        <v>80</v>
      </c>
      <c r="AI14" s="1">
        <f t="shared" si="2"/>
        <v>65</v>
      </c>
      <c r="AJ14" s="1">
        <f t="shared" si="3"/>
        <v>68</v>
      </c>
      <c r="AK14" s="1">
        <f t="shared" si="4"/>
        <v>0</v>
      </c>
      <c r="AL14" s="1">
        <f t="shared" si="5"/>
        <v>69</v>
      </c>
      <c r="AM14" s="1">
        <f t="shared" si="6"/>
        <v>81</v>
      </c>
      <c r="AN14" t="s">
        <v>53</v>
      </c>
      <c r="AO14" t="s">
        <v>62</v>
      </c>
      <c r="AP14" t="s">
        <v>63</v>
      </c>
      <c r="AQ14" t="s">
        <v>64</v>
      </c>
      <c r="AR14" t="s">
        <v>85</v>
      </c>
      <c r="AS14" t="s">
        <v>86</v>
      </c>
      <c r="AT14" t="s">
        <v>67</v>
      </c>
    </row>
    <row r="15" spans="1:46">
      <c r="A15">
        <v>14</v>
      </c>
      <c r="B15" t="s">
        <v>11</v>
      </c>
      <c r="C15">
        <v>14657</v>
      </c>
      <c r="D15" t="s">
        <v>27</v>
      </c>
      <c r="E15" t="s">
        <v>13</v>
      </c>
      <c r="F15">
        <v>30</v>
      </c>
      <c r="G15">
        <v>33</v>
      </c>
      <c r="H15">
        <v>26</v>
      </c>
      <c r="I15">
        <v>0</v>
      </c>
      <c r="J15">
        <v>32</v>
      </c>
      <c r="K15">
        <v>27</v>
      </c>
      <c r="L15" t="s">
        <v>52</v>
      </c>
      <c r="M15">
        <v>33</v>
      </c>
      <c r="N15">
        <v>32</v>
      </c>
      <c r="O15">
        <v>13</v>
      </c>
      <c r="P15">
        <v>0</v>
      </c>
      <c r="Q15">
        <v>32</v>
      </c>
      <c r="R15">
        <v>22</v>
      </c>
      <c r="S15" t="s">
        <v>53</v>
      </c>
      <c r="T15">
        <v>62</v>
      </c>
      <c r="U15">
        <v>56</v>
      </c>
      <c r="V15">
        <v>53</v>
      </c>
      <c r="W15">
        <v>0</v>
      </c>
      <c r="X15">
        <v>56</v>
      </c>
      <c r="Y15">
        <v>65</v>
      </c>
      <c r="Z15" t="s">
        <v>55</v>
      </c>
      <c r="AA15">
        <v>19</v>
      </c>
      <c r="AB15">
        <v>11.5</v>
      </c>
      <c r="AC15">
        <v>15</v>
      </c>
      <c r="AD15">
        <v>0</v>
      </c>
      <c r="AE15">
        <v>14</v>
      </c>
      <c r="AF15">
        <v>16</v>
      </c>
      <c r="AG15" t="s">
        <v>135</v>
      </c>
      <c r="AH15" s="1">
        <f t="shared" si="1"/>
        <v>81</v>
      </c>
      <c r="AI15" s="1">
        <f t="shared" si="2"/>
        <v>68</v>
      </c>
      <c r="AJ15" s="1">
        <f t="shared" si="3"/>
        <v>68</v>
      </c>
      <c r="AK15" s="1">
        <f t="shared" si="4"/>
        <v>0</v>
      </c>
      <c r="AL15" s="1">
        <f t="shared" si="5"/>
        <v>70</v>
      </c>
      <c r="AM15" s="1">
        <f t="shared" si="6"/>
        <v>81</v>
      </c>
      <c r="AN15" t="s">
        <v>53</v>
      </c>
      <c r="AO15" t="s">
        <v>62</v>
      </c>
      <c r="AP15" t="s">
        <v>63</v>
      </c>
      <c r="AQ15" t="s">
        <v>64</v>
      </c>
      <c r="AR15" t="s">
        <v>70</v>
      </c>
      <c r="AS15" t="s">
        <v>87</v>
      </c>
      <c r="AT15" t="s">
        <v>67</v>
      </c>
    </row>
    <row r="16" spans="1:46">
      <c r="A16">
        <v>15</v>
      </c>
      <c r="B16" t="s">
        <v>11</v>
      </c>
      <c r="C16">
        <v>16981</v>
      </c>
      <c r="D16" t="s">
        <v>28</v>
      </c>
      <c r="E16" t="s">
        <v>13</v>
      </c>
      <c r="F16">
        <v>28</v>
      </c>
      <c r="G16">
        <v>38</v>
      </c>
      <c r="H16">
        <v>34</v>
      </c>
      <c r="I16">
        <v>0</v>
      </c>
      <c r="J16">
        <v>30</v>
      </c>
      <c r="K16">
        <v>35</v>
      </c>
      <c r="L16" t="s">
        <v>52</v>
      </c>
      <c r="M16">
        <v>33.5</v>
      </c>
      <c r="N16">
        <v>38</v>
      </c>
      <c r="O16">
        <v>32</v>
      </c>
      <c r="P16">
        <v>0</v>
      </c>
      <c r="Q16">
        <v>36</v>
      </c>
      <c r="R16">
        <v>40</v>
      </c>
      <c r="S16" t="s">
        <v>53</v>
      </c>
      <c r="T16">
        <v>67</v>
      </c>
      <c r="U16">
        <v>74</v>
      </c>
      <c r="V16">
        <v>66</v>
      </c>
      <c r="W16">
        <v>0</v>
      </c>
      <c r="X16">
        <v>59</v>
      </c>
      <c r="Y16">
        <v>75</v>
      </c>
      <c r="Z16" t="s">
        <v>55</v>
      </c>
      <c r="AA16">
        <v>16</v>
      </c>
      <c r="AB16">
        <v>18</v>
      </c>
      <c r="AC16">
        <v>18</v>
      </c>
      <c r="AD16">
        <v>0</v>
      </c>
      <c r="AE16">
        <v>15</v>
      </c>
      <c r="AF16">
        <v>19</v>
      </c>
      <c r="AG16" t="s">
        <v>135</v>
      </c>
      <c r="AH16" s="1">
        <f t="shared" si="1"/>
        <v>83</v>
      </c>
      <c r="AI16" s="1">
        <f t="shared" si="2"/>
        <v>92</v>
      </c>
      <c r="AJ16" s="1">
        <f t="shared" si="3"/>
        <v>84</v>
      </c>
      <c r="AK16" s="1">
        <f t="shared" si="4"/>
        <v>0</v>
      </c>
      <c r="AL16" s="1">
        <f t="shared" si="5"/>
        <v>74</v>
      </c>
      <c r="AM16" s="1">
        <f t="shared" si="6"/>
        <v>94</v>
      </c>
      <c r="AN16" t="s">
        <v>53</v>
      </c>
      <c r="AO16" t="s">
        <v>62</v>
      </c>
      <c r="AP16" t="s">
        <v>63</v>
      </c>
      <c r="AQ16" t="s">
        <v>64</v>
      </c>
      <c r="AR16" t="s">
        <v>68</v>
      </c>
      <c r="AS16" t="s">
        <v>88</v>
      </c>
      <c r="AT16" t="s">
        <v>67</v>
      </c>
    </row>
    <row r="17" spans="1:46">
      <c r="A17">
        <v>16</v>
      </c>
      <c r="B17" t="s">
        <v>11</v>
      </c>
      <c r="C17">
        <v>14700</v>
      </c>
      <c r="D17" t="s">
        <v>29</v>
      </c>
      <c r="E17" t="s">
        <v>13</v>
      </c>
      <c r="F17">
        <v>26</v>
      </c>
      <c r="G17">
        <v>28</v>
      </c>
      <c r="H17">
        <v>7</v>
      </c>
      <c r="I17">
        <v>18</v>
      </c>
      <c r="J17">
        <v>10</v>
      </c>
      <c r="K17">
        <v>0</v>
      </c>
      <c r="L17" t="s">
        <v>52</v>
      </c>
      <c r="M17">
        <v>31.5</v>
      </c>
      <c r="N17">
        <v>25</v>
      </c>
      <c r="O17">
        <v>12</v>
      </c>
      <c r="P17">
        <v>16</v>
      </c>
      <c r="Q17" t="s">
        <v>15</v>
      </c>
      <c r="R17">
        <v>0</v>
      </c>
      <c r="S17" t="s">
        <v>53</v>
      </c>
      <c r="T17">
        <v>54.5</v>
      </c>
      <c r="U17">
        <v>27</v>
      </c>
      <c r="V17">
        <v>20</v>
      </c>
      <c r="W17">
        <v>18</v>
      </c>
      <c r="X17">
        <v>8</v>
      </c>
      <c r="Y17">
        <v>0</v>
      </c>
      <c r="Z17" t="s">
        <v>55</v>
      </c>
      <c r="AA17">
        <v>10</v>
      </c>
      <c r="AB17">
        <v>5.5</v>
      </c>
      <c r="AC17">
        <v>4</v>
      </c>
      <c r="AD17">
        <v>5</v>
      </c>
      <c r="AE17" t="s">
        <v>15</v>
      </c>
      <c r="AF17">
        <v>0</v>
      </c>
      <c r="AG17" t="s">
        <v>135</v>
      </c>
      <c r="AH17" s="1">
        <f t="shared" si="1"/>
        <v>65</v>
      </c>
      <c r="AI17" s="1">
        <f t="shared" si="2"/>
        <v>33</v>
      </c>
      <c r="AJ17" s="1">
        <f t="shared" si="3"/>
        <v>24</v>
      </c>
      <c r="AK17" s="1">
        <f t="shared" si="4"/>
        <v>23</v>
      </c>
      <c r="AL17" s="1">
        <f t="shared" si="5"/>
        <v>8</v>
      </c>
      <c r="AM17" s="1">
        <f t="shared" si="6"/>
        <v>0</v>
      </c>
      <c r="AN17" t="s">
        <v>53</v>
      </c>
      <c r="AO17" t="s">
        <v>62</v>
      </c>
      <c r="AP17" t="s">
        <v>63</v>
      </c>
      <c r="AQ17" t="s">
        <v>64</v>
      </c>
      <c r="AR17" t="s">
        <v>89</v>
      </c>
      <c r="AS17" t="s">
        <v>90</v>
      </c>
      <c r="AT17" t="s">
        <v>91</v>
      </c>
    </row>
    <row r="18" spans="1:46">
      <c r="A18">
        <v>17</v>
      </c>
      <c r="B18" t="s">
        <v>11</v>
      </c>
      <c r="C18">
        <v>14732</v>
      </c>
      <c r="D18" t="s">
        <v>30</v>
      </c>
      <c r="E18" t="s">
        <v>13</v>
      </c>
      <c r="F18">
        <v>21.5</v>
      </c>
      <c r="G18">
        <v>16</v>
      </c>
      <c r="H18">
        <v>2</v>
      </c>
      <c r="I18">
        <v>10</v>
      </c>
      <c r="J18">
        <v>12</v>
      </c>
      <c r="K18">
        <v>0</v>
      </c>
      <c r="L18" t="s">
        <v>52</v>
      </c>
      <c r="M18">
        <v>23</v>
      </c>
      <c r="N18">
        <v>19</v>
      </c>
      <c r="O18">
        <v>11</v>
      </c>
      <c r="P18">
        <v>10</v>
      </c>
      <c r="Q18">
        <v>14</v>
      </c>
      <c r="R18">
        <v>0</v>
      </c>
      <c r="S18" t="s">
        <v>53</v>
      </c>
      <c r="T18">
        <v>29.5</v>
      </c>
      <c r="U18">
        <v>22</v>
      </c>
      <c r="V18">
        <v>17</v>
      </c>
      <c r="W18">
        <v>28</v>
      </c>
      <c r="X18">
        <v>17</v>
      </c>
      <c r="Y18">
        <v>0</v>
      </c>
      <c r="Z18" t="s">
        <v>55</v>
      </c>
      <c r="AA18">
        <v>5</v>
      </c>
      <c r="AB18">
        <v>6.5</v>
      </c>
      <c r="AC18">
        <v>4</v>
      </c>
      <c r="AD18">
        <v>5</v>
      </c>
      <c r="AE18">
        <v>14</v>
      </c>
      <c r="AF18">
        <v>0</v>
      </c>
      <c r="AG18" t="s">
        <v>135</v>
      </c>
      <c r="AH18" s="1">
        <f t="shared" si="1"/>
        <v>35</v>
      </c>
      <c r="AI18" s="1">
        <f t="shared" si="2"/>
        <v>29</v>
      </c>
      <c r="AJ18" s="1">
        <f t="shared" si="3"/>
        <v>21</v>
      </c>
      <c r="AK18" s="1">
        <f t="shared" si="4"/>
        <v>33</v>
      </c>
      <c r="AL18" s="1">
        <f t="shared" si="5"/>
        <v>31</v>
      </c>
      <c r="AM18" s="1">
        <f t="shared" si="6"/>
        <v>0</v>
      </c>
      <c r="AN18" t="s">
        <v>53</v>
      </c>
      <c r="AO18" t="s">
        <v>62</v>
      </c>
      <c r="AP18" t="s">
        <v>63</v>
      </c>
      <c r="AQ18" t="s">
        <v>64</v>
      </c>
      <c r="AR18" t="s">
        <v>92</v>
      </c>
      <c r="AS18" t="s">
        <v>93</v>
      </c>
      <c r="AT18" t="s">
        <v>67</v>
      </c>
    </row>
    <row r="19" spans="1:46">
      <c r="A19">
        <v>18</v>
      </c>
      <c r="B19" t="s">
        <v>11</v>
      </c>
      <c r="C19">
        <v>18084</v>
      </c>
      <c r="D19" t="s">
        <v>31</v>
      </c>
      <c r="E19" t="s">
        <v>13</v>
      </c>
      <c r="F19">
        <v>24.5</v>
      </c>
      <c r="G19">
        <v>21</v>
      </c>
      <c r="H19">
        <v>3</v>
      </c>
      <c r="I19" t="s">
        <v>15</v>
      </c>
      <c r="J19">
        <v>9</v>
      </c>
      <c r="K19">
        <v>0</v>
      </c>
      <c r="L19" t="s">
        <v>52</v>
      </c>
      <c r="M19" t="s">
        <v>15</v>
      </c>
      <c r="N19">
        <v>19</v>
      </c>
      <c r="O19">
        <v>14</v>
      </c>
      <c r="P19">
        <v>23</v>
      </c>
      <c r="Q19">
        <v>21</v>
      </c>
      <c r="R19">
        <v>0</v>
      </c>
      <c r="S19" t="s">
        <v>53</v>
      </c>
      <c r="T19" t="s">
        <v>15</v>
      </c>
      <c r="U19">
        <v>24</v>
      </c>
      <c r="V19">
        <v>29</v>
      </c>
      <c r="W19">
        <v>25</v>
      </c>
      <c r="X19">
        <v>21</v>
      </c>
      <c r="Y19">
        <v>0</v>
      </c>
      <c r="Z19" t="s">
        <v>55</v>
      </c>
      <c r="AA19">
        <v>12</v>
      </c>
      <c r="AB19">
        <v>8.5</v>
      </c>
      <c r="AC19">
        <v>15</v>
      </c>
      <c r="AD19">
        <v>29</v>
      </c>
      <c r="AE19">
        <v>10</v>
      </c>
      <c r="AF19">
        <v>0</v>
      </c>
      <c r="AG19" t="s">
        <v>135</v>
      </c>
      <c r="AH19" s="1">
        <f t="shared" si="1"/>
        <v>12</v>
      </c>
      <c r="AI19" s="1">
        <f t="shared" si="2"/>
        <v>33</v>
      </c>
      <c r="AJ19" s="1">
        <f t="shared" si="3"/>
        <v>44</v>
      </c>
      <c r="AK19" s="1">
        <f t="shared" si="4"/>
        <v>54</v>
      </c>
      <c r="AL19" s="1">
        <f t="shared" si="5"/>
        <v>31</v>
      </c>
      <c r="AM19" s="1">
        <f t="shared" si="6"/>
        <v>0</v>
      </c>
      <c r="AN19" t="s">
        <v>53</v>
      </c>
      <c r="AO19" t="s">
        <v>62</v>
      </c>
      <c r="AP19" t="s">
        <v>63</v>
      </c>
      <c r="AQ19" t="s">
        <v>64</v>
      </c>
      <c r="AR19" t="s">
        <v>94</v>
      </c>
      <c r="AS19" t="s">
        <v>95</v>
      </c>
      <c r="AT19" t="s">
        <v>96</v>
      </c>
    </row>
    <row r="20" spans="1:46">
      <c r="A20">
        <v>19</v>
      </c>
      <c r="B20" t="s">
        <v>11</v>
      </c>
      <c r="C20">
        <v>15435</v>
      </c>
      <c r="D20" t="s">
        <v>32</v>
      </c>
      <c r="E20" t="s">
        <v>13</v>
      </c>
      <c r="F20">
        <v>21.5</v>
      </c>
      <c r="G20">
        <v>26</v>
      </c>
      <c r="H20">
        <v>16</v>
      </c>
      <c r="I20">
        <v>23</v>
      </c>
      <c r="J20">
        <v>23</v>
      </c>
      <c r="K20">
        <v>0</v>
      </c>
      <c r="L20" t="s">
        <v>52</v>
      </c>
      <c r="M20">
        <v>24</v>
      </c>
      <c r="N20">
        <v>23</v>
      </c>
      <c r="O20">
        <v>9</v>
      </c>
      <c r="P20">
        <v>23</v>
      </c>
      <c r="Q20">
        <v>26</v>
      </c>
      <c r="R20">
        <v>0</v>
      </c>
      <c r="S20" t="s">
        <v>53</v>
      </c>
      <c r="T20">
        <v>46.5</v>
      </c>
      <c r="U20">
        <v>28</v>
      </c>
      <c r="V20">
        <v>35</v>
      </c>
      <c r="W20">
        <v>33</v>
      </c>
      <c r="X20">
        <v>42</v>
      </c>
      <c r="Y20">
        <v>0</v>
      </c>
      <c r="Z20" t="s">
        <v>55</v>
      </c>
      <c r="AA20">
        <v>13</v>
      </c>
      <c r="AB20">
        <v>4</v>
      </c>
      <c r="AC20">
        <v>14</v>
      </c>
      <c r="AD20">
        <v>30</v>
      </c>
      <c r="AE20">
        <v>2</v>
      </c>
      <c r="AF20">
        <v>0</v>
      </c>
      <c r="AG20" t="s">
        <v>135</v>
      </c>
      <c r="AH20" s="1">
        <f t="shared" si="1"/>
        <v>60</v>
      </c>
      <c r="AI20" s="1">
        <f t="shared" si="2"/>
        <v>32</v>
      </c>
      <c r="AJ20" s="1">
        <f t="shared" si="3"/>
        <v>49</v>
      </c>
      <c r="AK20" s="1">
        <f t="shared" si="4"/>
        <v>63</v>
      </c>
      <c r="AL20" s="1">
        <f t="shared" si="5"/>
        <v>44</v>
      </c>
      <c r="AM20" s="1">
        <f t="shared" si="6"/>
        <v>0</v>
      </c>
      <c r="AN20" t="s">
        <v>53</v>
      </c>
      <c r="AO20" t="s">
        <v>62</v>
      </c>
      <c r="AP20" t="s">
        <v>63</v>
      </c>
      <c r="AQ20" t="s">
        <v>64</v>
      </c>
      <c r="AR20" t="s">
        <v>97</v>
      </c>
      <c r="AS20" t="s">
        <v>98</v>
      </c>
      <c r="AT20" t="s">
        <v>99</v>
      </c>
    </row>
    <row r="21" spans="1:46">
      <c r="A21">
        <v>20</v>
      </c>
      <c r="B21" t="s">
        <v>11</v>
      </c>
      <c r="C21">
        <v>14572</v>
      </c>
      <c r="D21" t="s">
        <v>33</v>
      </c>
      <c r="E21" t="s">
        <v>13</v>
      </c>
      <c r="F21">
        <v>19.5</v>
      </c>
      <c r="G21">
        <v>19</v>
      </c>
      <c r="H21">
        <v>9</v>
      </c>
      <c r="I21">
        <v>14</v>
      </c>
      <c r="J21">
        <v>14</v>
      </c>
      <c r="K21">
        <v>0</v>
      </c>
      <c r="L21" t="s">
        <v>52</v>
      </c>
      <c r="M21">
        <v>23.5</v>
      </c>
      <c r="N21">
        <v>18</v>
      </c>
      <c r="O21">
        <v>14</v>
      </c>
      <c r="P21">
        <v>20</v>
      </c>
      <c r="Q21">
        <v>14</v>
      </c>
      <c r="R21">
        <v>0</v>
      </c>
      <c r="S21" t="s">
        <v>53</v>
      </c>
      <c r="T21">
        <v>0</v>
      </c>
      <c r="U21">
        <v>28</v>
      </c>
      <c r="V21">
        <v>32</v>
      </c>
      <c r="W21" t="s">
        <v>54</v>
      </c>
      <c r="X21">
        <v>19</v>
      </c>
      <c r="Y21">
        <v>0</v>
      </c>
      <c r="Z21" t="s">
        <v>55</v>
      </c>
      <c r="AA21">
        <v>5</v>
      </c>
      <c r="AB21">
        <v>11</v>
      </c>
      <c r="AC21">
        <v>14</v>
      </c>
      <c r="AD21">
        <v>10</v>
      </c>
      <c r="AE21">
        <v>15</v>
      </c>
      <c r="AF21">
        <v>0</v>
      </c>
      <c r="AG21" t="s">
        <v>135</v>
      </c>
      <c r="AH21" s="1">
        <f t="shared" si="1"/>
        <v>5</v>
      </c>
      <c r="AI21" s="1">
        <f t="shared" si="2"/>
        <v>39</v>
      </c>
      <c r="AJ21" s="1">
        <f t="shared" si="3"/>
        <v>46</v>
      </c>
      <c r="AK21" s="1">
        <f t="shared" si="4"/>
        <v>10</v>
      </c>
      <c r="AL21" s="1">
        <f t="shared" si="5"/>
        <v>34</v>
      </c>
      <c r="AM21" s="1">
        <f t="shared" si="6"/>
        <v>0</v>
      </c>
      <c r="AN21" t="s">
        <v>53</v>
      </c>
      <c r="AO21" t="s">
        <v>62</v>
      </c>
      <c r="AP21" t="s">
        <v>63</v>
      </c>
      <c r="AQ21" t="s">
        <v>64</v>
      </c>
      <c r="AR21" t="s">
        <v>100</v>
      </c>
      <c r="AS21" t="s">
        <v>101</v>
      </c>
      <c r="AT21" t="s">
        <v>102</v>
      </c>
    </row>
    <row r="22" spans="1:46">
      <c r="A22">
        <v>21</v>
      </c>
      <c r="B22" t="s">
        <v>11</v>
      </c>
      <c r="C22">
        <v>14776</v>
      </c>
      <c r="D22" t="s">
        <v>34</v>
      </c>
      <c r="E22" t="s">
        <v>13</v>
      </c>
      <c r="F22">
        <v>20.5</v>
      </c>
      <c r="G22">
        <v>36</v>
      </c>
      <c r="H22" t="s">
        <v>15</v>
      </c>
      <c r="I22">
        <v>28</v>
      </c>
      <c r="J22">
        <v>19</v>
      </c>
      <c r="K22">
        <v>0</v>
      </c>
      <c r="L22" t="s">
        <v>52</v>
      </c>
      <c r="M22">
        <v>29.5</v>
      </c>
      <c r="N22">
        <v>33</v>
      </c>
      <c r="O22">
        <v>15</v>
      </c>
      <c r="P22">
        <v>19</v>
      </c>
      <c r="Q22">
        <v>22</v>
      </c>
      <c r="R22">
        <v>0</v>
      </c>
      <c r="S22" t="s">
        <v>53</v>
      </c>
      <c r="T22">
        <v>44</v>
      </c>
      <c r="U22">
        <v>66</v>
      </c>
      <c r="V22">
        <v>55</v>
      </c>
      <c r="W22">
        <v>42</v>
      </c>
      <c r="X22">
        <v>40</v>
      </c>
      <c r="Y22">
        <v>0</v>
      </c>
      <c r="Z22" t="s">
        <v>55</v>
      </c>
      <c r="AA22">
        <v>19.5</v>
      </c>
      <c r="AB22">
        <v>12</v>
      </c>
      <c r="AC22">
        <v>14</v>
      </c>
      <c r="AD22">
        <v>30</v>
      </c>
      <c r="AE22">
        <v>13</v>
      </c>
      <c r="AF22">
        <v>0</v>
      </c>
      <c r="AG22" t="s">
        <v>135</v>
      </c>
      <c r="AH22" s="1">
        <f t="shared" si="1"/>
        <v>64</v>
      </c>
      <c r="AI22" s="1">
        <f t="shared" si="2"/>
        <v>78</v>
      </c>
      <c r="AJ22" s="1">
        <f t="shared" si="3"/>
        <v>69</v>
      </c>
      <c r="AK22" s="1">
        <f t="shared" si="4"/>
        <v>72</v>
      </c>
      <c r="AL22" s="1">
        <f t="shared" si="5"/>
        <v>53</v>
      </c>
      <c r="AM22" s="1">
        <f t="shared" si="6"/>
        <v>0</v>
      </c>
      <c r="AN22" t="s">
        <v>53</v>
      </c>
      <c r="AO22" t="s">
        <v>62</v>
      </c>
      <c r="AP22" t="s">
        <v>63</v>
      </c>
      <c r="AQ22" t="s">
        <v>64</v>
      </c>
      <c r="AR22" t="s">
        <v>68</v>
      </c>
      <c r="AS22" t="s">
        <v>103</v>
      </c>
      <c r="AT22" t="s">
        <v>67</v>
      </c>
    </row>
    <row r="23" spans="1:46">
      <c r="A23">
        <v>22</v>
      </c>
      <c r="B23" t="s">
        <v>11</v>
      </c>
      <c r="C23">
        <v>14662</v>
      </c>
      <c r="D23" t="s">
        <v>35</v>
      </c>
      <c r="E23" t="s">
        <v>13</v>
      </c>
      <c r="F23">
        <v>19</v>
      </c>
      <c r="G23">
        <v>34</v>
      </c>
      <c r="H23">
        <v>16</v>
      </c>
      <c r="I23">
        <v>9</v>
      </c>
      <c r="J23">
        <v>21</v>
      </c>
      <c r="K23">
        <v>0</v>
      </c>
      <c r="L23" t="s">
        <v>52</v>
      </c>
      <c r="M23" t="s">
        <v>15</v>
      </c>
      <c r="N23">
        <v>33</v>
      </c>
      <c r="O23">
        <v>15</v>
      </c>
      <c r="P23" t="s">
        <v>15</v>
      </c>
      <c r="Q23">
        <v>24</v>
      </c>
      <c r="R23">
        <v>0</v>
      </c>
      <c r="S23" t="s">
        <v>53</v>
      </c>
      <c r="T23">
        <v>42</v>
      </c>
      <c r="U23">
        <v>64</v>
      </c>
      <c r="V23">
        <v>36</v>
      </c>
      <c r="W23">
        <v>33</v>
      </c>
      <c r="X23">
        <v>24</v>
      </c>
      <c r="Y23">
        <v>0</v>
      </c>
      <c r="Z23" t="s">
        <v>55</v>
      </c>
      <c r="AA23">
        <v>12</v>
      </c>
      <c r="AB23">
        <v>15.5</v>
      </c>
      <c r="AC23">
        <v>15</v>
      </c>
      <c r="AD23">
        <v>28</v>
      </c>
      <c r="AE23">
        <v>15</v>
      </c>
      <c r="AF23">
        <v>0</v>
      </c>
      <c r="AG23" t="s">
        <v>135</v>
      </c>
      <c r="AH23" s="1">
        <f t="shared" si="1"/>
        <v>54</v>
      </c>
      <c r="AI23" s="1">
        <f t="shared" si="2"/>
        <v>80</v>
      </c>
      <c r="AJ23" s="1">
        <f t="shared" si="3"/>
        <v>51</v>
      </c>
      <c r="AK23" s="1">
        <f t="shared" si="4"/>
        <v>61</v>
      </c>
      <c r="AL23" s="1">
        <f t="shared" si="5"/>
        <v>39</v>
      </c>
      <c r="AM23" s="1">
        <f t="shared" si="6"/>
        <v>0</v>
      </c>
      <c r="AN23" t="s">
        <v>53</v>
      </c>
      <c r="AO23" t="s">
        <v>62</v>
      </c>
      <c r="AP23" t="s">
        <v>63</v>
      </c>
      <c r="AQ23" t="s">
        <v>64</v>
      </c>
      <c r="AR23" t="s">
        <v>104</v>
      </c>
      <c r="AS23" t="s">
        <v>105</v>
      </c>
      <c r="AT23" t="s">
        <v>67</v>
      </c>
    </row>
    <row r="24" spans="1:46">
      <c r="A24">
        <v>23</v>
      </c>
      <c r="B24" t="s">
        <v>11</v>
      </c>
      <c r="C24">
        <v>17243</v>
      </c>
      <c r="D24" t="s">
        <v>36</v>
      </c>
      <c r="E24" t="s">
        <v>13</v>
      </c>
      <c r="F24">
        <v>19</v>
      </c>
      <c r="G24">
        <v>29</v>
      </c>
      <c r="H24">
        <v>8</v>
      </c>
      <c r="I24">
        <v>19</v>
      </c>
      <c r="J24">
        <v>19</v>
      </c>
      <c r="K24">
        <v>0</v>
      </c>
      <c r="L24" t="s">
        <v>52</v>
      </c>
      <c r="M24">
        <v>24</v>
      </c>
      <c r="N24">
        <v>20</v>
      </c>
      <c r="O24">
        <v>9</v>
      </c>
      <c r="P24">
        <v>23</v>
      </c>
      <c r="Q24">
        <v>25</v>
      </c>
      <c r="R24">
        <v>0</v>
      </c>
      <c r="S24" t="s">
        <v>53</v>
      </c>
      <c r="T24">
        <v>46</v>
      </c>
      <c r="U24">
        <v>45</v>
      </c>
      <c r="V24">
        <v>22</v>
      </c>
      <c r="W24">
        <v>42</v>
      </c>
      <c r="X24">
        <v>35</v>
      </c>
      <c r="Y24">
        <v>0</v>
      </c>
      <c r="Z24" t="s">
        <v>55</v>
      </c>
      <c r="AA24">
        <v>13</v>
      </c>
      <c r="AB24">
        <v>10.5</v>
      </c>
      <c r="AC24">
        <v>13</v>
      </c>
      <c r="AD24">
        <v>26</v>
      </c>
      <c r="AE24">
        <v>11</v>
      </c>
      <c r="AF24">
        <v>0</v>
      </c>
      <c r="AG24" t="s">
        <v>135</v>
      </c>
      <c r="AH24" s="1">
        <f t="shared" si="1"/>
        <v>59</v>
      </c>
      <c r="AI24" s="1">
        <f t="shared" si="2"/>
        <v>56</v>
      </c>
      <c r="AJ24" s="1">
        <f t="shared" si="3"/>
        <v>35</v>
      </c>
      <c r="AK24" s="1">
        <f t="shared" si="4"/>
        <v>68</v>
      </c>
      <c r="AL24" s="1">
        <f t="shared" si="5"/>
        <v>46</v>
      </c>
      <c r="AM24" s="1">
        <f t="shared" si="6"/>
        <v>0</v>
      </c>
      <c r="AN24" t="s">
        <v>53</v>
      </c>
      <c r="AO24" t="s">
        <v>62</v>
      </c>
      <c r="AP24" t="s">
        <v>63</v>
      </c>
      <c r="AQ24" t="s">
        <v>64</v>
      </c>
      <c r="AR24" t="s">
        <v>106</v>
      </c>
      <c r="AS24" t="s">
        <v>107</v>
      </c>
      <c r="AT24" t="s">
        <v>108</v>
      </c>
    </row>
    <row r="25" spans="1:46" s="2" customFormat="1">
      <c r="A25" s="2">
        <v>24</v>
      </c>
      <c r="B25" s="2" t="s">
        <v>11</v>
      </c>
      <c r="C25" s="2">
        <v>14640</v>
      </c>
      <c r="D25" s="2" t="s">
        <v>37</v>
      </c>
      <c r="E25" s="2" t="s">
        <v>13</v>
      </c>
      <c r="F25" s="2">
        <v>29</v>
      </c>
      <c r="G25" s="2">
        <v>31</v>
      </c>
      <c r="H25" s="2">
        <v>19</v>
      </c>
      <c r="I25" s="2">
        <v>24</v>
      </c>
      <c r="J25" s="2">
        <v>23</v>
      </c>
      <c r="K25" s="2">
        <v>0</v>
      </c>
      <c r="L25" s="2" t="s">
        <v>52</v>
      </c>
      <c r="M25" s="2">
        <v>27.5</v>
      </c>
      <c r="N25" s="2">
        <v>30</v>
      </c>
      <c r="O25" s="2">
        <v>22</v>
      </c>
      <c r="P25" s="2">
        <v>20</v>
      </c>
      <c r="Q25" s="2">
        <v>22</v>
      </c>
      <c r="R25" s="2">
        <v>0</v>
      </c>
      <c r="S25" s="2" t="s">
        <v>53</v>
      </c>
      <c r="T25" s="2">
        <v>0</v>
      </c>
      <c r="U25" s="2">
        <v>0</v>
      </c>
      <c r="V25" s="2" t="s">
        <v>54</v>
      </c>
      <c r="W25" s="2" t="s">
        <v>54</v>
      </c>
      <c r="X25" s="2">
        <v>28</v>
      </c>
      <c r="Y25" s="2">
        <v>0</v>
      </c>
      <c r="Z25" s="2" t="s">
        <v>55</v>
      </c>
      <c r="AA25" s="3">
        <v>45572</v>
      </c>
      <c r="AB25" s="2">
        <v>13.5</v>
      </c>
      <c r="AC25" s="2">
        <v>16</v>
      </c>
      <c r="AD25" s="2">
        <v>29</v>
      </c>
      <c r="AE25" s="2">
        <v>14</v>
      </c>
      <c r="AF25" s="2">
        <v>0</v>
      </c>
      <c r="AG25" s="2" t="s">
        <v>135</v>
      </c>
      <c r="AH25" s="2">
        <f t="shared" si="1"/>
        <v>45572</v>
      </c>
      <c r="AI25" s="2">
        <f t="shared" si="2"/>
        <v>14</v>
      </c>
      <c r="AJ25" s="2">
        <f t="shared" si="3"/>
        <v>16</v>
      </c>
      <c r="AK25" s="2">
        <f t="shared" si="4"/>
        <v>29</v>
      </c>
      <c r="AL25" s="2">
        <f t="shared" si="5"/>
        <v>42</v>
      </c>
      <c r="AM25" s="2">
        <f t="shared" si="6"/>
        <v>0</v>
      </c>
      <c r="AN25" s="2" t="s">
        <v>53</v>
      </c>
      <c r="AO25" s="2" t="s">
        <v>62</v>
      </c>
      <c r="AP25" s="2" t="s">
        <v>63</v>
      </c>
      <c r="AQ25" s="2" t="s">
        <v>64</v>
      </c>
      <c r="AR25" s="2" t="s">
        <v>70</v>
      </c>
      <c r="AS25" s="2" t="s">
        <v>109</v>
      </c>
      <c r="AT25" s="2" t="s">
        <v>110</v>
      </c>
    </row>
    <row r="26" spans="1:46">
      <c r="A26">
        <v>25</v>
      </c>
      <c r="B26" t="s">
        <v>11</v>
      </c>
      <c r="C26">
        <v>14639</v>
      </c>
      <c r="D26" t="s">
        <v>38</v>
      </c>
      <c r="E26" t="s">
        <v>13</v>
      </c>
      <c r="F26">
        <v>24.5</v>
      </c>
      <c r="G26">
        <v>29</v>
      </c>
      <c r="H26">
        <v>13</v>
      </c>
      <c r="I26">
        <v>23</v>
      </c>
      <c r="J26">
        <v>25</v>
      </c>
      <c r="K26">
        <v>0</v>
      </c>
      <c r="L26" t="s">
        <v>52</v>
      </c>
      <c r="M26">
        <v>20.5</v>
      </c>
      <c r="N26">
        <v>31</v>
      </c>
      <c r="O26">
        <v>20</v>
      </c>
      <c r="P26">
        <v>22</v>
      </c>
      <c r="Q26">
        <v>27</v>
      </c>
      <c r="R26">
        <v>0</v>
      </c>
      <c r="S26" t="s">
        <v>53</v>
      </c>
      <c r="T26">
        <v>47.5</v>
      </c>
      <c r="U26">
        <v>46</v>
      </c>
      <c r="V26">
        <v>53</v>
      </c>
      <c r="W26">
        <v>47</v>
      </c>
      <c r="X26">
        <v>63</v>
      </c>
      <c r="Y26">
        <v>0</v>
      </c>
      <c r="Z26" t="s">
        <v>55</v>
      </c>
      <c r="AA26">
        <v>15</v>
      </c>
      <c r="AB26">
        <v>12</v>
      </c>
      <c r="AC26">
        <v>16</v>
      </c>
      <c r="AD26">
        <v>29</v>
      </c>
      <c r="AE26">
        <v>11</v>
      </c>
      <c r="AF26">
        <v>0</v>
      </c>
      <c r="AG26" t="s">
        <v>135</v>
      </c>
      <c r="AH26" s="1">
        <f t="shared" si="1"/>
        <v>63</v>
      </c>
      <c r="AI26" s="1">
        <f t="shared" si="2"/>
        <v>58</v>
      </c>
      <c r="AJ26" s="1">
        <f t="shared" si="3"/>
        <v>69</v>
      </c>
      <c r="AK26" s="1">
        <f t="shared" si="4"/>
        <v>76</v>
      </c>
      <c r="AL26" s="1">
        <f t="shared" si="5"/>
        <v>74</v>
      </c>
      <c r="AM26" s="1">
        <f t="shared" si="6"/>
        <v>0</v>
      </c>
      <c r="AN26" t="s">
        <v>53</v>
      </c>
      <c r="AO26" t="s">
        <v>62</v>
      </c>
      <c r="AP26" t="s">
        <v>63</v>
      </c>
      <c r="AQ26" t="s">
        <v>64</v>
      </c>
      <c r="AR26" t="s">
        <v>111</v>
      </c>
      <c r="AS26" t="s">
        <v>112</v>
      </c>
      <c r="AT26" t="s">
        <v>113</v>
      </c>
    </row>
    <row r="27" spans="1:46">
      <c r="A27">
        <v>26</v>
      </c>
      <c r="B27" t="s">
        <v>11</v>
      </c>
      <c r="C27">
        <v>14664</v>
      </c>
      <c r="D27" t="s">
        <v>39</v>
      </c>
      <c r="E27" t="s">
        <v>13</v>
      </c>
      <c r="F27">
        <v>27</v>
      </c>
      <c r="G27">
        <v>31</v>
      </c>
      <c r="H27">
        <v>14</v>
      </c>
      <c r="I27">
        <v>20</v>
      </c>
      <c r="J27">
        <v>18</v>
      </c>
      <c r="K27">
        <v>0</v>
      </c>
      <c r="L27" t="s">
        <v>52</v>
      </c>
      <c r="M27">
        <v>23.5</v>
      </c>
      <c r="N27">
        <v>25</v>
      </c>
      <c r="O27">
        <v>15</v>
      </c>
      <c r="P27">
        <v>16</v>
      </c>
      <c r="Q27">
        <v>22</v>
      </c>
      <c r="R27">
        <v>0</v>
      </c>
      <c r="S27" t="s">
        <v>53</v>
      </c>
      <c r="T27">
        <v>43</v>
      </c>
      <c r="U27">
        <v>34</v>
      </c>
      <c r="V27">
        <v>43</v>
      </c>
      <c r="W27">
        <v>36</v>
      </c>
      <c r="X27">
        <v>34</v>
      </c>
      <c r="Y27">
        <v>0</v>
      </c>
      <c r="Z27" t="s">
        <v>55</v>
      </c>
      <c r="AA27">
        <v>19.5</v>
      </c>
      <c r="AB27">
        <v>10.5</v>
      </c>
      <c r="AC27">
        <v>14</v>
      </c>
      <c r="AD27">
        <v>26</v>
      </c>
      <c r="AE27">
        <v>13</v>
      </c>
      <c r="AF27">
        <v>0</v>
      </c>
      <c r="AG27" t="s">
        <v>135</v>
      </c>
      <c r="AH27" s="1">
        <f t="shared" si="1"/>
        <v>63</v>
      </c>
      <c r="AI27" s="1">
        <f t="shared" si="2"/>
        <v>45</v>
      </c>
      <c r="AJ27" s="1">
        <f t="shared" si="3"/>
        <v>57</v>
      </c>
      <c r="AK27" s="1">
        <f t="shared" si="4"/>
        <v>62</v>
      </c>
      <c r="AL27" s="1">
        <f t="shared" si="5"/>
        <v>47</v>
      </c>
      <c r="AM27" s="1">
        <f t="shared" si="6"/>
        <v>0</v>
      </c>
      <c r="AN27" t="s">
        <v>53</v>
      </c>
      <c r="AO27" t="s">
        <v>62</v>
      </c>
      <c r="AP27" t="s">
        <v>63</v>
      </c>
      <c r="AQ27" t="s">
        <v>64</v>
      </c>
      <c r="AR27" t="s">
        <v>70</v>
      </c>
      <c r="AS27" t="s">
        <v>114</v>
      </c>
      <c r="AT27" t="s">
        <v>115</v>
      </c>
    </row>
    <row r="28" spans="1:46">
      <c r="A28">
        <v>27</v>
      </c>
      <c r="B28" t="s">
        <v>11</v>
      </c>
      <c r="C28">
        <v>14605</v>
      </c>
      <c r="D28" t="s">
        <v>40</v>
      </c>
      <c r="E28" t="s">
        <v>13</v>
      </c>
      <c r="F28">
        <v>23</v>
      </c>
      <c r="G28">
        <v>20</v>
      </c>
      <c r="H28">
        <v>14</v>
      </c>
      <c r="I28">
        <v>16</v>
      </c>
      <c r="J28">
        <v>16</v>
      </c>
      <c r="K28">
        <v>0</v>
      </c>
      <c r="L28" t="s">
        <v>52</v>
      </c>
      <c r="M28">
        <v>25</v>
      </c>
      <c r="N28">
        <v>13</v>
      </c>
      <c r="O28">
        <v>7</v>
      </c>
      <c r="P28">
        <v>19</v>
      </c>
      <c r="Q28">
        <v>12</v>
      </c>
      <c r="R28">
        <v>0</v>
      </c>
      <c r="S28" t="s">
        <v>53</v>
      </c>
      <c r="T28">
        <v>41</v>
      </c>
      <c r="U28">
        <v>20</v>
      </c>
      <c r="V28">
        <v>18</v>
      </c>
      <c r="W28">
        <v>32</v>
      </c>
      <c r="X28">
        <v>29</v>
      </c>
      <c r="Y28">
        <v>0</v>
      </c>
      <c r="Z28" t="s">
        <v>55</v>
      </c>
      <c r="AA28">
        <v>15</v>
      </c>
      <c r="AB28">
        <v>6.5</v>
      </c>
      <c r="AC28">
        <v>4</v>
      </c>
      <c r="AD28">
        <v>15</v>
      </c>
      <c r="AE28">
        <v>11</v>
      </c>
      <c r="AF28">
        <v>0</v>
      </c>
      <c r="AG28" t="s">
        <v>135</v>
      </c>
      <c r="AH28" s="1">
        <f t="shared" si="1"/>
        <v>56</v>
      </c>
      <c r="AI28" s="1">
        <f t="shared" si="2"/>
        <v>27</v>
      </c>
      <c r="AJ28" s="1">
        <f t="shared" si="3"/>
        <v>22</v>
      </c>
      <c r="AK28" s="1">
        <f t="shared" si="4"/>
        <v>47</v>
      </c>
      <c r="AL28" s="1">
        <f t="shared" si="5"/>
        <v>40</v>
      </c>
      <c r="AM28" s="1">
        <f t="shared" si="6"/>
        <v>0</v>
      </c>
      <c r="AN28" t="s">
        <v>53</v>
      </c>
      <c r="AO28" t="s">
        <v>62</v>
      </c>
      <c r="AP28" t="s">
        <v>63</v>
      </c>
      <c r="AQ28" t="s">
        <v>64</v>
      </c>
      <c r="AR28" t="s">
        <v>116</v>
      </c>
      <c r="AS28" t="s">
        <v>117</v>
      </c>
      <c r="AT28" t="s">
        <v>67</v>
      </c>
    </row>
    <row r="29" spans="1:46">
      <c r="A29">
        <v>28</v>
      </c>
      <c r="B29" t="s">
        <v>11</v>
      </c>
      <c r="C29">
        <v>18804</v>
      </c>
      <c r="D29" t="s">
        <v>41</v>
      </c>
      <c r="E29" t="s">
        <v>13</v>
      </c>
      <c r="F29">
        <v>18</v>
      </c>
      <c r="G29">
        <v>16</v>
      </c>
      <c r="H29">
        <v>7</v>
      </c>
      <c r="I29">
        <v>9</v>
      </c>
      <c r="J29">
        <v>11</v>
      </c>
      <c r="K29">
        <v>0</v>
      </c>
      <c r="L29" t="s">
        <v>52</v>
      </c>
      <c r="M29">
        <v>18</v>
      </c>
      <c r="N29">
        <v>21</v>
      </c>
      <c r="O29">
        <v>7</v>
      </c>
      <c r="P29">
        <v>13</v>
      </c>
      <c r="Q29">
        <v>14</v>
      </c>
      <c r="R29">
        <v>0</v>
      </c>
      <c r="S29" t="s">
        <v>53</v>
      </c>
      <c r="T29">
        <v>35</v>
      </c>
      <c r="U29">
        <v>34</v>
      </c>
      <c r="V29">
        <v>24</v>
      </c>
      <c r="W29">
        <v>25</v>
      </c>
      <c r="X29">
        <v>17</v>
      </c>
      <c r="Y29">
        <v>0</v>
      </c>
      <c r="Z29" t="s">
        <v>55</v>
      </c>
      <c r="AA29">
        <v>11</v>
      </c>
      <c r="AB29">
        <v>7.5</v>
      </c>
      <c r="AC29">
        <v>12</v>
      </c>
      <c r="AD29">
        <v>17</v>
      </c>
      <c r="AE29">
        <v>11</v>
      </c>
      <c r="AF29">
        <v>0</v>
      </c>
      <c r="AG29" t="s">
        <v>135</v>
      </c>
      <c r="AH29" s="1">
        <f t="shared" si="1"/>
        <v>46</v>
      </c>
      <c r="AI29" s="1">
        <f t="shared" si="2"/>
        <v>42</v>
      </c>
      <c r="AJ29" s="1">
        <f t="shared" si="3"/>
        <v>36</v>
      </c>
      <c r="AK29" s="1">
        <f t="shared" si="4"/>
        <v>42</v>
      </c>
      <c r="AL29" s="1">
        <f t="shared" si="5"/>
        <v>28</v>
      </c>
      <c r="AM29" s="1">
        <f t="shared" si="6"/>
        <v>0</v>
      </c>
      <c r="AN29" t="s">
        <v>53</v>
      </c>
      <c r="AO29" t="s">
        <v>62</v>
      </c>
      <c r="AP29" t="s">
        <v>63</v>
      </c>
      <c r="AQ29" t="s">
        <v>64</v>
      </c>
      <c r="AR29" t="s">
        <v>104</v>
      </c>
      <c r="AS29" t="s">
        <v>118</v>
      </c>
      <c r="AT29" t="s">
        <v>119</v>
      </c>
    </row>
    <row r="30" spans="1:46">
      <c r="A30">
        <v>29</v>
      </c>
      <c r="B30" t="s">
        <v>11</v>
      </c>
      <c r="C30">
        <v>18803</v>
      </c>
      <c r="D30" t="s">
        <v>42</v>
      </c>
      <c r="E30" t="s">
        <v>13</v>
      </c>
      <c r="F30">
        <v>22</v>
      </c>
      <c r="G30">
        <v>18</v>
      </c>
      <c r="H30">
        <v>2</v>
      </c>
      <c r="I30">
        <v>12</v>
      </c>
      <c r="J30">
        <v>8</v>
      </c>
      <c r="K30">
        <v>0</v>
      </c>
      <c r="L30" t="s">
        <v>52</v>
      </c>
      <c r="M30">
        <v>18.5</v>
      </c>
      <c r="N30">
        <v>17</v>
      </c>
      <c r="O30">
        <v>7</v>
      </c>
      <c r="P30">
        <v>10</v>
      </c>
      <c r="Q30">
        <v>16</v>
      </c>
      <c r="R30">
        <v>0</v>
      </c>
      <c r="S30" t="s">
        <v>53</v>
      </c>
      <c r="T30">
        <v>34</v>
      </c>
      <c r="U30">
        <v>27</v>
      </c>
      <c r="V30">
        <v>14</v>
      </c>
      <c r="W30">
        <v>20</v>
      </c>
      <c r="X30">
        <v>13</v>
      </c>
      <c r="Y30">
        <v>0</v>
      </c>
      <c r="Z30" t="s">
        <v>55</v>
      </c>
      <c r="AA30">
        <v>12</v>
      </c>
      <c r="AB30">
        <v>9</v>
      </c>
      <c r="AC30">
        <v>12</v>
      </c>
      <c r="AD30">
        <v>26</v>
      </c>
      <c r="AE30">
        <v>13</v>
      </c>
      <c r="AF30">
        <v>0</v>
      </c>
      <c r="AG30" t="s">
        <v>135</v>
      </c>
      <c r="AH30" s="1">
        <f t="shared" si="1"/>
        <v>46</v>
      </c>
      <c r="AI30" s="1">
        <f t="shared" si="2"/>
        <v>36</v>
      </c>
      <c r="AJ30" s="1">
        <f t="shared" si="3"/>
        <v>26</v>
      </c>
      <c r="AK30" s="1">
        <f t="shared" si="4"/>
        <v>46</v>
      </c>
      <c r="AL30" s="1">
        <f t="shared" si="5"/>
        <v>26</v>
      </c>
      <c r="AM30" s="1">
        <f t="shared" si="6"/>
        <v>0</v>
      </c>
      <c r="AN30" t="s">
        <v>53</v>
      </c>
      <c r="AO30" t="s">
        <v>62</v>
      </c>
      <c r="AP30" t="s">
        <v>63</v>
      </c>
      <c r="AQ30" t="s">
        <v>64</v>
      </c>
      <c r="AR30" t="s">
        <v>111</v>
      </c>
      <c r="AS30" t="s">
        <v>120</v>
      </c>
      <c r="AT30" t="s">
        <v>67</v>
      </c>
    </row>
    <row r="31" spans="1:46">
      <c r="A31">
        <v>30</v>
      </c>
      <c r="B31" t="s">
        <v>11</v>
      </c>
      <c r="C31">
        <v>14720</v>
      </c>
      <c r="D31" t="s">
        <v>43</v>
      </c>
      <c r="E31" t="s">
        <v>13</v>
      </c>
      <c r="F31">
        <v>22.5</v>
      </c>
      <c r="G31">
        <v>31</v>
      </c>
      <c r="H31">
        <v>9</v>
      </c>
      <c r="I31">
        <v>16</v>
      </c>
      <c r="J31" t="s">
        <v>15</v>
      </c>
      <c r="K31">
        <v>0</v>
      </c>
      <c r="L31" t="s">
        <v>52</v>
      </c>
      <c r="M31">
        <v>31.5</v>
      </c>
      <c r="N31" t="s">
        <v>15</v>
      </c>
      <c r="O31">
        <v>14</v>
      </c>
      <c r="P31">
        <v>17</v>
      </c>
      <c r="Q31">
        <v>19</v>
      </c>
      <c r="R31">
        <v>0</v>
      </c>
      <c r="S31" t="s">
        <v>53</v>
      </c>
      <c r="T31">
        <v>45</v>
      </c>
      <c r="U31">
        <v>35</v>
      </c>
      <c r="V31">
        <v>48</v>
      </c>
      <c r="W31">
        <v>26</v>
      </c>
      <c r="X31">
        <v>33</v>
      </c>
      <c r="Y31">
        <v>0</v>
      </c>
      <c r="Z31" t="s">
        <v>55</v>
      </c>
      <c r="AA31">
        <v>14</v>
      </c>
      <c r="AB31">
        <v>4</v>
      </c>
      <c r="AC31">
        <v>15</v>
      </c>
      <c r="AD31">
        <v>29</v>
      </c>
      <c r="AE31">
        <v>13</v>
      </c>
      <c r="AF31">
        <v>0</v>
      </c>
      <c r="AG31" t="s">
        <v>135</v>
      </c>
      <c r="AH31" s="1">
        <f t="shared" si="1"/>
        <v>59</v>
      </c>
      <c r="AI31" s="1">
        <f t="shared" si="2"/>
        <v>39</v>
      </c>
      <c r="AJ31" s="1">
        <f t="shared" si="3"/>
        <v>63</v>
      </c>
      <c r="AK31" s="1">
        <f t="shared" si="4"/>
        <v>55</v>
      </c>
      <c r="AL31" s="1">
        <f t="shared" si="5"/>
        <v>46</v>
      </c>
      <c r="AM31" s="1">
        <f t="shared" si="6"/>
        <v>0</v>
      </c>
      <c r="AN31" t="s">
        <v>53</v>
      </c>
      <c r="AO31" t="s">
        <v>62</v>
      </c>
      <c r="AP31" t="s">
        <v>63</v>
      </c>
      <c r="AQ31" t="s">
        <v>64</v>
      </c>
      <c r="AR31" t="s">
        <v>121</v>
      </c>
      <c r="AS31" t="s">
        <v>122</v>
      </c>
      <c r="AT31" t="s">
        <v>123</v>
      </c>
    </row>
    <row r="32" spans="1:46">
      <c r="A32">
        <v>31</v>
      </c>
      <c r="B32" t="s">
        <v>11</v>
      </c>
      <c r="C32">
        <v>18739</v>
      </c>
      <c r="D32" t="s">
        <v>44</v>
      </c>
      <c r="E32" t="s">
        <v>13</v>
      </c>
      <c r="F32">
        <v>24.5</v>
      </c>
      <c r="G32">
        <v>36</v>
      </c>
      <c r="H32">
        <v>24</v>
      </c>
      <c r="I32">
        <v>26</v>
      </c>
      <c r="J32">
        <v>30</v>
      </c>
      <c r="K32">
        <v>0</v>
      </c>
      <c r="L32" t="s">
        <v>52</v>
      </c>
      <c r="M32">
        <v>30.5</v>
      </c>
      <c r="N32">
        <v>37</v>
      </c>
      <c r="O32">
        <v>27</v>
      </c>
      <c r="P32">
        <v>29</v>
      </c>
      <c r="Q32">
        <v>31</v>
      </c>
      <c r="R32">
        <v>0</v>
      </c>
      <c r="S32" t="s">
        <v>53</v>
      </c>
      <c r="T32">
        <v>54</v>
      </c>
      <c r="U32">
        <v>65</v>
      </c>
      <c r="V32">
        <v>56</v>
      </c>
      <c r="W32">
        <v>55</v>
      </c>
      <c r="X32">
        <v>51</v>
      </c>
      <c r="Y32">
        <v>0</v>
      </c>
      <c r="Z32" t="s">
        <v>55</v>
      </c>
      <c r="AA32">
        <v>15</v>
      </c>
      <c r="AB32">
        <v>15</v>
      </c>
      <c r="AC32">
        <v>16</v>
      </c>
      <c r="AD32">
        <v>30</v>
      </c>
      <c r="AE32">
        <v>14</v>
      </c>
      <c r="AF32">
        <v>0</v>
      </c>
      <c r="AG32" t="s">
        <v>135</v>
      </c>
      <c r="AH32" s="1">
        <f t="shared" si="1"/>
        <v>69</v>
      </c>
      <c r="AI32" s="1">
        <f t="shared" si="2"/>
        <v>80</v>
      </c>
      <c r="AJ32" s="1">
        <f t="shared" si="3"/>
        <v>72</v>
      </c>
      <c r="AK32" s="1">
        <f t="shared" si="4"/>
        <v>85</v>
      </c>
      <c r="AL32" s="1">
        <f t="shared" si="5"/>
        <v>65</v>
      </c>
      <c r="AM32" s="1">
        <f t="shared" si="6"/>
        <v>0</v>
      </c>
      <c r="AN32" t="s">
        <v>53</v>
      </c>
      <c r="AO32" t="s">
        <v>62</v>
      </c>
      <c r="AP32" t="s">
        <v>63</v>
      </c>
      <c r="AQ32" t="s">
        <v>64</v>
      </c>
      <c r="AR32" t="s">
        <v>124</v>
      </c>
      <c r="AS32" t="s">
        <v>125</v>
      </c>
      <c r="AT32" t="s">
        <v>67</v>
      </c>
    </row>
    <row r="33" spans="1:46">
      <c r="A33">
        <v>32</v>
      </c>
      <c r="B33" t="s">
        <v>11</v>
      </c>
      <c r="C33">
        <v>18073</v>
      </c>
      <c r="D33" t="s">
        <v>45</v>
      </c>
      <c r="E33" t="s">
        <v>13</v>
      </c>
      <c r="F33">
        <v>33</v>
      </c>
      <c r="G33">
        <v>30</v>
      </c>
      <c r="H33">
        <v>24</v>
      </c>
      <c r="I33">
        <v>25</v>
      </c>
      <c r="J33">
        <v>22</v>
      </c>
      <c r="K33">
        <v>0</v>
      </c>
      <c r="L33" t="s">
        <v>52</v>
      </c>
      <c r="M33">
        <v>23.5</v>
      </c>
      <c r="N33">
        <v>20</v>
      </c>
      <c r="O33">
        <v>23</v>
      </c>
      <c r="P33">
        <v>25</v>
      </c>
      <c r="Q33">
        <v>32</v>
      </c>
      <c r="R33">
        <v>0</v>
      </c>
      <c r="S33" t="s">
        <v>53</v>
      </c>
      <c r="T33">
        <v>51.5</v>
      </c>
      <c r="U33">
        <v>41</v>
      </c>
      <c r="V33">
        <v>42</v>
      </c>
      <c r="W33">
        <v>49</v>
      </c>
      <c r="X33">
        <v>48</v>
      </c>
      <c r="Y33">
        <v>0</v>
      </c>
      <c r="Z33" t="s">
        <v>55</v>
      </c>
      <c r="AA33">
        <v>20</v>
      </c>
      <c r="AB33">
        <v>13.5</v>
      </c>
      <c r="AC33">
        <v>16</v>
      </c>
      <c r="AD33">
        <v>27</v>
      </c>
      <c r="AE33">
        <v>10</v>
      </c>
      <c r="AF33">
        <v>0</v>
      </c>
      <c r="AG33" t="s">
        <v>135</v>
      </c>
      <c r="AH33" s="1">
        <f t="shared" si="1"/>
        <v>72</v>
      </c>
      <c r="AI33" s="1">
        <f t="shared" si="2"/>
        <v>55</v>
      </c>
      <c r="AJ33" s="1">
        <f t="shared" si="3"/>
        <v>58</v>
      </c>
      <c r="AK33" s="1">
        <f t="shared" si="4"/>
        <v>76</v>
      </c>
      <c r="AL33" s="1">
        <f t="shared" si="5"/>
        <v>58</v>
      </c>
      <c r="AM33" s="1">
        <f t="shared" si="6"/>
        <v>0</v>
      </c>
      <c r="AN33" t="s">
        <v>53</v>
      </c>
      <c r="AO33" t="s">
        <v>62</v>
      </c>
      <c r="AP33" t="s">
        <v>63</v>
      </c>
      <c r="AQ33" t="s">
        <v>64</v>
      </c>
      <c r="AR33" t="s">
        <v>92</v>
      </c>
      <c r="AS33" t="s">
        <v>126</v>
      </c>
      <c r="AT33" t="s">
        <v>67</v>
      </c>
    </row>
    <row r="34" spans="1:46">
      <c r="A34">
        <v>33</v>
      </c>
      <c r="B34" t="s">
        <v>11</v>
      </c>
      <c r="C34">
        <v>14610</v>
      </c>
      <c r="D34" t="s">
        <v>46</v>
      </c>
      <c r="E34" t="s">
        <v>13</v>
      </c>
      <c r="F34">
        <v>15.5</v>
      </c>
      <c r="G34">
        <v>18</v>
      </c>
      <c r="H34">
        <v>3</v>
      </c>
      <c r="I34">
        <v>9</v>
      </c>
      <c r="J34">
        <v>9</v>
      </c>
      <c r="K34">
        <v>0</v>
      </c>
      <c r="L34" t="s">
        <v>52</v>
      </c>
      <c r="M34">
        <v>18</v>
      </c>
      <c r="N34">
        <v>17</v>
      </c>
      <c r="O34">
        <v>5</v>
      </c>
      <c r="P34">
        <v>15</v>
      </c>
      <c r="Q34">
        <v>18</v>
      </c>
      <c r="R34">
        <v>0</v>
      </c>
      <c r="S34" t="s">
        <v>53</v>
      </c>
      <c r="T34">
        <v>35</v>
      </c>
      <c r="U34">
        <v>26</v>
      </c>
      <c r="V34">
        <v>23</v>
      </c>
      <c r="W34">
        <v>32</v>
      </c>
      <c r="X34">
        <v>26</v>
      </c>
      <c r="Y34">
        <v>0</v>
      </c>
      <c r="Z34" t="s">
        <v>55</v>
      </c>
      <c r="AA34">
        <v>8</v>
      </c>
      <c r="AB34">
        <v>9.5</v>
      </c>
      <c r="AC34">
        <v>4</v>
      </c>
      <c r="AD34">
        <v>6</v>
      </c>
      <c r="AE34">
        <v>9</v>
      </c>
      <c r="AF34">
        <v>0</v>
      </c>
      <c r="AG34" t="s">
        <v>135</v>
      </c>
      <c r="AH34" s="1">
        <f t="shared" si="1"/>
        <v>43</v>
      </c>
      <c r="AI34" s="1">
        <f t="shared" si="2"/>
        <v>36</v>
      </c>
      <c r="AJ34" s="1">
        <f t="shared" si="3"/>
        <v>27</v>
      </c>
      <c r="AK34" s="1">
        <f t="shared" si="4"/>
        <v>38</v>
      </c>
      <c r="AL34" s="1">
        <f t="shared" si="5"/>
        <v>35</v>
      </c>
      <c r="AM34" s="1">
        <f t="shared" si="6"/>
        <v>0</v>
      </c>
      <c r="AN34" t="s">
        <v>53</v>
      </c>
      <c r="AO34" t="s">
        <v>62</v>
      </c>
      <c r="AP34" t="s">
        <v>63</v>
      </c>
      <c r="AQ34" t="s">
        <v>64</v>
      </c>
      <c r="AR34" t="s">
        <v>127</v>
      </c>
      <c r="AS34" t="s">
        <v>128</v>
      </c>
      <c r="AT34" t="s">
        <v>67</v>
      </c>
    </row>
    <row r="35" spans="1:46">
      <c r="A35">
        <v>34</v>
      </c>
      <c r="B35" t="s">
        <v>11</v>
      </c>
      <c r="C35">
        <v>17003</v>
      </c>
      <c r="D35" t="s">
        <v>47</v>
      </c>
      <c r="E35" t="s">
        <v>13</v>
      </c>
      <c r="F35">
        <v>26.5</v>
      </c>
      <c r="G35">
        <v>21</v>
      </c>
      <c r="H35">
        <v>6</v>
      </c>
      <c r="I35">
        <v>14</v>
      </c>
      <c r="J35">
        <v>16</v>
      </c>
      <c r="K35">
        <v>0</v>
      </c>
      <c r="L35" t="s">
        <v>52</v>
      </c>
      <c r="M35">
        <v>22</v>
      </c>
      <c r="N35">
        <v>24</v>
      </c>
      <c r="O35">
        <v>9</v>
      </c>
      <c r="P35">
        <v>13</v>
      </c>
      <c r="Q35" t="s">
        <v>15</v>
      </c>
      <c r="R35">
        <v>0</v>
      </c>
      <c r="S35" t="s">
        <v>53</v>
      </c>
      <c r="T35">
        <v>50</v>
      </c>
      <c r="U35">
        <v>45</v>
      </c>
      <c r="V35">
        <v>29</v>
      </c>
      <c r="W35">
        <v>44</v>
      </c>
      <c r="X35">
        <v>28</v>
      </c>
      <c r="Y35">
        <v>0</v>
      </c>
      <c r="Z35" t="s">
        <v>55</v>
      </c>
      <c r="AA35">
        <v>6.5</v>
      </c>
      <c r="AB35">
        <v>5.5</v>
      </c>
      <c r="AC35">
        <v>14</v>
      </c>
      <c r="AD35">
        <v>10</v>
      </c>
      <c r="AE35">
        <v>3</v>
      </c>
      <c r="AF35">
        <v>0</v>
      </c>
      <c r="AG35" t="s">
        <v>135</v>
      </c>
      <c r="AH35" s="1">
        <f t="shared" si="1"/>
        <v>57</v>
      </c>
      <c r="AI35" s="1">
        <f t="shared" si="2"/>
        <v>51</v>
      </c>
      <c r="AJ35" s="1">
        <f t="shared" si="3"/>
        <v>43</v>
      </c>
      <c r="AK35" s="1">
        <f t="shared" si="4"/>
        <v>54</v>
      </c>
      <c r="AL35" s="1">
        <f t="shared" si="5"/>
        <v>31</v>
      </c>
      <c r="AM35" s="1">
        <f t="shared" si="6"/>
        <v>0</v>
      </c>
      <c r="AN35" t="s">
        <v>53</v>
      </c>
      <c r="AO35" t="s">
        <v>62</v>
      </c>
      <c r="AP35" t="s">
        <v>63</v>
      </c>
      <c r="AQ35" t="s">
        <v>64</v>
      </c>
      <c r="AR35" t="s">
        <v>85</v>
      </c>
      <c r="AS35" t="s">
        <v>129</v>
      </c>
      <c r="AT35" t="s">
        <v>67</v>
      </c>
    </row>
    <row r="36" spans="1:46">
      <c r="A36">
        <v>35</v>
      </c>
      <c r="B36" t="s">
        <v>11</v>
      </c>
      <c r="C36">
        <v>14578</v>
      </c>
      <c r="D36" t="s">
        <v>48</v>
      </c>
      <c r="E36" t="s">
        <v>13</v>
      </c>
      <c r="F36">
        <v>27.5</v>
      </c>
      <c r="G36">
        <v>23</v>
      </c>
      <c r="H36" t="s">
        <v>15</v>
      </c>
      <c r="I36">
        <v>19</v>
      </c>
      <c r="J36">
        <v>17</v>
      </c>
      <c r="K36">
        <v>0</v>
      </c>
      <c r="L36" t="s">
        <v>52</v>
      </c>
      <c r="M36">
        <v>19</v>
      </c>
      <c r="N36">
        <v>19</v>
      </c>
      <c r="O36">
        <v>7</v>
      </c>
      <c r="P36">
        <v>14</v>
      </c>
      <c r="Q36">
        <v>21</v>
      </c>
      <c r="R36">
        <v>0</v>
      </c>
      <c r="S36" t="s">
        <v>53</v>
      </c>
      <c r="T36">
        <v>40</v>
      </c>
      <c r="U36">
        <v>30</v>
      </c>
      <c r="V36">
        <v>18</v>
      </c>
      <c r="W36">
        <v>20</v>
      </c>
      <c r="X36">
        <v>14</v>
      </c>
      <c r="Y36">
        <v>0</v>
      </c>
      <c r="Z36" t="s">
        <v>55</v>
      </c>
      <c r="AA36">
        <v>14</v>
      </c>
      <c r="AB36">
        <v>12</v>
      </c>
      <c r="AC36">
        <v>10</v>
      </c>
      <c r="AD36">
        <v>26</v>
      </c>
      <c r="AE36">
        <v>15</v>
      </c>
      <c r="AF36">
        <v>0</v>
      </c>
      <c r="AG36" t="s">
        <v>135</v>
      </c>
      <c r="AH36" s="1">
        <f t="shared" si="1"/>
        <v>54</v>
      </c>
      <c r="AI36" s="1">
        <f t="shared" si="2"/>
        <v>42</v>
      </c>
      <c r="AJ36" s="1">
        <f t="shared" si="3"/>
        <v>28</v>
      </c>
      <c r="AK36" s="1">
        <f t="shared" si="4"/>
        <v>46</v>
      </c>
      <c r="AL36" s="1">
        <f t="shared" si="5"/>
        <v>29</v>
      </c>
      <c r="AM36" s="1">
        <f t="shared" si="6"/>
        <v>0</v>
      </c>
      <c r="AN36" t="s">
        <v>53</v>
      </c>
      <c r="AO36" t="s">
        <v>62</v>
      </c>
      <c r="AP36" t="s">
        <v>63</v>
      </c>
      <c r="AQ36" t="s">
        <v>64</v>
      </c>
      <c r="AR36" t="s">
        <v>68</v>
      </c>
      <c r="AS36" t="s">
        <v>130</v>
      </c>
      <c r="AT36" t="s">
        <v>131</v>
      </c>
    </row>
    <row r="37" spans="1:46">
      <c r="A37">
        <v>36</v>
      </c>
      <c r="B37" t="s">
        <v>11</v>
      </c>
      <c r="C37">
        <v>14718</v>
      </c>
      <c r="D37" t="s">
        <v>49</v>
      </c>
      <c r="E37" t="s">
        <v>13</v>
      </c>
      <c r="F37">
        <v>19.5</v>
      </c>
      <c r="G37">
        <v>16</v>
      </c>
      <c r="H37">
        <v>5</v>
      </c>
      <c r="I37">
        <v>8</v>
      </c>
      <c r="J37">
        <v>9</v>
      </c>
      <c r="K37">
        <v>0</v>
      </c>
      <c r="L37" t="s">
        <v>52</v>
      </c>
      <c r="M37">
        <v>19.5</v>
      </c>
      <c r="N37">
        <v>19</v>
      </c>
      <c r="O37">
        <v>7</v>
      </c>
      <c r="P37">
        <v>11</v>
      </c>
      <c r="Q37">
        <v>6</v>
      </c>
      <c r="R37">
        <v>0</v>
      </c>
      <c r="S37" t="s">
        <v>53</v>
      </c>
      <c r="T37">
        <v>38</v>
      </c>
      <c r="U37">
        <v>39</v>
      </c>
      <c r="V37">
        <v>25</v>
      </c>
      <c r="W37">
        <v>25</v>
      </c>
      <c r="X37">
        <v>16</v>
      </c>
      <c r="Y37">
        <v>0</v>
      </c>
      <c r="Z37" t="s">
        <v>55</v>
      </c>
      <c r="AA37">
        <v>16</v>
      </c>
      <c r="AB37">
        <v>6</v>
      </c>
      <c r="AC37">
        <v>8</v>
      </c>
      <c r="AD37">
        <v>14</v>
      </c>
      <c r="AE37">
        <v>11</v>
      </c>
      <c r="AF37">
        <v>0</v>
      </c>
      <c r="AG37" t="s">
        <v>135</v>
      </c>
      <c r="AH37" s="1">
        <f t="shared" si="1"/>
        <v>54</v>
      </c>
      <c r="AI37" s="1">
        <f t="shared" si="2"/>
        <v>45</v>
      </c>
      <c r="AJ37" s="1">
        <f t="shared" si="3"/>
        <v>33</v>
      </c>
      <c r="AK37" s="1">
        <f t="shared" si="4"/>
        <v>39</v>
      </c>
      <c r="AL37" s="1">
        <f t="shared" si="5"/>
        <v>27</v>
      </c>
      <c r="AM37" s="1">
        <f t="shared" si="6"/>
        <v>0</v>
      </c>
      <c r="AN37" t="s">
        <v>53</v>
      </c>
      <c r="AO37" t="s">
        <v>62</v>
      </c>
      <c r="AP37" t="s">
        <v>63</v>
      </c>
      <c r="AQ37" t="s">
        <v>64</v>
      </c>
      <c r="AR37" t="s">
        <v>124</v>
      </c>
      <c r="AS37" t="s">
        <v>132</v>
      </c>
      <c r="AT37" t="s">
        <v>67</v>
      </c>
    </row>
    <row r="38" spans="1:46">
      <c r="A38">
        <v>37</v>
      </c>
      <c r="B38" t="s">
        <v>11</v>
      </c>
      <c r="C38">
        <v>14651</v>
      </c>
      <c r="D38" t="s">
        <v>50</v>
      </c>
      <c r="E38" t="s">
        <v>13</v>
      </c>
      <c r="F38">
        <v>28</v>
      </c>
      <c r="G38">
        <v>34</v>
      </c>
      <c r="H38">
        <v>25</v>
      </c>
      <c r="I38">
        <v>20</v>
      </c>
      <c r="J38">
        <v>31</v>
      </c>
      <c r="K38">
        <v>0</v>
      </c>
      <c r="L38" t="s">
        <v>52</v>
      </c>
      <c r="M38">
        <v>26</v>
      </c>
      <c r="N38">
        <v>32</v>
      </c>
      <c r="O38">
        <v>16</v>
      </c>
      <c r="P38">
        <v>21</v>
      </c>
      <c r="Q38">
        <v>28</v>
      </c>
      <c r="R38">
        <v>0</v>
      </c>
      <c r="S38" t="s">
        <v>53</v>
      </c>
      <c r="T38">
        <v>56.5</v>
      </c>
      <c r="U38">
        <v>66</v>
      </c>
      <c r="V38">
        <v>58</v>
      </c>
      <c r="W38">
        <v>46</v>
      </c>
      <c r="X38">
        <v>46</v>
      </c>
      <c r="Y38">
        <v>0</v>
      </c>
      <c r="Z38" t="s">
        <v>55</v>
      </c>
      <c r="AA38">
        <v>20</v>
      </c>
      <c r="AB38">
        <v>15.5</v>
      </c>
      <c r="AC38">
        <v>16</v>
      </c>
      <c r="AD38">
        <v>30</v>
      </c>
      <c r="AE38">
        <v>13</v>
      </c>
      <c r="AF38">
        <v>0</v>
      </c>
      <c r="AG38" t="s">
        <v>135</v>
      </c>
      <c r="AH38" s="1">
        <f t="shared" si="1"/>
        <v>77</v>
      </c>
      <c r="AI38" s="1">
        <f t="shared" si="2"/>
        <v>82</v>
      </c>
      <c r="AJ38" s="1">
        <f t="shared" si="3"/>
        <v>74</v>
      </c>
      <c r="AK38" s="1">
        <f t="shared" si="4"/>
        <v>76</v>
      </c>
      <c r="AL38" s="1">
        <f t="shared" si="5"/>
        <v>59</v>
      </c>
      <c r="AM38" s="1">
        <f t="shared" si="6"/>
        <v>0</v>
      </c>
      <c r="AN38" t="s">
        <v>53</v>
      </c>
      <c r="AO38" t="s">
        <v>62</v>
      </c>
      <c r="AP38" t="s">
        <v>63</v>
      </c>
      <c r="AQ38" t="s">
        <v>64</v>
      </c>
      <c r="AR38" t="s">
        <v>124</v>
      </c>
      <c r="AS38" t="s">
        <v>133</v>
      </c>
      <c r="AT38" t="s">
        <v>67</v>
      </c>
    </row>
    <row r="39" spans="1:46">
      <c r="A39">
        <v>38</v>
      </c>
      <c r="B39" t="s">
        <v>11</v>
      </c>
      <c r="C39">
        <v>17849</v>
      </c>
      <c r="D39" t="s">
        <v>51</v>
      </c>
      <c r="E39" t="s">
        <v>13</v>
      </c>
      <c r="F39">
        <v>28</v>
      </c>
      <c r="G39">
        <v>38</v>
      </c>
      <c r="H39">
        <v>29</v>
      </c>
      <c r="I39">
        <v>29</v>
      </c>
      <c r="J39">
        <v>37</v>
      </c>
      <c r="K39">
        <v>0</v>
      </c>
      <c r="L39" t="s">
        <v>52</v>
      </c>
      <c r="M39">
        <v>32.5</v>
      </c>
      <c r="N39">
        <v>32</v>
      </c>
      <c r="O39">
        <v>23</v>
      </c>
      <c r="P39">
        <v>32</v>
      </c>
      <c r="Q39">
        <v>34</v>
      </c>
      <c r="R39">
        <v>0</v>
      </c>
      <c r="S39" t="s">
        <v>53</v>
      </c>
      <c r="T39">
        <v>62.5</v>
      </c>
      <c r="U39">
        <v>60</v>
      </c>
      <c r="V39">
        <v>64</v>
      </c>
      <c r="W39">
        <v>55</v>
      </c>
      <c r="X39">
        <v>65</v>
      </c>
      <c r="Y39">
        <v>0</v>
      </c>
      <c r="Z39" t="s">
        <v>55</v>
      </c>
      <c r="AA39">
        <v>20</v>
      </c>
      <c r="AB39">
        <v>8.5</v>
      </c>
      <c r="AC39">
        <v>16</v>
      </c>
      <c r="AD39">
        <v>30</v>
      </c>
      <c r="AE39">
        <v>16</v>
      </c>
      <c r="AF39">
        <v>0</v>
      </c>
      <c r="AG39" t="s">
        <v>135</v>
      </c>
      <c r="AH39" s="1">
        <f t="shared" si="1"/>
        <v>83</v>
      </c>
      <c r="AI39" s="1">
        <f t="shared" si="2"/>
        <v>69</v>
      </c>
      <c r="AJ39" s="1">
        <f t="shared" si="3"/>
        <v>80</v>
      </c>
      <c r="AK39" s="1">
        <f t="shared" si="4"/>
        <v>85</v>
      </c>
      <c r="AL39" s="1">
        <f t="shared" si="5"/>
        <v>81</v>
      </c>
      <c r="AM39" s="1">
        <f t="shared" si="6"/>
        <v>0</v>
      </c>
      <c r="AN39" t="s">
        <v>53</v>
      </c>
      <c r="AO39" t="s">
        <v>62</v>
      </c>
      <c r="AP39" t="s">
        <v>63</v>
      </c>
      <c r="AQ39" t="s">
        <v>64</v>
      </c>
      <c r="AR39" t="s">
        <v>65</v>
      </c>
      <c r="AS39" t="s">
        <v>134</v>
      </c>
      <c r="AT39" t="s">
        <v>67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User</cp:lastModifiedBy>
  <dcterms:created xsi:type="dcterms:W3CDTF">2024-10-08T12:53:51Z</dcterms:created>
  <dcterms:modified xsi:type="dcterms:W3CDTF">2024-10-10T14:49:50Z</dcterms:modified>
</cp:coreProperties>
</file>