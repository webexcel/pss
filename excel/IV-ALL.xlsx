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60" windowHeight="7680"/>
  </bookViews>
  <sheets>
    <sheet name="Sheet1" sheetId="1" r:id="rId1"/>
  </sheets>
  <definedNames>
    <definedName name="_xlnm._FilterDatabase" localSheetId="0" hidden="1">Sheet1!$A$1:$BY$1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Q3" i="1"/>
  <c r="X3" i="1"/>
  <c r="AE3" i="1"/>
  <c r="AL3" i="1"/>
  <c r="J4" i="1"/>
  <c r="Q4" i="1"/>
  <c r="X4" i="1"/>
  <c r="AE4" i="1"/>
  <c r="AL4" i="1"/>
  <c r="J5" i="1"/>
  <c r="Q5" i="1"/>
  <c r="X5" i="1"/>
  <c r="AE5" i="1"/>
  <c r="AL5" i="1"/>
  <c r="J6" i="1"/>
  <c r="Q6" i="1"/>
  <c r="X6" i="1"/>
  <c r="AE6" i="1"/>
  <c r="AL6" i="1"/>
  <c r="J7" i="1"/>
  <c r="Q7" i="1"/>
  <c r="X7" i="1"/>
  <c r="AE7" i="1"/>
  <c r="AL7" i="1"/>
  <c r="J8" i="1"/>
  <c r="Q8" i="1"/>
  <c r="X8" i="1"/>
  <c r="AE8" i="1"/>
  <c r="AL8" i="1"/>
  <c r="J9" i="1"/>
  <c r="Q9" i="1"/>
  <c r="X9" i="1"/>
  <c r="AE9" i="1"/>
  <c r="AL9" i="1"/>
  <c r="J10" i="1"/>
  <c r="Q10" i="1"/>
  <c r="X10" i="1"/>
  <c r="AE10" i="1"/>
  <c r="AL10" i="1"/>
  <c r="J11" i="1"/>
  <c r="Q11" i="1"/>
  <c r="X11" i="1"/>
  <c r="AE11" i="1"/>
  <c r="AL11" i="1"/>
  <c r="J12" i="1"/>
  <c r="Q12" i="1"/>
  <c r="X12" i="1"/>
  <c r="AE12" i="1"/>
  <c r="AL12" i="1"/>
  <c r="J13" i="1"/>
  <c r="Q13" i="1"/>
  <c r="X13" i="1"/>
  <c r="AE13" i="1"/>
  <c r="AL13" i="1"/>
  <c r="J14" i="1"/>
  <c r="Q14" i="1"/>
  <c r="X14" i="1"/>
  <c r="AE14" i="1"/>
  <c r="AL14" i="1"/>
  <c r="J15" i="1"/>
  <c r="Q15" i="1"/>
  <c r="X15" i="1"/>
  <c r="AE15" i="1"/>
  <c r="AL15" i="1"/>
  <c r="J16" i="1"/>
  <c r="Q16" i="1"/>
  <c r="X16" i="1"/>
  <c r="AE16" i="1"/>
  <c r="AL16" i="1"/>
  <c r="J17" i="1"/>
  <c r="Q17" i="1"/>
  <c r="X17" i="1"/>
  <c r="AE17" i="1"/>
  <c r="AL17" i="1"/>
  <c r="J18" i="1"/>
  <c r="Q18" i="1"/>
  <c r="X18" i="1"/>
  <c r="AE18" i="1"/>
  <c r="AL18" i="1"/>
  <c r="J19" i="1"/>
  <c r="Q19" i="1"/>
  <c r="X19" i="1"/>
  <c r="AE19" i="1"/>
  <c r="AL19" i="1"/>
  <c r="J20" i="1"/>
  <c r="Q20" i="1"/>
  <c r="X20" i="1"/>
  <c r="AE20" i="1"/>
  <c r="AL20" i="1"/>
  <c r="J21" i="1"/>
  <c r="Q21" i="1"/>
  <c r="X21" i="1"/>
  <c r="AE21" i="1"/>
  <c r="AL21" i="1"/>
  <c r="J22" i="1"/>
  <c r="Q22" i="1"/>
  <c r="X22" i="1"/>
  <c r="AE22" i="1"/>
  <c r="AL22" i="1"/>
  <c r="J23" i="1"/>
  <c r="Q23" i="1"/>
  <c r="X23" i="1"/>
  <c r="AE23" i="1"/>
  <c r="AL23" i="1"/>
  <c r="J24" i="1"/>
  <c r="Q24" i="1"/>
  <c r="X24" i="1"/>
  <c r="AE24" i="1"/>
  <c r="AL24" i="1"/>
  <c r="J25" i="1"/>
  <c r="Q25" i="1"/>
  <c r="X25" i="1"/>
  <c r="AE25" i="1"/>
  <c r="AL25" i="1"/>
  <c r="J26" i="1"/>
  <c r="Q26" i="1"/>
  <c r="X26" i="1"/>
  <c r="AE26" i="1"/>
  <c r="AL26" i="1"/>
  <c r="J27" i="1"/>
  <c r="Q27" i="1"/>
  <c r="X27" i="1"/>
  <c r="AE27" i="1"/>
  <c r="AL27" i="1"/>
  <c r="J28" i="1"/>
  <c r="Q28" i="1"/>
  <c r="X28" i="1"/>
  <c r="AE28" i="1"/>
  <c r="AL28" i="1"/>
  <c r="J29" i="1"/>
  <c r="Q29" i="1"/>
  <c r="X29" i="1"/>
  <c r="AE29" i="1"/>
  <c r="AL29" i="1"/>
  <c r="J30" i="1"/>
  <c r="Q30" i="1"/>
  <c r="X30" i="1"/>
  <c r="AE30" i="1"/>
  <c r="AL30" i="1"/>
  <c r="J31" i="1"/>
  <c r="Q31" i="1"/>
  <c r="X31" i="1"/>
  <c r="AE31" i="1"/>
  <c r="AL31" i="1"/>
  <c r="J32" i="1"/>
  <c r="Q32" i="1"/>
  <c r="X32" i="1"/>
  <c r="AE32" i="1"/>
  <c r="AL32" i="1"/>
  <c r="J33" i="1"/>
  <c r="Q33" i="1"/>
  <c r="X33" i="1"/>
  <c r="AE33" i="1"/>
  <c r="AL33" i="1"/>
  <c r="J34" i="1"/>
  <c r="Q34" i="1"/>
  <c r="X34" i="1"/>
  <c r="AE34" i="1"/>
  <c r="AL34" i="1"/>
  <c r="J35" i="1"/>
  <c r="Q35" i="1"/>
  <c r="X35" i="1"/>
  <c r="AE35" i="1"/>
  <c r="AL35" i="1"/>
  <c r="J36" i="1"/>
  <c r="Q36" i="1"/>
  <c r="X36" i="1"/>
  <c r="AE36" i="1"/>
  <c r="AL36" i="1"/>
  <c r="J37" i="1"/>
  <c r="Q37" i="1"/>
  <c r="X37" i="1"/>
  <c r="AE37" i="1"/>
  <c r="AL37" i="1"/>
  <c r="J38" i="1"/>
  <c r="Q38" i="1"/>
  <c r="X38" i="1"/>
  <c r="AE38" i="1"/>
  <c r="AL38" i="1"/>
  <c r="J39" i="1"/>
  <c r="Q39" i="1"/>
  <c r="X39" i="1"/>
  <c r="AE39" i="1"/>
  <c r="AL39" i="1"/>
  <c r="J40" i="1"/>
  <c r="Q40" i="1"/>
  <c r="X40" i="1"/>
  <c r="AE40" i="1"/>
  <c r="AL40" i="1"/>
  <c r="J41" i="1"/>
  <c r="Q41" i="1"/>
  <c r="X41" i="1"/>
  <c r="AE41" i="1"/>
  <c r="AL41" i="1"/>
  <c r="J42" i="1"/>
  <c r="Q42" i="1"/>
  <c r="X42" i="1"/>
  <c r="AE42" i="1"/>
  <c r="AL42" i="1"/>
  <c r="J43" i="1"/>
  <c r="Q43" i="1"/>
  <c r="X43" i="1"/>
  <c r="AE43" i="1"/>
  <c r="AL43" i="1"/>
  <c r="J44" i="1"/>
  <c r="Q44" i="1"/>
  <c r="X44" i="1"/>
  <c r="AE44" i="1"/>
  <c r="AL44" i="1"/>
  <c r="J45" i="1"/>
  <c r="Q45" i="1"/>
  <c r="X45" i="1"/>
  <c r="AE45" i="1"/>
  <c r="AL45" i="1"/>
  <c r="J46" i="1"/>
  <c r="Q46" i="1"/>
  <c r="X46" i="1"/>
  <c r="AE46" i="1"/>
  <c r="AL46" i="1"/>
  <c r="J47" i="1"/>
  <c r="Q47" i="1"/>
  <c r="X47" i="1"/>
  <c r="AE47" i="1"/>
  <c r="AL47" i="1"/>
  <c r="J48" i="1"/>
  <c r="Q48" i="1"/>
  <c r="X48" i="1"/>
  <c r="AE48" i="1"/>
  <c r="AL48" i="1"/>
  <c r="J49" i="1"/>
  <c r="Q49" i="1"/>
  <c r="X49" i="1"/>
  <c r="AE49" i="1"/>
  <c r="AL49" i="1"/>
  <c r="J50" i="1"/>
  <c r="Q50" i="1"/>
  <c r="X50" i="1"/>
  <c r="AE50" i="1"/>
  <c r="AL50" i="1"/>
  <c r="J51" i="1"/>
  <c r="Q51" i="1"/>
  <c r="X51" i="1"/>
  <c r="AE51" i="1"/>
  <c r="AL51" i="1"/>
  <c r="J52" i="1"/>
  <c r="Q52" i="1"/>
  <c r="X52" i="1"/>
  <c r="AE52" i="1"/>
  <c r="AL52" i="1"/>
  <c r="J53" i="1"/>
  <c r="Q53" i="1"/>
  <c r="X53" i="1"/>
  <c r="AE53" i="1"/>
  <c r="AL53" i="1"/>
  <c r="J54" i="1"/>
  <c r="Q54" i="1"/>
  <c r="X54" i="1"/>
  <c r="AE54" i="1"/>
  <c r="AL54" i="1"/>
  <c r="J55" i="1"/>
  <c r="Q55" i="1"/>
  <c r="X55" i="1"/>
  <c r="AE55" i="1"/>
  <c r="AL55" i="1"/>
  <c r="J56" i="1"/>
  <c r="Q56" i="1"/>
  <c r="X56" i="1"/>
  <c r="AE56" i="1"/>
  <c r="AL56" i="1"/>
  <c r="J57" i="1"/>
  <c r="Q57" i="1"/>
  <c r="X57" i="1"/>
  <c r="AE57" i="1"/>
  <c r="AL57" i="1"/>
  <c r="J58" i="1"/>
  <c r="Q58" i="1"/>
  <c r="X58" i="1"/>
  <c r="AE58" i="1"/>
  <c r="AL58" i="1"/>
  <c r="J59" i="1"/>
  <c r="Q59" i="1"/>
  <c r="X59" i="1"/>
  <c r="AE59" i="1"/>
  <c r="AL59" i="1"/>
  <c r="J60" i="1"/>
  <c r="Q60" i="1"/>
  <c r="X60" i="1"/>
  <c r="AE60" i="1"/>
  <c r="AL60" i="1"/>
  <c r="J61" i="1"/>
  <c r="Q61" i="1"/>
  <c r="X61" i="1"/>
  <c r="AE61" i="1"/>
  <c r="AL61" i="1"/>
  <c r="J62" i="1"/>
  <c r="Q62" i="1"/>
  <c r="X62" i="1"/>
  <c r="AE62" i="1"/>
  <c r="AL62" i="1"/>
  <c r="J63" i="1"/>
  <c r="Q63" i="1"/>
  <c r="X63" i="1"/>
  <c r="AE63" i="1"/>
  <c r="AL63" i="1"/>
  <c r="J64" i="1"/>
  <c r="Q64" i="1"/>
  <c r="X64" i="1"/>
  <c r="AE64" i="1"/>
  <c r="AL64" i="1"/>
  <c r="J65" i="1"/>
  <c r="Q65" i="1"/>
  <c r="X65" i="1"/>
  <c r="AE65" i="1"/>
  <c r="AL65" i="1"/>
  <c r="J66" i="1"/>
  <c r="Q66" i="1"/>
  <c r="X66" i="1"/>
  <c r="AE66" i="1"/>
  <c r="AL66" i="1"/>
  <c r="J67" i="1"/>
  <c r="Q67" i="1"/>
  <c r="X67" i="1"/>
  <c r="AE67" i="1"/>
  <c r="AL67" i="1"/>
  <c r="J68" i="1"/>
  <c r="Q68" i="1"/>
  <c r="X68" i="1"/>
  <c r="AE68" i="1"/>
  <c r="AL68" i="1"/>
  <c r="J69" i="1"/>
  <c r="Q69" i="1"/>
  <c r="X69" i="1"/>
  <c r="AE69" i="1"/>
  <c r="AL69" i="1"/>
  <c r="J70" i="1"/>
  <c r="Q70" i="1"/>
  <c r="X70" i="1"/>
  <c r="AE70" i="1"/>
  <c r="AL70" i="1"/>
  <c r="J71" i="1"/>
  <c r="Q71" i="1"/>
  <c r="X71" i="1"/>
  <c r="AE71" i="1"/>
  <c r="AL71" i="1"/>
  <c r="J72" i="1"/>
  <c r="Q72" i="1"/>
  <c r="X72" i="1"/>
  <c r="AE72" i="1"/>
  <c r="AL72" i="1"/>
  <c r="J73" i="1"/>
  <c r="Q73" i="1"/>
  <c r="X73" i="1"/>
  <c r="AE73" i="1"/>
  <c r="AL73" i="1"/>
  <c r="J74" i="1"/>
  <c r="Q74" i="1"/>
  <c r="X74" i="1"/>
  <c r="AE74" i="1"/>
  <c r="AL74" i="1"/>
  <c r="J75" i="1"/>
  <c r="Q75" i="1"/>
  <c r="X75" i="1"/>
  <c r="AE75" i="1"/>
  <c r="AL75" i="1"/>
  <c r="J76" i="1"/>
  <c r="Q76" i="1"/>
  <c r="X76" i="1"/>
  <c r="AE76" i="1"/>
  <c r="AL76" i="1"/>
  <c r="J77" i="1"/>
  <c r="Q77" i="1"/>
  <c r="X77" i="1"/>
  <c r="AE77" i="1"/>
  <c r="AL77" i="1"/>
  <c r="J78" i="1"/>
  <c r="Q78" i="1"/>
  <c r="X78" i="1"/>
  <c r="AE78" i="1"/>
  <c r="AL78" i="1"/>
  <c r="J79" i="1"/>
  <c r="Q79" i="1"/>
  <c r="X79" i="1"/>
  <c r="AE79" i="1"/>
  <c r="AL79" i="1"/>
  <c r="J80" i="1"/>
  <c r="Q80" i="1"/>
  <c r="X80" i="1"/>
  <c r="AE80" i="1"/>
  <c r="AL80" i="1"/>
  <c r="J81" i="1"/>
  <c r="Q81" i="1"/>
  <c r="X81" i="1"/>
  <c r="AE81" i="1"/>
  <c r="AL81" i="1"/>
  <c r="J82" i="1"/>
  <c r="Q82" i="1"/>
  <c r="X82" i="1"/>
  <c r="AE82" i="1"/>
  <c r="AL82" i="1"/>
  <c r="J83" i="1"/>
  <c r="Q83" i="1"/>
  <c r="X83" i="1"/>
  <c r="AE83" i="1"/>
  <c r="AL83" i="1"/>
  <c r="J84" i="1"/>
  <c r="Q84" i="1"/>
  <c r="X84" i="1"/>
  <c r="AE84" i="1"/>
  <c r="AL84" i="1"/>
  <c r="J85" i="1"/>
  <c r="Q85" i="1"/>
  <c r="X85" i="1"/>
  <c r="AE85" i="1"/>
  <c r="AL85" i="1"/>
  <c r="J86" i="1"/>
  <c r="Q86" i="1"/>
  <c r="X86" i="1"/>
  <c r="AE86" i="1"/>
  <c r="AL86" i="1"/>
  <c r="J87" i="1"/>
  <c r="Q87" i="1"/>
  <c r="X87" i="1"/>
  <c r="AE87" i="1"/>
  <c r="AL87" i="1"/>
  <c r="J88" i="1"/>
  <c r="Q88" i="1"/>
  <c r="X88" i="1"/>
  <c r="AE88" i="1"/>
  <c r="AL88" i="1"/>
  <c r="J89" i="1"/>
  <c r="Q89" i="1"/>
  <c r="X89" i="1"/>
  <c r="AE89" i="1"/>
  <c r="AL89" i="1"/>
  <c r="J90" i="1"/>
  <c r="Q90" i="1"/>
  <c r="X90" i="1"/>
  <c r="AE90" i="1"/>
  <c r="AL90" i="1"/>
  <c r="J91" i="1"/>
  <c r="Q91" i="1"/>
  <c r="X91" i="1"/>
  <c r="AE91" i="1"/>
  <c r="AL91" i="1"/>
  <c r="J92" i="1"/>
  <c r="Q92" i="1"/>
  <c r="X92" i="1"/>
  <c r="AE92" i="1"/>
  <c r="AL92" i="1"/>
  <c r="J93" i="1"/>
  <c r="Q93" i="1"/>
  <c r="X93" i="1"/>
  <c r="AE93" i="1"/>
  <c r="AL93" i="1"/>
  <c r="J94" i="1"/>
  <c r="Q94" i="1"/>
  <c r="X94" i="1"/>
  <c r="AE94" i="1"/>
  <c r="AL94" i="1"/>
  <c r="J95" i="1"/>
  <c r="Q95" i="1"/>
  <c r="X95" i="1"/>
  <c r="AE95" i="1"/>
  <c r="AL95" i="1"/>
  <c r="J96" i="1"/>
  <c r="Q96" i="1"/>
  <c r="X96" i="1"/>
  <c r="AE96" i="1"/>
  <c r="AL96" i="1"/>
  <c r="J97" i="1"/>
  <c r="Q97" i="1"/>
  <c r="X97" i="1"/>
  <c r="AE97" i="1"/>
  <c r="AL97" i="1"/>
  <c r="J98" i="1"/>
  <c r="Q98" i="1"/>
  <c r="X98" i="1"/>
  <c r="AE98" i="1"/>
  <c r="AL98" i="1"/>
  <c r="J99" i="1"/>
  <c r="Q99" i="1"/>
  <c r="X99" i="1"/>
  <c r="AE99" i="1"/>
  <c r="AL99" i="1"/>
  <c r="J100" i="1"/>
  <c r="Q100" i="1"/>
  <c r="X100" i="1"/>
  <c r="AE100" i="1"/>
  <c r="AL100" i="1"/>
  <c r="J101" i="1"/>
  <c r="Q101" i="1"/>
  <c r="X101" i="1"/>
  <c r="AE101" i="1"/>
  <c r="AL101" i="1"/>
  <c r="J102" i="1"/>
  <c r="Q102" i="1"/>
  <c r="X102" i="1"/>
  <c r="AE102" i="1"/>
  <c r="AL102" i="1"/>
  <c r="J103" i="1"/>
  <c r="Q103" i="1"/>
  <c r="X103" i="1"/>
  <c r="AE103" i="1"/>
  <c r="AL103" i="1"/>
  <c r="J104" i="1"/>
  <c r="Q104" i="1"/>
  <c r="X104" i="1"/>
  <c r="AE104" i="1"/>
  <c r="AL104" i="1"/>
  <c r="J105" i="1"/>
  <c r="Q105" i="1"/>
  <c r="X105" i="1"/>
  <c r="AE105" i="1"/>
  <c r="AL105" i="1"/>
  <c r="J106" i="1"/>
  <c r="Q106" i="1"/>
  <c r="X106" i="1"/>
  <c r="AE106" i="1"/>
  <c r="AL106" i="1"/>
  <c r="J107" i="1"/>
  <c r="Q107" i="1"/>
  <c r="X107" i="1"/>
  <c r="AE107" i="1"/>
  <c r="AL107" i="1"/>
  <c r="J108" i="1"/>
  <c r="Q108" i="1"/>
  <c r="X108" i="1"/>
  <c r="AE108" i="1"/>
  <c r="AL108" i="1"/>
  <c r="J109" i="1"/>
  <c r="Q109" i="1"/>
  <c r="X109" i="1"/>
  <c r="AE109" i="1"/>
  <c r="AL109" i="1"/>
  <c r="J110" i="1"/>
  <c r="Q110" i="1"/>
  <c r="X110" i="1"/>
  <c r="AE110" i="1"/>
  <c r="AL110" i="1"/>
  <c r="J111" i="1"/>
  <c r="Q111" i="1"/>
  <c r="X111" i="1"/>
  <c r="AE111" i="1"/>
  <c r="AL111" i="1"/>
  <c r="J112" i="1"/>
  <c r="Q112" i="1"/>
  <c r="X112" i="1"/>
  <c r="AE112" i="1"/>
  <c r="AL112" i="1"/>
  <c r="J113" i="1"/>
  <c r="Q113" i="1"/>
  <c r="X113" i="1"/>
  <c r="AE113" i="1"/>
  <c r="AL113" i="1"/>
  <c r="J114" i="1"/>
  <c r="Q114" i="1"/>
  <c r="X114" i="1"/>
  <c r="AE114" i="1"/>
  <c r="AL114" i="1"/>
  <c r="J115" i="1"/>
  <c r="Q115" i="1"/>
  <c r="X115" i="1"/>
  <c r="AE115" i="1"/>
  <c r="AL115" i="1"/>
  <c r="J116" i="1"/>
  <c r="Q116" i="1"/>
  <c r="X116" i="1"/>
  <c r="AE116" i="1"/>
  <c r="AL116" i="1"/>
  <c r="J117" i="1"/>
  <c r="Q117" i="1"/>
  <c r="X117" i="1"/>
  <c r="AE117" i="1"/>
  <c r="AL117" i="1"/>
  <c r="J118" i="1"/>
  <c r="Q118" i="1"/>
  <c r="X118" i="1"/>
  <c r="AE118" i="1"/>
  <c r="AL118" i="1"/>
  <c r="J119" i="1"/>
  <c r="Q119" i="1"/>
  <c r="X119" i="1"/>
  <c r="AE119" i="1"/>
  <c r="AL119" i="1"/>
  <c r="J120" i="1"/>
  <c r="Q120" i="1"/>
  <c r="X120" i="1"/>
  <c r="AE120" i="1"/>
  <c r="AL120" i="1"/>
  <c r="J121" i="1"/>
  <c r="Q121" i="1"/>
  <c r="X121" i="1"/>
  <c r="AE121" i="1"/>
  <c r="AL121" i="1"/>
  <c r="J122" i="1"/>
  <c r="Q122" i="1"/>
  <c r="X122" i="1"/>
  <c r="AE122" i="1"/>
  <c r="AL122" i="1"/>
  <c r="J123" i="1"/>
  <c r="Q123" i="1"/>
  <c r="X123" i="1"/>
  <c r="AE123" i="1"/>
  <c r="AL123" i="1"/>
  <c r="J124" i="1"/>
  <c r="Q124" i="1"/>
  <c r="X124" i="1"/>
  <c r="AE124" i="1"/>
  <c r="AL124" i="1"/>
  <c r="J125" i="1"/>
  <c r="Q125" i="1"/>
  <c r="X125" i="1"/>
  <c r="AE125" i="1"/>
  <c r="AL125" i="1"/>
  <c r="J126" i="1"/>
  <c r="Q126" i="1"/>
  <c r="X126" i="1"/>
  <c r="AE126" i="1"/>
  <c r="AL126" i="1"/>
  <c r="J127" i="1"/>
  <c r="Q127" i="1"/>
  <c r="X127" i="1"/>
  <c r="AE127" i="1"/>
  <c r="AL127" i="1"/>
  <c r="J128" i="1"/>
  <c r="Q128" i="1"/>
  <c r="X128" i="1"/>
  <c r="AE128" i="1"/>
  <c r="AL128" i="1"/>
  <c r="J129" i="1"/>
  <c r="Q129" i="1"/>
  <c r="X129" i="1"/>
  <c r="AE129" i="1"/>
  <c r="AL129" i="1"/>
  <c r="J130" i="1"/>
  <c r="Q130" i="1"/>
  <c r="X130" i="1"/>
  <c r="AE130" i="1"/>
  <c r="AL130" i="1"/>
  <c r="J131" i="1"/>
  <c r="Q131" i="1"/>
  <c r="X131" i="1"/>
  <c r="AE131" i="1"/>
  <c r="AL131" i="1"/>
  <c r="J132" i="1"/>
  <c r="Q132" i="1"/>
  <c r="X132" i="1"/>
  <c r="AE132" i="1"/>
  <c r="AL132" i="1"/>
  <c r="J133" i="1"/>
  <c r="Q133" i="1"/>
  <c r="X133" i="1"/>
  <c r="AE133" i="1"/>
  <c r="AL133" i="1"/>
  <c r="J134" i="1"/>
  <c r="Q134" i="1"/>
  <c r="X134" i="1"/>
  <c r="AE134" i="1"/>
  <c r="AL134" i="1"/>
  <c r="J135" i="1"/>
  <c r="Q135" i="1"/>
  <c r="X135" i="1"/>
  <c r="AE135" i="1"/>
  <c r="AL135" i="1"/>
  <c r="J136" i="1"/>
  <c r="Q136" i="1"/>
  <c r="X136" i="1"/>
  <c r="AE136" i="1"/>
  <c r="AL136" i="1"/>
  <c r="J137" i="1"/>
  <c r="Q137" i="1"/>
  <c r="X137" i="1"/>
  <c r="AE137" i="1"/>
  <c r="AL137" i="1"/>
  <c r="J138" i="1"/>
  <c r="Q138" i="1"/>
  <c r="X138" i="1"/>
  <c r="AE138" i="1"/>
  <c r="AL138" i="1"/>
  <c r="J139" i="1"/>
  <c r="Q139" i="1"/>
  <c r="X139" i="1"/>
  <c r="AE139" i="1"/>
  <c r="AL139" i="1"/>
  <c r="J140" i="1"/>
  <c r="Q140" i="1"/>
  <c r="X140" i="1"/>
  <c r="AE140" i="1"/>
  <c r="AL140" i="1"/>
  <c r="J141" i="1"/>
  <c r="Q141" i="1"/>
  <c r="X141" i="1"/>
  <c r="AE141" i="1"/>
  <c r="AL141" i="1"/>
  <c r="J142" i="1"/>
  <c r="Q142" i="1"/>
  <c r="X142" i="1"/>
  <c r="AE142" i="1"/>
  <c r="AL142" i="1"/>
  <c r="J143" i="1"/>
  <c r="Q143" i="1"/>
  <c r="X143" i="1"/>
  <c r="AE143" i="1"/>
  <c r="AL143" i="1"/>
  <c r="J144" i="1"/>
  <c r="Q144" i="1"/>
  <c r="X144" i="1"/>
  <c r="AE144" i="1"/>
  <c r="AL144" i="1"/>
  <c r="J145" i="1"/>
  <c r="Q145" i="1"/>
  <c r="X145" i="1"/>
  <c r="AE145" i="1"/>
  <c r="AL145" i="1"/>
  <c r="J146" i="1"/>
  <c r="Q146" i="1"/>
  <c r="X146" i="1"/>
  <c r="AE146" i="1"/>
  <c r="AL146" i="1"/>
  <c r="J147" i="1"/>
  <c r="Q147" i="1"/>
  <c r="X147" i="1"/>
  <c r="AE147" i="1"/>
  <c r="AL147" i="1"/>
  <c r="J148" i="1"/>
  <c r="Q148" i="1"/>
  <c r="X148" i="1"/>
  <c r="AE148" i="1"/>
  <c r="AL148" i="1"/>
  <c r="J149" i="1"/>
  <c r="Q149" i="1"/>
  <c r="X149" i="1"/>
  <c r="AE149" i="1"/>
  <c r="AL149" i="1"/>
  <c r="J150" i="1"/>
  <c r="Q150" i="1"/>
  <c r="X150" i="1"/>
  <c r="AE150" i="1"/>
  <c r="AL150" i="1"/>
  <c r="J151" i="1"/>
  <c r="Q151" i="1"/>
  <c r="X151" i="1"/>
  <c r="AE151" i="1"/>
  <c r="AL151" i="1"/>
  <c r="J152" i="1"/>
  <c r="Q152" i="1"/>
  <c r="X152" i="1"/>
  <c r="AE152" i="1"/>
  <c r="AL152" i="1"/>
  <c r="J153" i="1"/>
  <c r="Q153" i="1"/>
  <c r="X153" i="1"/>
  <c r="AE153" i="1"/>
  <c r="AL153" i="1"/>
  <c r="J154" i="1"/>
  <c r="Q154" i="1"/>
  <c r="X154" i="1"/>
  <c r="AE154" i="1"/>
  <c r="AL154" i="1"/>
  <c r="J155" i="1"/>
  <c r="Q155" i="1"/>
  <c r="X155" i="1"/>
  <c r="AE155" i="1"/>
  <c r="AL155" i="1"/>
  <c r="J156" i="1"/>
  <c r="Q156" i="1"/>
  <c r="X156" i="1"/>
  <c r="AE156" i="1"/>
  <c r="AL156" i="1"/>
  <c r="J157" i="1"/>
  <c r="Q157" i="1"/>
  <c r="X157" i="1"/>
  <c r="AE157" i="1"/>
  <c r="AL157" i="1"/>
  <c r="J158" i="1"/>
  <c r="Q158" i="1"/>
  <c r="X158" i="1"/>
  <c r="AE158" i="1"/>
  <c r="AL158" i="1"/>
  <c r="J159" i="1"/>
  <c r="Q159" i="1"/>
  <c r="X159" i="1"/>
  <c r="AE159" i="1"/>
  <c r="AL159" i="1"/>
  <c r="J160" i="1"/>
  <c r="Q160" i="1"/>
  <c r="X160" i="1"/>
  <c r="AE160" i="1"/>
  <c r="AL160" i="1"/>
  <c r="J161" i="1"/>
  <c r="Q161" i="1"/>
  <c r="X161" i="1"/>
  <c r="AE161" i="1"/>
  <c r="AL161" i="1"/>
  <c r="J162" i="1"/>
  <c r="Q162" i="1"/>
  <c r="X162" i="1"/>
  <c r="AE162" i="1"/>
  <c r="AL162" i="1"/>
  <c r="J163" i="1"/>
  <c r="Q163" i="1"/>
  <c r="X163" i="1"/>
  <c r="AE163" i="1"/>
  <c r="AL163" i="1"/>
  <c r="J164" i="1"/>
  <c r="Q164" i="1"/>
  <c r="X164" i="1"/>
  <c r="AE164" i="1"/>
  <c r="AL164" i="1"/>
  <c r="J165" i="1"/>
  <c r="Q165" i="1"/>
  <c r="X165" i="1"/>
  <c r="AE165" i="1"/>
  <c r="AL165" i="1"/>
  <c r="J166" i="1"/>
  <c r="Q166" i="1"/>
  <c r="X166" i="1"/>
  <c r="AE166" i="1"/>
  <c r="AL166" i="1"/>
  <c r="J167" i="1"/>
  <c r="Q167" i="1"/>
  <c r="X167" i="1"/>
  <c r="AE167" i="1"/>
  <c r="AL167" i="1"/>
  <c r="J168" i="1"/>
  <c r="Q168" i="1"/>
  <c r="X168" i="1"/>
  <c r="AE168" i="1"/>
  <c r="AL168" i="1"/>
  <c r="J169" i="1"/>
  <c r="Q169" i="1"/>
  <c r="X169" i="1"/>
  <c r="AE169" i="1"/>
  <c r="AL169" i="1"/>
  <c r="J170" i="1"/>
  <c r="Q170" i="1"/>
  <c r="X170" i="1"/>
  <c r="AE170" i="1"/>
  <c r="AL170" i="1"/>
  <c r="J171" i="1"/>
  <c r="Q171" i="1"/>
  <c r="X171" i="1"/>
  <c r="AE171" i="1"/>
  <c r="AL171" i="1"/>
  <c r="J172" i="1"/>
  <c r="Q172" i="1"/>
  <c r="X172" i="1"/>
  <c r="AE172" i="1"/>
  <c r="AL172" i="1"/>
  <c r="J173" i="1"/>
  <c r="Q173" i="1"/>
  <c r="X173" i="1"/>
  <c r="AE173" i="1"/>
  <c r="AL173" i="1"/>
  <c r="J174" i="1"/>
  <c r="Q174" i="1"/>
  <c r="X174" i="1"/>
  <c r="AE174" i="1"/>
  <c r="AL174" i="1"/>
  <c r="J175" i="1"/>
  <c r="Q175" i="1"/>
  <c r="X175" i="1"/>
  <c r="AE175" i="1"/>
  <c r="AL175" i="1"/>
  <c r="J176" i="1"/>
  <c r="Q176" i="1"/>
  <c r="X176" i="1"/>
  <c r="AE176" i="1"/>
  <c r="AL176" i="1"/>
  <c r="J177" i="1"/>
  <c r="Q177" i="1"/>
  <c r="X177" i="1"/>
  <c r="AE177" i="1"/>
  <c r="AL177" i="1"/>
  <c r="J178" i="1"/>
  <c r="Q178" i="1"/>
  <c r="X178" i="1"/>
  <c r="AE178" i="1"/>
  <c r="AL178" i="1"/>
  <c r="J179" i="1"/>
  <c r="Q179" i="1"/>
  <c r="X179" i="1"/>
  <c r="AE179" i="1"/>
  <c r="AL179" i="1"/>
  <c r="J180" i="1"/>
  <c r="Q180" i="1"/>
  <c r="X180" i="1"/>
  <c r="AE180" i="1"/>
  <c r="AL180" i="1"/>
  <c r="J181" i="1"/>
  <c r="Q181" i="1"/>
  <c r="X181" i="1"/>
  <c r="AE181" i="1"/>
  <c r="AL181" i="1"/>
  <c r="J182" i="1"/>
  <c r="Q182" i="1"/>
  <c r="X182" i="1"/>
  <c r="AE182" i="1"/>
  <c r="AL182" i="1"/>
  <c r="J183" i="1"/>
  <c r="Q183" i="1"/>
  <c r="X183" i="1"/>
  <c r="AE183" i="1"/>
  <c r="AL183" i="1"/>
  <c r="J184" i="1"/>
  <c r="Q184" i="1"/>
  <c r="X184" i="1"/>
  <c r="AE184" i="1"/>
  <c r="AL184" i="1"/>
  <c r="J185" i="1"/>
  <c r="Q185" i="1"/>
  <c r="X185" i="1"/>
  <c r="AE185" i="1"/>
  <c r="AL185" i="1"/>
  <c r="J186" i="1"/>
  <c r="Q186" i="1"/>
  <c r="X186" i="1"/>
  <c r="AE186" i="1"/>
  <c r="AL186" i="1"/>
  <c r="J187" i="1"/>
  <c r="Q187" i="1"/>
  <c r="X187" i="1"/>
  <c r="AE187" i="1"/>
  <c r="AL187" i="1"/>
  <c r="J188" i="1"/>
  <c r="Q188" i="1"/>
  <c r="X188" i="1"/>
  <c r="AE188" i="1"/>
  <c r="AL188" i="1"/>
  <c r="J189" i="1"/>
  <c r="Q189" i="1"/>
  <c r="X189" i="1"/>
  <c r="AE189" i="1"/>
  <c r="AL189" i="1"/>
  <c r="J190" i="1"/>
  <c r="Q190" i="1"/>
  <c r="X190" i="1"/>
  <c r="AE190" i="1"/>
  <c r="AL190" i="1"/>
  <c r="J191" i="1"/>
  <c r="Q191" i="1"/>
  <c r="X191" i="1"/>
  <c r="AE191" i="1"/>
  <c r="AL191" i="1"/>
  <c r="J192" i="1"/>
  <c r="Q192" i="1"/>
  <c r="X192" i="1"/>
  <c r="AE192" i="1"/>
  <c r="AL192" i="1"/>
  <c r="J193" i="1"/>
  <c r="Q193" i="1"/>
  <c r="X193" i="1"/>
  <c r="AE193" i="1"/>
  <c r="AL193" i="1"/>
  <c r="J194" i="1"/>
  <c r="Q194" i="1"/>
  <c r="X194" i="1"/>
  <c r="AE194" i="1"/>
  <c r="AL194" i="1"/>
  <c r="J195" i="1"/>
  <c r="Q195" i="1"/>
  <c r="X195" i="1"/>
  <c r="AE195" i="1"/>
  <c r="AL195" i="1"/>
  <c r="Q2" i="1"/>
  <c r="X2" i="1"/>
  <c r="AE2" i="1"/>
  <c r="AL2" i="1"/>
  <c r="J2" i="1"/>
  <c r="I3" i="1"/>
  <c r="P3" i="1"/>
  <c r="W3" i="1"/>
  <c r="AD3" i="1"/>
  <c r="AK3" i="1"/>
  <c r="AN3" i="1" s="1"/>
  <c r="I4" i="1"/>
  <c r="P4" i="1"/>
  <c r="W4" i="1"/>
  <c r="AD4" i="1"/>
  <c r="AK4" i="1"/>
  <c r="I5" i="1"/>
  <c r="P5" i="1"/>
  <c r="W5" i="1"/>
  <c r="AD5" i="1"/>
  <c r="AK5" i="1"/>
  <c r="AN5" i="1" s="1"/>
  <c r="I6" i="1"/>
  <c r="P6" i="1"/>
  <c r="W6" i="1"/>
  <c r="AD6" i="1"/>
  <c r="AK6" i="1"/>
  <c r="AN6" i="1" s="1"/>
  <c r="I7" i="1"/>
  <c r="P7" i="1"/>
  <c r="W7" i="1"/>
  <c r="AD7" i="1"/>
  <c r="AK7" i="1"/>
  <c r="AN7" i="1" s="1"/>
  <c r="I8" i="1"/>
  <c r="P8" i="1"/>
  <c r="W8" i="1"/>
  <c r="AD8" i="1"/>
  <c r="AK8" i="1"/>
  <c r="AN8" i="1" s="1"/>
  <c r="I9" i="1"/>
  <c r="P9" i="1"/>
  <c r="W9" i="1"/>
  <c r="AD9" i="1"/>
  <c r="AK9" i="1"/>
  <c r="AN9" i="1" s="1"/>
  <c r="I10" i="1"/>
  <c r="P10" i="1"/>
  <c r="W10" i="1"/>
  <c r="AD10" i="1"/>
  <c r="AK10" i="1"/>
  <c r="AN10" i="1" s="1"/>
  <c r="I11" i="1"/>
  <c r="P11" i="1"/>
  <c r="W11" i="1"/>
  <c r="AD11" i="1"/>
  <c r="AK11" i="1"/>
  <c r="AN11" i="1" s="1"/>
  <c r="I12" i="1"/>
  <c r="P12" i="1"/>
  <c r="W12" i="1"/>
  <c r="AD12" i="1"/>
  <c r="AK12" i="1"/>
  <c r="AN12" i="1" s="1"/>
  <c r="I13" i="1"/>
  <c r="P13" i="1"/>
  <c r="W13" i="1"/>
  <c r="AD13" i="1"/>
  <c r="AK13" i="1"/>
  <c r="AN13" i="1" s="1"/>
  <c r="I14" i="1"/>
  <c r="P14" i="1"/>
  <c r="W14" i="1"/>
  <c r="AD14" i="1"/>
  <c r="AK14" i="1"/>
  <c r="I15" i="1"/>
  <c r="P15" i="1"/>
  <c r="W15" i="1"/>
  <c r="AD15" i="1"/>
  <c r="AK15" i="1"/>
  <c r="AN15" i="1" s="1"/>
  <c r="I16" i="1"/>
  <c r="P16" i="1"/>
  <c r="W16" i="1"/>
  <c r="AD16" i="1"/>
  <c r="AK16" i="1"/>
  <c r="I17" i="1"/>
  <c r="P17" i="1"/>
  <c r="W17" i="1"/>
  <c r="AD17" i="1"/>
  <c r="AK17" i="1"/>
  <c r="AN17" i="1" s="1"/>
  <c r="I18" i="1"/>
  <c r="P18" i="1"/>
  <c r="W18" i="1"/>
  <c r="AD18" i="1"/>
  <c r="AK18" i="1"/>
  <c r="AN18" i="1" s="1"/>
  <c r="I19" i="1"/>
  <c r="P19" i="1"/>
  <c r="W19" i="1"/>
  <c r="AD19" i="1"/>
  <c r="AK19" i="1"/>
  <c r="AN19" i="1" s="1"/>
  <c r="I20" i="1"/>
  <c r="P20" i="1"/>
  <c r="W20" i="1"/>
  <c r="AD20" i="1"/>
  <c r="AK20" i="1"/>
  <c r="AN20" i="1" s="1"/>
  <c r="I21" i="1"/>
  <c r="P21" i="1"/>
  <c r="W21" i="1"/>
  <c r="AD21" i="1"/>
  <c r="AK21" i="1"/>
  <c r="AN21" i="1" s="1"/>
  <c r="I22" i="1"/>
  <c r="P22" i="1"/>
  <c r="W22" i="1"/>
  <c r="AD22" i="1"/>
  <c r="AK22" i="1"/>
  <c r="AN22" i="1" s="1"/>
  <c r="I23" i="1"/>
  <c r="P23" i="1"/>
  <c r="W23" i="1"/>
  <c r="AD23" i="1"/>
  <c r="AK23" i="1"/>
  <c r="AN23" i="1" s="1"/>
  <c r="I24" i="1"/>
  <c r="P24" i="1"/>
  <c r="W24" i="1"/>
  <c r="AD24" i="1"/>
  <c r="AK24" i="1"/>
  <c r="I25" i="1"/>
  <c r="P25" i="1"/>
  <c r="W25" i="1"/>
  <c r="AD25" i="1"/>
  <c r="AK25" i="1"/>
  <c r="AN25" i="1" s="1"/>
  <c r="I26" i="1"/>
  <c r="P26" i="1"/>
  <c r="W26" i="1"/>
  <c r="AD26" i="1"/>
  <c r="AK26" i="1"/>
  <c r="I27" i="1"/>
  <c r="P27" i="1"/>
  <c r="W27" i="1"/>
  <c r="AD27" i="1"/>
  <c r="AK27" i="1"/>
  <c r="AN27" i="1" s="1"/>
  <c r="I28" i="1"/>
  <c r="P28" i="1"/>
  <c r="W28" i="1"/>
  <c r="AD28" i="1"/>
  <c r="AK28" i="1"/>
  <c r="I29" i="1"/>
  <c r="P29" i="1"/>
  <c r="W29" i="1"/>
  <c r="AD29" i="1"/>
  <c r="AK29" i="1"/>
  <c r="AN29" i="1" s="1"/>
  <c r="I30" i="1"/>
  <c r="P30" i="1"/>
  <c r="W30" i="1"/>
  <c r="AD30" i="1"/>
  <c r="AK30" i="1"/>
  <c r="AN30" i="1" s="1"/>
  <c r="I31" i="1"/>
  <c r="P31" i="1"/>
  <c r="W31" i="1"/>
  <c r="AD31" i="1"/>
  <c r="AK31" i="1"/>
  <c r="AN31" i="1" s="1"/>
  <c r="I32" i="1"/>
  <c r="P32" i="1"/>
  <c r="W32" i="1"/>
  <c r="AD32" i="1"/>
  <c r="AK32" i="1"/>
  <c r="AN32" i="1" s="1"/>
  <c r="I33" i="1"/>
  <c r="P33" i="1"/>
  <c r="W33" i="1"/>
  <c r="AD33" i="1"/>
  <c r="AK33" i="1"/>
  <c r="AN33" i="1" s="1"/>
  <c r="I34" i="1"/>
  <c r="P34" i="1"/>
  <c r="W34" i="1"/>
  <c r="AD34" i="1"/>
  <c r="AK34" i="1"/>
  <c r="AN34" i="1" s="1"/>
  <c r="I35" i="1"/>
  <c r="P35" i="1"/>
  <c r="W35" i="1"/>
  <c r="AD35" i="1"/>
  <c r="AK35" i="1"/>
  <c r="AN35" i="1" s="1"/>
  <c r="I36" i="1"/>
  <c r="P36" i="1"/>
  <c r="W36" i="1"/>
  <c r="AD36" i="1"/>
  <c r="AK36" i="1"/>
  <c r="I37" i="1"/>
  <c r="P37" i="1"/>
  <c r="W37" i="1"/>
  <c r="AD37" i="1"/>
  <c r="AK37" i="1"/>
  <c r="AN37" i="1" s="1"/>
  <c r="I38" i="1"/>
  <c r="P38" i="1"/>
  <c r="W38" i="1"/>
  <c r="AD38" i="1"/>
  <c r="AK38" i="1"/>
  <c r="I39" i="1"/>
  <c r="P39" i="1"/>
  <c r="W39" i="1"/>
  <c r="AD39" i="1"/>
  <c r="AK39" i="1"/>
  <c r="AN39" i="1" s="1"/>
  <c r="I40" i="1"/>
  <c r="P40" i="1"/>
  <c r="W40" i="1"/>
  <c r="AD40" i="1"/>
  <c r="AK40" i="1"/>
  <c r="I41" i="1"/>
  <c r="P41" i="1"/>
  <c r="W41" i="1"/>
  <c r="AD41" i="1"/>
  <c r="AK41" i="1"/>
  <c r="AN41" i="1" s="1"/>
  <c r="I42" i="1"/>
  <c r="P42" i="1"/>
  <c r="W42" i="1"/>
  <c r="AD42" i="1"/>
  <c r="AK42" i="1"/>
  <c r="AN42" i="1" s="1"/>
  <c r="I43" i="1"/>
  <c r="P43" i="1"/>
  <c r="W43" i="1"/>
  <c r="AD43" i="1"/>
  <c r="AK43" i="1"/>
  <c r="AN43" i="1" s="1"/>
  <c r="I44" i="1"/>
  <c r="P44" i="1"/>
  <c r="W44" i="1"/>
  <c r="AD44" i="1"/>
  <c r="AK44" i="1"/>
  <c r="AN44" i="1" s="1"/>
  <c r="I45" i="1"/>
  <c r="P45" i="1"/>
  <c r="W45" i="1"/>
  <c r="AD45" i="1"/>
  <c r="AK45" i="1"/>
  <c r="AN45" i="1" s="1"/>
  <c r="I46" i="1"/>
  <c r="P46" i="1"/>
  <c r="W46" i="1"/>
  <c r="AD46" i="1"/>
  <c r="AK46" i="1"/>
  <c r="AN46" i="1" s="1"/>
  <c r="I47" i="1"/>
  <c r="P47" i="1"/>
  <c r="W47" i="1"/>
  <c r="AD47" i="1"/>
  <c r="AK47" i="1"/>
  <c r="AN47" i="1" s="1"/>
  <c r="I48" i="1"/>
  <c r="P48" i="1"/>
  <c r="W48" i="1"/>
  <c r="AD48" i="1"/>
  <c r="AK48" i="1"/>
  <c r="I49" i="1"/>
  <c r="P49" i="1"/>
  <c r="W49" i="1"/>
  <c r="AD49" i="1"/>
  <c r="AK49" i="1"/>
  <c r="AN49" i="1" s="1"/>
  <c r="I50" i="1"/>
  <c r="P50" i="1"/>
  <c r="W50" i="1"/>
  <c r="AD50" i="1"/>
  <c r="AK50" i="1"/>
  <c r="I51" i="1"/>
  <c r="P51" i="1"/>
  <c r="W51" i="1"/>
  <c r="AD51" i="1"/>
  <c r="AK51" i="1"/>
  <c r="AN51" i="1" s="1"/>
  <c r="I52" i="1"/>
  <c r="P52" i="1"/>
  <c r="W52" i="1"/>
  <c r="AD52" i="1"/>
  <c r="AK52" i="1"/>
  <c r="I53" i="1"/>
  <c r="P53" i="1"/>
  <c r="W53" i="1"/>
  <c r="AD53" i="1"/>
  <c r="AK53" i="1"/>
  <c r="I54" i="1"/>
  <c r="P54" i="1"/>
  <c r="W54" i="1"/>
  <c r="AD54" i="1"/>
  <c r="AK54" i="1"/>
  <c r="AN54" i="1" s="1"/>
  <c r="I55" i="1"/>
  <c r="P55" i="1"/>
  <c r="W55" i="1"/>
  <c r="AD55" i="1"/>
  <c r="AK55" i="1"/>
  <c r="AN55" i="1" s="1"/>
  <c r="I56" i="1"/>
  <c r="P56" i="1"/>
  <c r="W56" i="1"/>
  <c r="AD56" i="1"/>
  <c r="AK56" i="1"/>
  <c r="AN56" i="1" s="1"/>
  <c r="I57" i="1"/>
  <c r="P57" i="1"/>
  <c r="W57" i="1"/>
  <c r="AD57" i="1"/>
  <c r="AK57" i="1"/>
  <c r="I58" i="1"/>
  <c r="P58" i="1"/>
  <c r="W58" i="1"/>
  <c r="AD58" i="1"/>
  <c r="AK58" i="1"/>
  <c r="AN58" i="1" s="1"/>
  <c r="I59" i="1"/>
  <c r="P59" i="1"/>
  <c r="W59" i="1"/>
  <c r="AD59" i="1"/>
  <c r="AK59" i="1"/>
  <c r="AN59" i="1" s="1"/>
  <c r="I60" i="1"/>
  <c r="P60" i="1"/>
  <c r="W60" i="1"/>
  <c r="AD60" i="1"/>
  <c r="AK60" i="1"/>
  <c r="I61" i="1"/>
  <c r="P61" i="1"/>
  <c r="W61" i="1"/>
  <c r="AD61" i="1"/>
  <c r="AK61" i="1"/>
  <c r="AN61" i="1" s="1"/>
  <c r="I62" i="1"/>
  <c r="P62" i="1"/>
  <c r="W62" i="1"/>
  <c r="AD62" i="1"/>
  <c r="AK62" i="1"/>
  <c r="I63" i="1"/>
  <c r="P63" i="1"/>
  <c r="W63" i="1"/>
  <c r="AD63" i="1"/>
  <c r="AK63" i="1"/>
  <c r="AN63" i="1" s="1"/>
  <c r="I64" i="1"/>
  <c r="P64" i="1"/>
  <c r="W64" i="1"/>
  <c r="AD64" i="1"/>
  <c r="AK64" i="1"/>
  <c r="I65" i="1"/>
  <c r="P65" i="1"/>
  <c r="W65" i="1"/>
  <c r="AD65" i="1"/>
  <c r="AK65" i="1"/>
  <c r="I66" i="1"/>
  <c r="P66" i="1"/>
  <c r="W66" i="1"/>
  <c r="AD66" i="1"/>
  <c r="AK66" i="1"/>
  <c r="AN66" i="1" s="1"/>
  <c r="I67" i="1"/>
  <c r="P67" i="1"/>
  <c r="W67" i="1"/>
  <c r="AD67" i="1"/>
  <c r="AK67" i="1"/>
  <c r="AN67" i="1" s="1"/>
  <c r="I68" i="1"/>
  <c r="P68" i="1"/>
  <c r="W68" i="1"/>
  <c r="AD68" i="1"/>
  <c r="AK68" i="1"/>
  <c r="I69" i="1"/>
  <c r="P69" i="1"/>
  <c r="W69" i="1"/>
  <c r="AD69" i="1"/>
  <c r="AK69" i="1"/>
  <c r="I70" i="1"/>
  <c r="P70" i="1"/>
  <c r="W70" i="1"/>
  <c r="AD70" i="1"/>
  <c r="AK70" i="1"/>
  <c r="AN70" i="1" s="1"/>
  <c r="I71" i="1"/>
  <c r="P71" i="1"/>
  <c r="W71" i="1"/>
  <c r="AD71" i="1"/>
  <c r="AK71" i="1"/>
  <c r="AN71" i="1" s="1"/>
  <c r="I72" i="1"/>
  <c r="P72" i="1"/>
  <c r="W72" i="1"/>
  <c r="AD72" i="1"/>
  <c r="AK72" i="1"/>
  <c r="I73" i="1"/>
  <c r="P73" i="1"/>
  <c r="W73" i="1"/>
  <c r="AD73" i="1"/>
  <c r="AK73" i="1"/>
  <c r="I74" i="1"/>
  <c r="P74" i="1"/>
  <c r="W74" i="1"/>
  <c r="AD74" i="1"/>
  <c r="AK74" i="1"/>
  <c r="I75" i="1"/>
  <c r="P75" i="1"/>
  <c r="W75" i="1"/>
  <c r="AD75" i="1"/>
  <c r="AK75" i="1"/>
  <c r="AN75" i="1" s="1"/>
  <c r="I76" i="1"/>
  <c r="P76" i="1"/>
  <c r="W76" i="1"/>
  <c r="AD76" i="1"/>
  <c r="AK76" i="1"/>
  <c r="I77" i="1"/>
  <c r="P77" i="1"/>
  <c r="W77" i="1"/>
  <c r="AD77" i="1"/>
  <c r="AK77" i="1"/>
  <c r="I78" i="1"/>
  <c r="P78" i="1"/>
  <c r="W78" i="1"/>
  <c r="AD78" i="1"/>
  <c r="AK78" i="1"/>
  <c r="AN78" i="1" s="1"/>
  <c r="I79" i="1"/>
  <c r="P79" i="1"/>
  <c r="W79" i="1"/>
  <c r="AD79" i="1"/>
  <c r="AK79" i="1"/>
  <c r="AN79" i="1" s="1"/>
  <c r="I80" i="1"/>
  <c r="P80" i="1"/>
  <c r="W80" i="1"/>
  <c r="AD80" i="1"/>
  <c r="AK80" i="1"/>
  <c r="I81" i="1"/>
  <c r="P81" i="1"/>
  <c r="W81" i="1"/>
  <c r="AD81" i="1"/>
  <c r="AK81" i="1"/>
  <c r="I82" i="1"/>
  <c r="P82" i="1"/>
  <c r="W82" i="1"/>
  <c r="AD82" i="1"/>
  <c r="AK82" i="1"/>
  <c r="AN82" i="1" s="1"/>
  <c r="I83" i="1"/>
  <c r="P83" i="1"/>
  <c r="W83" i="1"/>
  <c r="AD83" i="1"/>
  <c r="AK83" i="1"/>
  <c r="AN83" i="1" s="1"/>
  <c r="I84" i="1"/>
  <c r="P84" i="1"/>
  <c r="W84" i="1"/>
  <c r="AD84" i="1"/>
  <c r="AK84" i="1"/>
  <c r="I85" i="1"/>
  <c r="P85" i="1"/>
  <c r="W85" i="1"/>
  <c r="AD85" i="1"/>
  <c r="AK85" i="1"/>
  <c r="I86" i="1"/>
  <c r="P86" i="1"/>
  <c r="W86" i="1"/>
  <c r="AD86" i="1"/>
  <c r="AK86" i="1"/>
  <c r="I87" i="1"/>
  <c r="P87" i="1"/>
  <c r="W87" i="1"/>
  <c r="AD87" i="1"/>
  <c r="AK87" i="1"/>
  <c r="AN87" i="1" s="1"/>
  <c r="I88" i="1"/>
  <c r="P88" i="1"/>
  <c r="W88" i="1"/>
  <c r="AD88" i="1"/>
  <c r="AK88" i="1"/>
  <c r="I89" i="1"/>
  <c r="P89" i="1"/>
  <c r="W89" i="1"/>
  <c r="AD89" i="1"/>
  <c r="AK89" i="1"/>
  <c r="I90" i="1"/>
  <c r="P90" i="1"/>
  <c r="W90" i="1"/>
  <c r="AD90" i="1"/>
  <c r="AK90" i="1"/>
  <c r="AN90" i="1" s="1"/>
  <c r="I91" i="1"/>
  <c r="P91" i="1"/>
  <c r="W91" i="1"/>
  <c r="AD91" i="1"/>
  <c r="AK91" i="1"/>
  <c r="AN91" i="1" s="1"/>
  <c r="I92" i="1"/>
  <c r="P92" i="1"/>
  <c r="W92" i="1"/>
  <c r="AD92" i="1"/>
  <c r="AK92" i="1"/>
  <c r="I93" i="1"/>
  <c r="P93" i="1"/>
  <c r="W93" i="1"/>
  <c r="AD93" i="1"/>
  <c r="AK93" i="1"/>
  <c r="I94" i="1"/>
  <c r="P94" i="1"/>
  <c r="W94" i="1"/>
  <c r="AD94" i="1"/>
  <c r="AK94" i="1"/>
  <c r="AN94" i="1" s="1"/>
  <c r="I95" i="1"/>
  <c r="P95" i="1"/>
  <c r="W95" i="1"/>
  <c r="AD95" i="1"/>
  <c r="AK95" i="1"/>
  <c r="AN95" i="1" s="1"/>
  <c r="I96" i="1"/>
  <c r="P96" i="1"/>
  <c r="W96" i="1"/>
  <c r="AD96" i="1"/>
  <c r="AK96" i="1"/>
  <c r="I97" i="1"/>
  <c r="P97" i="1"/>
  <c r="W97" i="1"/>
  <c r="AD97" i="1"/>
  <c r="AK97" i="1"/>
  <c r="I98" i="1"/>
  <c r="P98" i="1"/>
  <c r="W98" i="1"/>
  <c r="AD98" i="1"/>
  <c r="AK98" i="1"/>
  <c r="I99" i="1"/>
  <c r="P99" i="1"/>
  <c r="W99" i="1"/>
  <c r="AD99" i="1"/>
  <c r="AK99" i="1"/>
  <c r="AN99" i="1" s="1"/>
  <c r="I100" i="1"/>
  <c r="P100" i="1"/>
  <c r="W100" i="1"/>
  <c r="AD100" i="1"/>
  <c r="AK100" i="1"/>
  <c r="I101" i="1"/>
  <c r="P101" i="1"/>
  <c r="W101" i="1"/>
  <c r="AD101" i="1"/>
  <c r="AK101" i="1"/>
  <c r="I102" i="1"/>
  <c r="P102" i="1"/>
  <c r="W102" i="1"/>
  <c r="AD102" i="1"/>
  <c r="AK102" i="1"/>
  <c r="AN102" i="1" s="1"/>
  <c r="I103" i="1"/>
  <c r="P103" i="1"/>
  <c r="W103" i="1"/>
  <c r="AD103" i="1"/>
  <c r="AK103" i="1"/>
  <c r="AN103" i="1" s="1"/>
  <c r="I104" i="1"/>
  <c r="P104" i="1"/>
  <c r="W104" i="1"/>
  <c r="AD104" i="1"/>
  <c r="AK104" i="1"/>
  <c r="I105" i="1"/>
  <c r="P105" i="1"/>
  <c r="W105" i="1"/>
  <c r="AD105" i="1"/>
  <c r="AK105" i="1"/>
  <c r="I106" i="1"/>
  <c r="P106" i="1"/>
  <c r="W106" i="1"/>
  <c r="AD106" i="1"/>
  <c r="AK106" i="1"/>
  <c r="AN106" i="1" s="1"/>
  <c r="I107" i="1"/>
  <c r="P107" i="1"/>
  <c r="W107" i="1"/>
  <c r="AD107" i="1"/>
  <c r="AK107" i="1"/>
  <c r="AN107" i="1" s="1"/>
  <c r="I108" i="1"/>
  <c r="P108" i="1"/>
  <c r="W108" i="1"/>
  <c r="AD108" i="1"/>
  <c r="AK108" i="1"/>
  <c r="I109" i="1"/>
  <c r="P109" i="1"/>
  <c r="W109" i="1"/>
  <c r="AD109" i="1"/>
  <c r="AK109" i="1"/>
  <c r="I110" i="1"/>
  <c r="P110" i="1"/>
  <c r="W110" i="1"/>
  <c r="AD110" i="1"/>
  <c r="AK110" i="1"/>
  <c r="I111" i="1"/>
  <c r="P111" i="1"/>
  <c r="W111" i="1"/>
  <c r="AD111" i="1"/>
  <c r="AK111" i="1"/>
  <c r="AN111" i="1" s="1"/>
  <c r="I112" i="1"/>
  <c r="P112" i="1"/>
  <c r="W112" i="1"/>
  <c r="AD112" i="1"/>
  <c r="AK112" i="1"/>
  <c r="I113" i="1"/>
  <c r="P113" i="1"/>
  <c r="W113" i="1"/>
  <c r="AD113" i="1"/>
  <c r="AK113" i="1"/>
  <c r="I114" i="1"/>
  <c r="P114" i="1"/>
  <c r="W114" i="1"/>
  <c r="AD114" i="1"/>
  <c r="AK114" i="1"/>
  <c r="AN114" i="1" s="1"/>
  <c r="I115" i="1"/>
  <c r="P115" i="1"/>
  <c r="W115" i="1"/>
  <c r="AD115" i="1"/>
  <c r="AK115" i="1"/>
  <c r="AN115" i="1" s="1"/>
  <c r="I116" i="1"/>
  <c r="P116" i="1"/>
  <c r="W116" i="1"/>
  <c r="AD116" i="1"/>
  <c r="AK116" i="1"/>
  <c r="I117" i="1"/>
  <c r="P117" i="1"/>
  <c r="W117" i="1"/>
  <c r="AD117" i="1"/>
  <c r="AK117" i="1"/>
  <c r="I118" i="1"/>
  <c r="P118" i="1"/>
  <c r="W118" i="1"/>
  <c r="AD118" i="1"/>
  <c r="AK118" i="1"/>
  <c r="AN118" i="1" s="1"/>
  <c r="I119" i="1"/>
  <c r="P119" i="1"/>
  <c r="W119" i="1"/>
  <c r="AD119" i="1"/>
  <c r="AK119" i="1"/>
  <c r="AN119" i="1" s="1"/>
  <c r="I120" i="1"/>
  <c r="P120" i="1"/>
  <c r="W120" i="1"/>
  <c r="AD120" i="1"/>
  <c r="AK120" i="1"/>
  <c r="I121" i="1"/>
  <c r="P121" i="1"/>
  <c r="W121" i="1"/>
  <c r="AD121" i="1"/>
  <c r="AK121" i="1"/>
  <c r="I122" i="1"/>
  <c r="P122" i="1"/>
  <c r="W122" i="1"/>
  <c r="AD122" i="1"/>
  <c r="AK122" i="1"/>
  <c r="I123" i="1"/>
  <c r="P123" i="1"/>
  <c r="W123" i="1"/>
  <c r="AD123" i="1"/>
  <c r="AK123" i="1"/>
  <c r="AN123" i="1" s="1"/>
  <c r="I124" i="1"/>
  <c r="P124" i="1"/>
  <c r="W124" i="1"/>
  <c r="AD124" i="1"/>
  <c r="AK124" i="1"/>
  <c r="I125" i="1"/>
  <c r="P125" i="1"/>
  <c r="W125" i="1"/>
  <c r="AD125" i="1"/>
  <c r="AK125" i="1"/>
  <c r="I126" i="1"/>
  <c r="P126" i="1"/>
  <c r="W126" i="1"/>
  <c r="AD126" i="1"/>
  <c r="AK126" i="1"/>
  <c r="AN126" i="1" s="1"/>
  <c r="I127" i="1"/>
  <c r="P127" i="1"/>
  <c r="W127" i="1"/>
  <c r="AD127" i="1"/>
  <c r="AK127" i="1"/>
  <c r="AN127" i="1" s="1"/>
  <c r="I128" i="1"/>
  <c r="P128" i="1"/>
  <c r="W128" i="1"/>
  <c r="AD128" i="1"/>
  <c r="AK128" i="1"/>
  <c r="I129" i="1"/>
  <c r="P129" i="1"/>
  <c r="W129" i="1"/>
  <c r="AD129" i="1"/>
  <c r="AK129" i="1"/>
  <c r="I130" i="1"/>
  <c r="P130" i="1"/>
  <c r="W130" i="1"/>
  <c r="AD130" i="1"/>
  <c r="AK130" i="1"/>
  <c r="AN130" i="1" s="1"/>
  <c r="I131" i="1"/>
  <c r="P131" i="1"/>
  <c r="W131" i="1"/>
  <c r="AD131" i="1"/>
  <c r="AK131" i="1"/>
  <c r="AN131" i="1" s="1"/>
  <c r="I132" i="1"/>
  <c r="P132" i="1"/>
  <c r="W132" i="1"/>
  <c r="AD132" i="1"/>
  <c r="AK132" i="1"/>
  <c r="I133" i="1"/>
  <c r="P133" i="1"/>
  <c r="W133" i="1"/>
  <c r="AD133" i="1"/>
  <c r="AK133" i="1"/>
  <c r="I134" i="1"/>
  <c r="P134" i="1"/>
  <c r="W134" i="1"/>
  <c r="AD134" i="1"/>
  <c r="AK134" i="1"/>
  <c r="I135" i="1"/>
  <c r="P135" i="1"/>
  <c r="W135" i="1"/>
  <c r="AD135" i="1"/>
  <c r="AK135" i="1"/>
  <c r="AN135" i="1" s="1"/>
  <c r="I136" i="1"/>
  <c r="P136" i="1"/>
  <c r="W136" i="1"/>
  <c r="AD136" i="1"/>
  <c r="AK136" i="1"/>
  <c r="I137" i="1"/>
  <c r="P137" i="1"/>
  <c r="W137" i="1"/>
  <c r="AD137" i="1"/>
  <c r="AK137" i="1"/>
  <c r="I138" i="1"/>
  <c r="P138" i="1"/>
  <c r="W138" i="1"/>
  <c r="AD138" i="1"/>
  <c r="AK138" i="1"/>
  <c r="AN138" i="1" s="1"/>
  <c r="I139" i="1"/>
  <c r="P139" i="1"/>
  <c r="W139" i="1"/>
  <c r="AD139" i="1"/>
  <c r="AK139" i="1"/>
  <c r="AN139" i="1" s="1"/>
  <c r="I140" i="1"/>
  <c r="P140" i="1"/>
  <c r="W140" i="1"/>
  <c r="AD140" i="1"/>
  <c r="AK140" i="1"/>
  <c r="I141" i="1"/>
  <c r="P141" i="1"/>
  <c r="W141" i="1"/>
  <c r="AD141" i="1"/>
  <c r="AK141" i="1"/>
  <c r="I142" i="1"/>
  <c r="P142" i="1"/>
  <c r="W142" i="1"/>
  <c r="AD142" i="1"/>
  <c r="AK142" i="1"/>
  <c r="AN142" i="1" s="1"/>
  <c r="I143" i="1"/>
  <c r="P143" i="1"/>
  <c r="W143" i="1"/>
  <c r="AD143" i="1"/>
  <c r="AK143" i="1"/>
  <c r="AN143" i="1" s="1"/>
  <c r="I144" i="1"/>
  <c r="P144" i="1"/>
  <c r="W144" i="1"/>
  <c r="AD144" i="1"/>
  <c r="AK144" i="1"/>
  <c r="I145" i="1"/>
  <c r="P145" i="1"/>
  <c r="W145" i="1"/>
  <c r="AD145" i="1"/>
  <c r="AK145" i="1"/>
  <c r="I146" i="1"/>
  <c r="P146" i="1"/>
  <c r="W146" i="1"/>
  <c r="AD146" i="1"/>
  <c r="AK146" i="1"/>
  <c r="I147" i="1"/>
  <c r="P147" i="1"/>
  <c r="W147" i="1"/>
  <c r="AD147" i="1"/>
  <c r="AK147" i="1"/>
  <c r="AN147" i="1" s="1"/>
  <c r="I148" i="1"/>
  <c r="P148" i="1"/>
  <c r="W148" i="1"/>
  <c r="AD148" i="1"/>
  <c r="AK148" i="1"/>
  <c r="I149" i="1"/>
  <c r="P149" i="1"/>
  <c r="W149" i="1"/>
  <c r="AD149" i="1"/>
  <c r="AK149" i="1"/>
  <c r="I150" i="1"/>
  <c r="P150" i="1"/>
  <c r="W150" i="1"/>
  <c r="AD150" i="1"/>
  <c r="AK150" i="1"/>
  <c r="AN150" i="1" s="1"/>
  <c r="I151" i="1"/>
  <c r="P151" i="1"/>
  <c r="W151" i="1"/>
  <c r="AD151" i="1"/>
  <c r="AK151" i="1"/>
  <c r="AN151" i="1" s="1"/>
  <c r="I152" i="1"/>
  <c r="P152" i="1"/>
  <c r="W152" i="1"/>
  <c r="AD152" i="1"/>
  <c r="AK152" i="1"/>
  <c r="I153" i="1"/>
  <c r="P153" i="1"/>
  <c r="W153" i="1"/>
  <c r="AD153" i="1"/>
  <c r="AK153" i="1"/>
  <c r="I154" i="1"/>
  <c r="P154" i="1"/>
  <c r="W154" i="1"/>
  <c r="AD154" i="1"/>
  <c r="AK154" i="1"/>
  <c r="AN154" i="1" s="1"/>
  <c r="I155" i="1"/>
  <c r="P155" i="1"/>
  <c r="W155" i="1"/>
  <c r="AD155" i="1"/>
  <c r="AK155" i="1"/>
  <c r="AN155" i="1" s="1"/>
  <c r="I156" i="1"/>
  <c r="P156" i="1"/>
  <c r="W156" i="1"/>
  <c r="AD156" i="1"/>
  <c r="AK156" i="1"/>
  <c r="I157" i="1"/>
  <c r="P157" i="1"/>
  <c r="W157" i="1"/>
  <c r="AD157" i="1"/>
  <c r="AK157" i="1"/>
  <c r="I158" i="1"/>
  <c r="P158" i="1"/>
  <c r="W158" i="1"/>
  <c r="AD158" i="1"/>
  <c r="AK158" i="1"/>
  <c r="I159" i="1"/>
  <c r="P159" i="1"/>
  <c r="W159" i="1"/>
  <c r="AD159" i="1"/>
  <c r="AK159" i="1"/>
  <c r="AN159" i="1" s="1"/>
  <c r="I160" i="1"/>
  <c r="P160" i="1"/>
  <c r="W160" i="1"/>
  <c r="AD160" i="1"/>
  <c r="AK160" i="1"/>
  <c r="I161" i="1"/>
  <c r="P161" i="1"/>
  <c r="W161" i="1"/>
  <c r="AD161" i="1"/>
  <c r="AK161" i="1"/>
  <c r="I162" i="1"/>
  <c r="P162" i="1"/>
  <c r="W162" i="1"/>
  <c r="AD162" i="1"/>
  <c r="AK162" i="1"/>
  <c r="AN162" i="1" s="1"/>
  <c r="I163" i="1"/>
  <c r="P163" i="1"/>
  <c r="W163" i="1"/>
  <c r="AD163" i="1"/>
  <c r="AK163" i="1"/>
  <c r="AN163" i="1" s="1"/>
  <c r="I164" i="1"/>
  <c r="P164" i="1"/>
  <c r="W164" i="1"/>
  <c r="AD164" i="1"/>
  <c r="AK164" i="1"/>
  <c r="I165" i="1"/>
  <c r="P165" i="1"/>
  <c r="W165" i="1"/>
  <c r="AD165" i="1"/>
  <c r="AK165" i="1"/>
  <c r="I166" i="1"/>
  <c r="P166" i="1"/>
  <c r="W166" i="1"/>
  <c r="AD166" i="1"/>
  <c r="AK166" i="1"/>
  <c r="AN166" i="1" s="1"/>
  <c r="I167" i="1"/>
  <c r="P167" i="1"/>
  <c r="W167" i="1"/>
  <c r="AD167" i="1"/>
  <c r="AK167" i="1"/>
  <c r="AN167" i="1" s="1"/>
  <c r="I168" i="1"/>
  <c r="P168" i="1"/>
  <c r="W168" i="1"/>
  <c r="AD168" i="1"/>
  <c r="AK168" i="1"/>
  <c r="I169" i="1"/>
  <c r="P169" i="1"/>
  <c r="W169" i="1"/>
  <c r="AD169" i="1"/>
  <c r="AK169" i="1"/>
  <c r="I170" i="1"/>
  <c r="P170" i="1"/>
  <c r="W170" i="1"/>
  <c r="AD170" i="1"/>
  <c r="AK170" i="1"/>
  <c r="I171" i="1"/>
  <c r="P171" i="1"/>
  <c r="W171" i="1"/>
  <c r="AD171" i="1"/>
  <c r="AK171" i="1"/>
  <c r="AN171" i="1" s="1"/>
  <c r="I172" i="1"/>
  <c r="P172" i="1"/>
  <c r="W172" i="1"/>
  <c r="AD172" i="1"/>
  <c r="AK172" i="1"/>
  <c r="I173" i="1"/>
  <c r="P173" i="1"/>
  <c r="W173" i="1"/>
  <c r="AD173" i="1"/>
  <c r="AK173" i="1"/>
  <c r="I174" i="1"/>
  <c r="P174" i="1"/>
  <c r="W174" i="1"/>
  <c r="AD174" i="1"/>
  <c r="AK174" i="1"/>
  <c r="AN174" i="1" s="1"/>
  <c r="I175" i="1"/>
  <c r="P175" i="1"/>
  <c r="W175" i="1"/>
  <c r="AD175" i="1"/>
  <c r="AK175" i="1"/>
  <c r="AN175" i="1" s="1"/>
  <c r="I176" i="1"/>
  <c r="P176" i="1"/>
  <c r="W176" i="1"/>
  <c r="AD176" i="1"/>
  <c r="AK176" i="1"/>
  <c r="I177" i="1"/>
  <c r="P177" i="1"/>
  <c r="W177" i="1"/>
  <c r="AD177" i="1"/>
  <c r="AK177" i="1"/>
  <c r="I178" i="1"/>
  <c r="P178" i="1"/>
  <c r="W178" i="1"/>
  <c r="AD178" i="1"/>
  <c r="AK178" i="1"/>
  <c r="AN178" i="1" s="1"/>
  <c r="I179" i="1"/>
  <c r="P179" i="1"/>
  <c r="W179" i="1"/>
  <c r="AD179" i="1"/>
  <c r="AK179" i="1"/>
  <c r="AN179" i="1" s="1"/>
  <c r="I180" i="1"/>
  <c r="P180" i="1"/>
  <c r="W180" i="1"/>
  <c r="AD180" i="1"/>
  <c r="AK180" i="1"/>
  <c r="I181" i="1"/>
  <c r="P181" i="1"/>
  <c r="W181" i="1"/>
  <c r="AD181" i="1"/>
  <c r="AK181" i="1"/>
  <c r="I182" i="1"/>
  <c r="P182" i="1"/>
  <c r="W182" i="1"/>
  <c r="AD182" i="1"/>
  <c r="AK182" i="1"/>
  <c r="I183" i="1"/>
  <c r="P183" i="1"/>
  <c r="W183" i="1"/>
  <c r="AD183" i="1"/>
  <c r="AK183" i="1"/>
  <c r="AN183" i="1" s="1"/>
  <c r="I184" i="1"/>
  <c r="P184" i="1"/>
  <c r="W184" i="1"/>
  <c r="AD184" i="1"/>
  <c r="AK184" i="1"/>
  <c r="I185" i="1"/>
  <c r="P185" i="1"/>
  <c r="W185" i="1"/>
  <c r="AD185" i="1"/>
  <c r="AK185" i="1"/>
  <c r="I186" i="1"/>
  <c r="P186" i="1"/>
  <c r="W186" i="1"/>
  <c r="AD186" i="1"/>
  <c r="AK186" i="1"/>
  <c r="AN186" i="1" s="1"/>
  <c r="I187" i="1"/>
  <c r="P187" i="1"/>
  <c r="W187" i="1"/>
  <c r="AD187" i="1"/>
  <c r="AK187" i="1"/>
  <c r="AN187" i="1" s="1"/>
  <c r="I188" i="1"/>
  <c r="P188" i="1"/>
  <c r="W188" i="1"/>
  <c r="AD188" i="1"/>
  <c r="AK188" i="1"/>
  <c r="I189" i="1"/>
  <c r="P189" i="1"/>
  <c r="W189" i="1"/>
  <c r="AD189" i="1"/>
  <c r="AK189" i="1"/>
  <c r="I190" i="1"/>
  <c r="P190" i="1"/>
  <c r="W190" i="1"/>
  <c r="AD190" i="1"/>
  <c r="AK190" i="1"/>
  <c r="AN190" i="1" s="1"/>
  <c r="I191" i="1"/>
  <c r="P191" i="1"/>
  <c r="W191" i="1"/>
  <c r="AD191" i="1"/>
  <c r="AK191" i="1"/>
  <c r="AN191" i="1" s="1"/>
  <c r="I192" i="1"/>
  <c r="P192" i="1"/>
  <c r="W192" i="1"/>
  <c r="AD192" i="1"/>
  <c r="AK192" i="1"/>
  <c r="I193" i="1"/>
  <c r="P193" i="1"/>
  <c r="W193" i="1"/>
  <c r="AD193" i="1"/>
  <c r="AK193" i="1"/>
  <c r="I194" i="1"/>
  <c r="P194" i="1"/>
  <c r="W194" i="1"/>
  <c r="AD194" i="1"/>
  <c r="AK194" i="1"/>
  <c r="I195" i="1"/>
  <c r="P195" i="1"/>
  <c r="W195" i="1"/>
  <c r="AD195" i="1"/>
  <c r="AK195" i="1"/>
  <c r="AN195" i="1" s="1"/>
  <c r="I2" i="1"/>
  <c r="P2" i="1"/>
  <c r="W2" i="1"/>
  <c r="AD2" i="1"/>
  <c r="AK2" i="1"/>
  <c r="AN2" i="1" s="1"/>
  <c r="AN188" i="1" l="1"/>
  <c r="AN176" i="1"/>
  <c r="AN164" i="1"/>
  <c r="AN152" i="1"/>
  <c r="AN140" i="1"/>
  <c r="AN128" i="1"/>
  <c r="AN116" i="1"/>
  <c r="AN104" i="1"/>
  <c r="AN92" i="1"/>
  <c r="AN80" i="1"/>
  <c r="AN68" i="1"/>
  <c r="AN165" i="1"/>
  <c r="AN153" i="1"/>
  <c r="AN141" i="1"/>
  <c r="AN129" i="1"/>
  <c r="AN117" i="1"/>
  <c r="AN105" i="1"/>
  <c r="AN93" i="1"/>
  <c r="AN81" i="1"/>
  <c r="AN69" i="1"/>
  <c r="AN57" i="1"/>
  <c r="AN189" i="1"/>
  <c r="AN177" i="1"/>
  <c r="AN185" i="1"/>
  <c r="AN184" i="1"/>
  <c r="AN172" i="1"/>
  <c r="AN160" i="1"/>
  <c r="AN148" i="1"/>
  <c r="AN136" i="1"/>
  <c r="AN124" i="1"/>
  <c r="AN112" i="1"/>
  <c r="AN100" i="1"/>
  <c r="AN88" i="1"/>
  <c r="AN76" i="1"/>
  <c r="AN64" i="1"/>
  <c r="AN52" i="1"/>
  <c r="AN40" i="1"/>
  <c r="AN28" i="1"/>
  <c r="AN16" i="1"/>
  <c r="AN4" i="1"/>
  <c r="AN173" i="1"/>
  <c r="AN161" i="1"/>
  <c r="AN149" i="1"/>
  <c r="AN137" i="1"/>
  <c r="AN125" i="1"/>
  <c r="AN113" i="1"/>
  <c r="AN101" i="1"/>
  <c r="AN89" i="1"/>
  <c r="AN77" i="1"/>
  <c r="AN65" i="1"/>
  <c r="AN53" i="1"/>
  <c r="AN194" i="1"/>
  <c r="AN182" i="1"/>
  <c r="AN170" i="1"/>
  <c r="AN158" i="1"/>
  <c r="AN146" i="1"/>
  <c r="AN134" i="1"/>
  <c r="AN122" i="1"/>
  <c r="AN110" i="1"/>
  <c r="AN98" i="1"/>
  <c r="AN86" i="1"/>
  <c r="AN74" i="1"/>
  <c r="AN62" i="1"/>
  <c r="AN50" i="1"/>
  <c r="AN38" i="1"/>
  <c r="AN26" i="1"/>
  <c r="AN14" i="1"/>
  <c r="AN193" i="1"/>
  <c r="AN181" i="1"/>
  <c r="AN169" i="1"/>
  <c r="AN157" i="1"/>
  <c r="AN145" i="1"/>
  <c r="AN133" i="1"/>
  <c r="AN121" i="1"/>
  <c r="AN109" i="1"/>
  <c r="AN97" i="1"/>
  <c r="AN85" i="1"/>
  <c r="AN73" i="1"/>
  <c r="AN192" i="1"/>
  <c r="AN180" i="1"/>
  <c r="AN168" i="1"/>
  <c r="AN156" i="1"/>
  <c r="AN144" i="1"/>
  <c r="AN132" i="1"/>
  <c r="AN120" i="1"/>
  <c r="AN108" i="1"/>
  <c r="AN96" i="1"/>
  <c r="AN84" i="1"/>
  <c r="AN72" i="1"/>
  <c r="AN60" i="1"/>
  <c r="AN48" i="1"/>
  <c r="AN36" i="1"/>
  <c r="AN24" i="1"/>
</calcChain>
</file>

<file path=xl/sharedStrings.xml><?xml version="1.0" encoding="utf-8"?>
<sst xmlns="http://schemas.openxmlformats.org/spreadsheetml/2006/main" count="3136" uniqueCount="388">
  <si>
    <t>Roll_No</t>
  </si>
  <si>
    <t>CLASSSEC</t>
  </si>
  <si>
    <t>Adno</t>
  </si>
  <si>
    <t>name</t>
  </si>
  <si>
    <t>Exam</t>
  </si>
  <si>
    <t>III_Language</t>
  </si>
  <si>
    <t>English</t>
  </si>
  <si>
    <t>II_LANGUAGE</t>
  </si>
  <si>
    <t>Maths</t>
  </si>
  <si>
    <t>GENERAL_SCENCE</t>
  </si>
  <si>
    <t>Social_Science</t>
  </si>
  <si>
    <t>IV-A</t>
  </si>
  <si>
    <t>AASHRITA SRINIVASAN</t>
  </si>
  <si>
    <t>Unit Test- I</t>
  </si>
  <si>
    <t>IV-B</t>
  </si>
  <si>
    <t>ADHYUTH SRIRAM BALAJI</t>
  </si>
  <si>
    <t>IV-C</t>
  </si>
  <si>
    <t>V AADARSH</t>
  </si>
  <si>
    <t>IV-D</t>
  </si>
  <si>
    <t>AADESH M</t>
  </si>
  <si>
    <t>Ab</t>
  </si>
  <si>
    <t>AB</t>
  </si>
  <si>
    <t>IV-E</t>
  </si>
  <si>
    <t>ACHYUT RAMNATH</t>
  </si>
  <si>
    <t>AKILA SRIVIDYA</t>
  </si>
  <si>
    <t>G AKSHAYA</t>
  </si>
  <si>
    <t>A ADHITI</t>
  </si>
  <si>
    <t>ADVIKA A</t>
  </si>
  <si>
    <t>AKSHAYA V</t>
  </si>
  <si>
    <t>A AMBRISH</t>
  </si>
  <si>
    <t>B AMIRTHA</t>
  </si>
  <si>
    <t>A ARJUN</t>
  </si>
  <si>
    <t>S ARJUN</t>
  </si>
  <si>
    <t>J ANTONY CHRISTO</t>
  </si>
  <si>
    <t>T S APRAMEYAN</t>
  </si>
  <si>
    <t>ANAGHA G</t>
  </si>
  <si>
    <t>J ATHVIKA</t>
  </si>
  <si>
    <t>BHAVISHNA P</t>
  </si>
  <si>
    <t>ANWITA RAVIKUMAR</t>
  </si>
  <si>
    <t>A AZEEM AHAMED</t>
  </si>
  <si>
    <t>J R ARUNYA BAVISHNI</t>
  </si>
  <si>
    <t>A G BALAMITHRAN</t>
  </si>
  <si>
    <t>S J CHIDARTH ABILAASH</t>
  </si>
  <si>
    <t>AVNEESH MUKUNTHAN</t>
  </si>
  <si>
    <t>ab</t>
  </si>
  <si>
    <t>CHARU NETHRAA G S</t>
  </si>
  <si>
    <t>M BALA KARTHIKEYA</t>
  </si>
  <si>
    <t>N DHEEKSHA SHREE</t>
  </si>
  <si>
    <t>GURUDASA S</t>
  </si>
  <si>
    <t>CHANDRAVADANA S</t>
  </si>
  <si>
    <t>B N DEEKSHITHA</t>
  </si>
  <si>
    <t>N DURAI RAJ</t>
  </si>
  <si>
    <t>DINESH K</t>
  </si>
  <si>
    <t>HANISHA ARUNKUMAR</t>
  </si>
  <si>
    <t>L DAKSHITA</t>
  </si>
  <si>
    <t>B DURGA SREE</t>
  </si>
  <si>
    <t>DHANYA V</t>
  </si>
  <si>
    <t>T GOWTHAM DAVID CAMERON</t>
  </si>
  <si>
    <t>D R ISHAN</t>
  </si>
  <si>
    <t>RG DEVAMITHRAN</t>
  </si>
  <si>
    <t>V GUHAN</t>
  </si>
  <si>
    <t>K GUNA SUBHASHINI</t>
  </si>
  <si>
    <t>A HAASINI</t>
  </si>
  <si>
    <t>JAYAKRISHAN S J</t>
  </si>
  <si>
    <t>M DEVEESH</t>
  </si>
  <si>
    <t>HARISH B</t>
  </si>
  <si>
    <t>R HASHINI</t>
  </si>
  <si>
    <t>C ISHANVI</t>
  </si>
  <si>
    <t>H P JAYASRI</t>
  </si>
  <si>
    <t>P DIYAMIKA</t>
  </si>
  <si>
    <t>S JAGATVISHNU</t>
  </si>
  <si>
    <t>J L KRISHAY</t>
  </si>
  <si>
    <t>B JASHWANTH</t>
  </si>
  <si>
    <t>KESHAV SAI A</t>
  </si>
  <si>
    <t>T HANIF AHMAD</t>
  </si>
  <si>
    <t>KAVIN T</t>
  </si>
  <si>
    <t>G LAKSHMI SRI</t>
  </si>
  <si>
    <t>KAVISH R</t>
  </si>
  <si>
    <t>A KRITHIKESH</t>
  </si>
  <si>
    <t>B HARIHANTH</t>
  </si>
  <si>
    <t>V KAVINAL</t>
  </si>
  <si>
    <t>B MANISHA</t>
  </si>
  <si>
    <t>G KRISSHIVRAM</t>
  </si>
  <si>
    <t>MADHAV SAI A</t>
  </si>
  <si>
    <t>V HARINI</t>
  </si>
  <si>
    <t>R KISHANTH</t>
  </si>
  <si>
    <t>R N MOHIT PRANAV</t>
  </si>
  <si>
    <t>S LAKSANA</t>
  </si>
  <si>
    <t>MAITHREYI SHREE SANKARI A</t>
  </si>
  <si>
    <t>B HARSITH</t>
  </si>
  <si>
    <t>KD KRITHVIK</t>
  </si>
  <si>
    <t>K NIRANJAN</t>
  </si>
  <si>
    <t>MADHAV PRAKASH</t>
  </si>
  <si>
    <t>S MANASVINI</t>
  </si>
  <si>
    <t>JOSHNI S</t>
  </si>
  <si>
    <t>L LAKSHAN SAI</t>
  </si>
  <si>
    <t>PAVANATMAJ K</t>
  </si>
  <si>
    <t>M MAHILAN</t>
  </si>
  <si>
    <t>MEERAA S S S</t>
  </si>
  <si>
    <t>S KANISHK</t>
  </si>
  <si>
    <t>S MITHRA</t>
  </si>
  <si>
    <t>PRANAV G J</t>
  </si>
  <si>
    <t>S MEENAKSHI</t>
  </si>
  <si>
    <t>K MITHILESH SAI</t>
  </si>
  <si>
    <t>D KAVINESH</t>
  </si>
  <si>
    <t>NIMALAN MAYOR KUMAR</t>
  </si>
  <si>
    <t>R PRITHVI</t>
  </si>
  <si>
    <t>MUKUND JAISANKAR</t>
  </si>
  <si>
    <t>NANESHVARAN R</t>
  </si>
  <si>
    <t>V KAVYA</t>
  </si>
  <si>
    <t>E PEROVIYA</t>
  </si>
  <si>
    <t>RAGHAV KARTHIK D</t>
  </si>
  <si>
    <t>R NITHYASRI</t>
  </si>
  <si>
    <t>M NIYANTHRI</t>
  </si>
  <si>
    <t>S MADHAVAN</t>
  </si>
  <si>
    <t>S PRANAV</t>
  </si>
  <si>
    <t>RAGHUVEER KOUSHIK SR</t>
  </si>
  <si>
    <t>PRAHALLAD J</t>
  </si>
  <si>
    <t>A PRANAV</t>
  </si>
  <si>
    <t>S MANASA</t>
  </si>
  <si>
    <t>V PUGAZHENDHI</t>
  </si>
  <si>
    <t>V RAM KUMAR</t>
  </si>
  <si>
    <t>S PRANAV KRISH</t>
  </si>
  <si>
    <t>PRANAV VEERAMANI</t>
  </si>
  <si>
    <t>P G MEGHNA</t>
  </si>
  <si>
    <t>RAMAPRIYAN NALLAN CHAKRAVARTHY</t>
  </si>
  <si>
    <t>S RISHIK</t>
  </si>
  <si>
    <t>B RAGHAVI</t>
  </si>
  <si>
    <t>PRASENJITJ</t>
  </si>
  <si>
    <t>M RIDHIKASHREE</t>
  </si>
  <si>
    <t>S RITHIKASREENA</t>
  </si>
  <si>
    <t>RAKSHAN N</t>
  </si>
  <si>
    <t>RAKSHANA SRIVATHSAN</t>
  </si>
  <si>
    <t>R J MONISHA</t>
  </si>
  <si>
    <t>RG ROSHAN</t>
  </si>
  <si>
    <t>SM RUDHRESH SHIVA</t>
  </si>
  <si>
    <t>V RIYA REGINA</t>
  </si>
  <si>
    <t>S RAVI BHARATHI</t>
  </si>
  <si>
    <t>NIKHIL SERVESH T</t>
  </si>
  <si>
    <t>RUDVIKA P S</t>
  </si>
  <si>
    <t>S SAHANAA</t>
  </si>
  <si>
    <t>ROHIT K</t>
  </si>
  <si>
    <t>RITHVIK SENDURAN</t>
  </si>
  <si>
    <t>K PRANAV</t>
  </si>
  <si>
    <t>S SADHANA</t>
  </si>
  <si>
    <t>S SAI SUDESH</t>
  </si>
  <si>
    <t>A S RUTHIKSHA</t>
  </si>
  <si>
    <t>V RIYA SRI</t>
  </si>
  <si>
    <t>A PUGAZH</t>
  </si>
  <si>
    <t>S SAHANA</t>
  </si>
  <si>
    <t>S SANJANA</t>
  </si>
  <si>
    <t>M SAIKARTHIGEYAN</t>
  </si>
  <si>
    <t>SAI ABINAV S</t>
  </si>
  <si>
    <t>RISHIKESH KRISHNA</t>
  </si>
  <si>
    <t>SAI CHARAN R A</t>
  </si>
  <si>
    <t>G SHAMYUKTHA</t>
  </si>
  <si>
    <t>SAMKSHITHA K</t>
  </si>
  <si>
    <t>D SAI KRISHNAN</t>
  </si>
  <si>
    <t>P ROHITHA</t>
  </si>
  <si>
    <t>SAI SABHARISH</t>
  </si>
  <si>
    <t>SHASTHA MAYUR</t>
  </si>
  <si>
    <t>V SHIVATHMIK</t>
  </si>
  <si>
    <t>SAMRIDDHI SRINIVAS</t>
  </si>
  <si>
    <t>S SACHIT</t>
  </si>
  <si>
    <t>V SAI SRINIVAS</t>
  </si>
  <si>
    <t>SHIVESH NATRAJ</t>
  </si>
  <si>
    <t>V K SMRUTHI KRISHNA</t>
  </si>
  <si>
    <t>V SANJAY</t>
  </si>
  <si>
    <t>S SANJAY</t>
  </si>
  <si>
    <t>SAI NEHA R A</t>
  </si>
  <si>
    <t>S SHRIYA</t>
  </si>
  <si>
    <t>M SRI KRISHNAN</t>
  </si>
  <si>
    <t>SMRITI S</t>
  </si>
  <si>
    <t>SHRUTAKIRTI S</t>
  </si>
  <si>
    <t>S SHRADDHA</t>
  </si>
  <si>
    <t>L SRIHARSHINI</t>
  </si>
  <si>
    <t>T A SRIRANJANI</t>
  </si>
  <si>
    <t>SMRUTHI PRASANNA</t>
  </si>
  <si>
    <t>SHREENITHI M</t>
  </si>
  <si>
    <t>P D SIDHDARTH</t>
  </si>
  <si>
    <t>T M SRIVATSAN</t>
  </si>
  <si>
    <t>SRIVATHSAN RAMANUJAN</t>
  </si>
  <si>
    <t>S SRICHARAN</t>
  </si>
  <si>
    <t>SWADHI SHREE</t>
  </si>
  <si>
    <t>S SRICHANA</t>
  </si>
  <si>
    <t>H TAANVI</t>
  </si>
  <si>
    <t>TANYA EVANGELINE P</t>
  </si>
  <si>
    <t>SRINIKA MADABUSHI</t>
  </si>
  <si>
    <t>V TARUN ADHITHYA</t>
  </si>
  <si>
    <t>S SRINISH</t>
  </si>
  <si>
    <t>S TANUJA</t>
  </si>
  <si>
    <t>R UDIT SOUNDHAR</t>
  </si>
  <si>
    <t>SUDHARSHAN RAGHAVENDRAN</t>
  </si>
  <si>
    <t>S TVARIKA</t>
  </si>
  <si>
    <t>SRIRAM MANIKANDAN</t>
  </si>
  <si>
    <t>H TRIVIKRAMA</t>
  </si>
  <si>
    <t>G VEDARATHINAM BHARATHWAJ</t>
  </si>
  <si>
    <t>S SUGANTHA PRIYA</t>
  </si>
  <si>
    <t>VAIBHAV GANESH</t>
  </si>
  <si>
    <t>V SWATHI</t>
  </si>
  <si>
    <t>V VIHAS</t>
  </si>
  <si>
    <t>B YAAZHISAI</t>
  </si>
  <si>
    <t>TARUNIKAA V S</t>
  </si>
  <si>
    <t>J YAZHINI</t>
  </si>
  <si>
    <t>R TRISHAN</t>
  </si>
  <si>
    <t>T VINISHA</t>
  </si>
  <si>
    <t>YUVAPRIYAN</t>
  </si>
  <si>
    <t>UTHSAV V</t>
  </si>
  <si>
    <t>K YUGAN</t>
  </si>
  <si>
    <t>M VIGNESH</t>
  </si>
  <si>
    <t>VISHWESH NATRAJ</t>
  </si>
  <si>
    <t>VISHNU V</t>
  </si>
  <si>
    <t>M YADAVI</t>
  </si>
  <si>
    <t>CSC_PRIMARY</t>
  </si>
  <si>
    <t>Unit Test-II</t>
  </si>
  <si>
    <t>A</t>
  </si>
  <si>
    <t>8 5</t>
  </si>
  <si>
    <t>16 5</t>
  </si>
  <si>
    <t>2 5</t>
  </si>
  <si>
    <t>30 5</t>
  </si>
  <si>
    <t>28 5</t>
  </si>
  <si>
    <t>Enrichment-1</t>
  </si>
  <si>
    <t>4 5</t>
  </si>
  <si>
    <t>Enrichment-2</t>
  </si>
  <si>
    <t>7..5</t>
  </si>
  <si>
    <t>Art_Education</t>
  </si>
  <si>
    <t>English_Recitation</t>
  </si>
  <si>
    <t>IIIL_ORAL</t>
  </si>
  <si>
    <t>IIL_Recitation</t>
  </si>
  <si>
    <t>Quiz</t>
  </si>
  <si>
    <t>Quarterly</t>
  </si>
  <si>
    <t>8 .5</t>
  </si>
  <si>
    <t>A b</t>
  </si>
  <si>
    <t>Absent</t>
  </si>
  <si>
    <t>Yes</t>
  </si>
  <si>
    <t>Good</t>
  </si>
  <si>
    <t>Regular</t>
  </si>
  <si>
    <t>81/83</t>
  </si>
  <si>
    <t>Participated in 75M Dash</t>
  </si>
  <si>
    <t>78/83</t>
  </si>
  <si>
    <t>77/83</t>
  </si>
  <si>
    <t>80/83</t>
  </si>
  <si>
    <t>79/83</t>
  </si>
  <si>
    <t>Won II prize - 100m dash</t>
  </si>
  <si>
    <t>82/83</t>
  </si>
  <si>
    <t>Participated in Bhagwat Geetha conducted by Chinmayi mission</t>
  </si>
  <si>
    <t>76/83</t>
  </si>
  <si>
    <t>83/83</t>
  </si>
  <si>
    <t>75/83</t>
  </si>
  <si>
    <t>Won IV prize - 50 M obstacle race</t>
  </si>
  <si>
    <t>Ii prize - 50 M - Shuttle run</t>
  </si>
  <si>
    <t>Won IV prize - 75 meters dash</t>
  </si>
  <si>
    <t>69/83</t>
  </si>
  <si>
    <t>68/83</t>
  </si>
  <si>
    <t>63.5/83</t>
  </si>
  <si>
    <t>80.5/83</t>
  </si>
  <si>
    <t>1. Won II prize in Vishnu Sahasranamam- Annual Day Endowment competition. 2. Won II prize in Sanskrit Sloka recitation competition - Literary Day Celebrations 3. Participated in Bhagvadgita competition conducted by Chinmaya Vidyalaya.</t>
  </si>
  <si>
    <t>Won III prize - 100 Meters Dash and 50 Meters Obstacle Race</t>
  </si>
  <si>
    <t>Participated in drawing in Krishna Jayanti Celebration conducted by Vishwa Hindu Parishad.</t>
  </si>
  <si>
    <t>81/ 83</t>
  </si>
  <si>
    <t>Participated in Mono acting competition -Lit Fest</t>
  </si>
  <si>
    <t>He participated in 75 mts Dash</t>
  </si>
  <si>
    <t>77/ 83</t>
  </si>
  <si>
    <t>.</t>
  </si>
  <si>
    <t>She participated in 75 mts Dash</t>
  </si>
  <si>
    <t>She participated in Annual Endowment English Oratorical competition.</t>
  </si>
  <si>
    <t>71.5. / 83</t>
  </si>
  <si>
    <t>She participated in Annual Endowment Quiz competition</t>
  </si>
  <si>
    <t xml:space="preserve"> English Oratorical competition</t>
  </si>
  <si>
    <t>72.5 / 83</t>
  </si>
  <si>
    <t>She participated in Annual Endowment Quiz competition.</t>
  </si>
  <si>
    <t>78.5. / 83</t>
  </si>
  <si>
    <t xml:space="preserve"> English Oratorical competition.</t>
  </si>
  <si>
    <t>82 / 83</t>
  </si>
  <si>
    <t>Participated in Annual Endowment Quiz competition.</t>
  </si>
  <si>
    <t>73 / 83</t>
  </si>
  <si>
    <t>83 / 83</t>
  </si>
  <si>
    <t>80 / 83</t>
  </si>
  <si>
    <t>78.5 /83</t>
  </si>
  <si>
    <t>75 / 83</t>
  </si>
  <si>
    <t>Participated in Annual Endowment Sanskrit recitation competition - Vishnu Sahasranamam</t>
  </si>
  <si>
    <t>81 / 83</t>
  </si>
  <si>
    <t>He participated in Annual Endowment Quiz competition.</t>
  </si>
  <si>
    <t>74 / 83</t>
  </si>
  <si>
    <t>70 / 83</t>
  </si>
  <si>
    <t>64 /83</t>
  </si>
  <si>
    <t>78.5 / 83</t>
  </si>
  <si>
    <t>69.5 / 83</t>
  </si>
  <si>
    <t>81 /83</t>
  </si>
  <si>
    <t>81.5 / 83</t>
  </si>
  <si>
    <t>76 / 83</t>
  </si>
  <si>
    <t>He participated in Annual Endowment Quiz competition</t>
  </si>
  <si>
    <t xml:space="preserve"> Participated in Sanskrit recitation competition -Lit Fest - Thotakaashtakam.</t>
  </si>
  <si>
    <t>79 / 83</t>
  </si>
  <si>
    <t xml:space="preserve"> Sanskrit recitation competition - Vishnu Sahasranamam</t>
  </si>
  <si>
    <t>Participated in Tamil recitation competition - Sri Krishna Jayanthi celebrations.</t>
  </si>
  <si>
    <t>He participated in Annual Endowment English Oratorical competition</t>
  </si>
  <si>
    <t xml:space="preserve"> Sanskrit recitation competition -Lit Fest -Thotakaashtakam.</t>
  </si>
  <si>
    <t>70.5 / 83</t>
  </si>
  <si>
    <t>Participated in Annual Endowment English Oratorical competition.</t>
  </si>
  <si>
    <t>71 / 83</t>
  </si>
  <si>
    <t>72 / 83</t>
  </si>
  <si>
    <t>Participated in Tamil Recitation Competition Sri Krishna Jayanthi Fest 2024 and in Annual Endowment Quiz Competition.</t>
  </si>
  <si>
    <t>Participated in 75mts dash</t>
  </si>
  <si>
    <t>73.5/83</t>
  </si>
  <si>
    <t>60/83</t>
  </si>
  <si>
    <t>Participated in Sanskrit Recitation Competition- Literary Fest 2024 and in Annual Endowment Quiz Competition.</t>
  </si>
  <si>
    <t>Participated in Annual Endowment Quiz Competition.</t>
  </si>
  <si>
    <t>Participated in Sanskrit Recitation Competition- Literary Fest 2024</t>
  </si>
  <si>
    <t xml:space="preserve"> P.S Educational Society Golden Jubilee Celebrations and in Tamil Recitation Competition SriKrishna Jayanthi fest 2024.</t>
  </si>
  <si>
    <t>81.5/83</t>
  </si>
  <si>
    <t>Participated in Drawing Competition Sri Krishna Jayanthi fest 2024 and in Annual Endowment Quiz Competition.</t>
  </si>
  <si>
    <t>Participated in Sanskrit Recitation Competition- Literary Fest 2024.</t>
  </si>
  <si>
    <t>Has won first place in 75mts dash</t>
  </si>
  <si>
    <t>Participated in Sanskrit Recitation Competition- Annual Endowment Competition</t>
  </si>
  <si>
    <t xml:space="preserve"> Literary Fest 2024</t>
  </si>
  <si>
    <t xml:space="preserve"> P.S Educational Society Golden Jubilee Celebrations and in Tamil Recitation Competition - Sri Krishna Jayanthi Fest 2024.</t>
  </si>
  <si>
    <t>Has won First place in Tamil Recitation Competition in Sri Krishna Jayanthi Fest 2024 and participated in Annual Endowment Quiz Competition.</t>
  </si>
  <si>
    <t>73/83</t>
  </si>
  <si>
    <t xml:space="preserve"> Literary Fest 2024.</t>
  </si>
  <si>
    <t>78.5/83</t>
  </si>
  <si>
    <t>73/l83</t>
  </si>
  <si>
    <t xml:space="preserve"> in Tamil Recitation competition Sri Krishna Jayanthi Fest 2024 and in Annual Endowment Quiz Competition.</t>
  </si>
  <si>
    <t>76.5/83</t>
  </si>
  <si>
    <t>Participated in Sanskrit Recitation Competition- Annual Endowment Competition.</t>
  </si>
  <si>
    <t>Won second place in 75mts dash and Participated in 100mts dash</t>
  </si>
  <si>
    <t xml:space="preserve"> Literary Fest 2024 and in Annual Endowment Quiz competition.</t>
  </si>
  <si>
    <t>Participated in Sanskrit Recitation Competition- Annual Endowment Competition and in Annual Endowment Quiz Competition.</t>
  </si>
  <si>
    <t>Participated in Sanskrit Recitation Competition- Annual Endowment Competition and in Tamil Recitation Competition Sri Krishna Jayanthi Fest 2024.</t>
  </si>
  <si>
    <t>74/83</t>
  </si>
  <si>
    <t>Secured fourth position in Long Jump - Primary sports day</t>
  </si>
  <si>
    <t xml:space="preserve">Participated in Annual Endowment English oratorical competition </t>
  </si>
  <si>
    <t>mono - acting competition and Thotakastakam.</t>
  </si>
  <si>
    <t>72/83</t>
  </si>
  <si>
    <t>Participated in mono-acting competition -literary fest 2024</t>
  </si>
  <si>
    <t>Participated in the 100-meter Dash</t>
  </si>
  <si>
    <t>64/83</t>
  </si>
  <si>
    <t>.Participated in Annual Endowment English Oratorical competition.</t>
  </si>
  <si>
    <t>Participated in Annual Endowment English Oratorical competition. Participated in mono-acting competition conducted by Litrary fest 2024.</t>
  </si>
  <si>
    <t>Won a consolation prize in Tamil recitation competition conducted by vishwa Hindu Parishad. Participated in Annual Endowment English Oratorical competition and Thotakastakam.</t>
  </si>
  <si>
    <t>Participated in Annual quiz endowment competition.</t>
  </si>
  <si>
    <t>Secured 1st position in 50 mts Shuttle race and 3rd position in 50 mts Obstacle run in Primary sports day</t>
  </si>
  <si>
    <t>Participated in Annual Endowment Quiz competition</t>
  </si>
  <si>
    <t>Participated in Annual Endowment English oratorical competition</t>
  </si>
  <si>
    <t xml:space="preserve"> mono - acting competition conducted by Literary fes 2024 and Thotakastakam.</t>
  </si>
  <si>
    <t>Participated in English story telling competition in Litsav conducted by Bala vidhya Mandir</t>
  </si>
  <si>
    <t xml:space="preserve"> Participated in Annual Endowment English oratorical competition</t>
  </si>
  <si>
    <t>82.5/83</t>
  </si>
  <si>
    <t>Participated in Annual Endowment English Oratorical and Quiz endowment competition</t>
  </si>
  <si>
    <t xml:space="preserve"> mono - acting competition and Ganesh Panchratnam.</t>
  </si>
  <si>
    <t>Participated in Ganesh Panchratnam conducted by P.S. Educational society golden jubilee celebration.</t>
  </si>
  <si>
    <t>Secured third position in 75 mts dash</t>
  </si>
  <si>
    <t>Participated in Annual Endowment English Oratorical competition</t>
  </si>
  <si>
    <t>Secured 1st position in Long jump and third position in 100 mts dash.</t>
  </si>
  <si>
    <t>Participated in mono-acting competition conducted by Literary fest 2024.</t>
  </si>
  <si>
    <t>Secured Ist place in 50 mts Shuttle run</t>
  </si>
  <si>
    <t>No</t>
  </si>
  <si>
    <t>Average</t>
  </si>
  <si>
    <t>Irregular</t>
  </si>
  <si>
    <t>71.5/83</t>
  </si>
  <si>
    <t>Paarticipatednin Chinmaya Bagavath Gita Competition Participated in Annual day Endowment drawing competition</t>
  </si>
  <si>
    <t>58.5/83</t>
  </si>
  <si>
    <t>Excellent</t>
  </si>
  <si>
    <t>Won 3rd Prize in Drawing competition conducted by Vishwa hindu parishad on account of krishna jayanthi celebration on 25.08.24</t>
  </si>
  <si>
    <t>70/83</t>
  </si>
  <si>
    <t>79.5/83</t>
  </si>
  <si>
    <t>75.5/83</t>
  </si>
  <si>
    <t>Participated in Vishnu Sahasranamam competition</t>
  </si>
  <si>
    <t>69.5/83</t>
  </si>
  <si>
    <t>Won II Prize in 50M Obstacle Race Won II Prize 50M Shuttle Run Participated in 75M Dash</t>
  </si>
  <si>
    <t>Participated in Chinmaya Bagavath Gita competition</t>
  </si>
  <si>
    <t>67.5/83</t>
  </si>
  <si>
    <t>60.5/83</t>
  </si>
  <si>
    <t>Participated in Ganesh Pancharathnan competition</t>
  </si>
  <si>
    <t>Participated in Sloka recitation conducted by Vishwa hindu parishad on account of Sri krishna jayanthi celebration on 25.08.24</t>
  </si>
  <si>
    <t>T1</t>
  </si>
  <si>
    <t>T2</t>
  </si>
  <si>
    <t>T3</t>
  </si>
  <si>
    <t>Att</t>
  </si>
  <si>
    <t>Scholastic</t>
  </si>
  <si>
    <t>Sports</t>
  </si>
  <si>
    <t>UT/10</t>
  </si>
  <si>
    <t>ENR-10</t>
  </si>
  <si>
    <t>Eng-T</t>
  </si>
  <si>
    <t>II-L-T</t>
  </si>
  <si>
    <t>Mat-T</t>
  </si>
  <si>
    <t>GS-T</t>
  </si>
  <si>
    <t>SS-T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</si>
</sst>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4">
    <xf numFmtId="0" fontId="0" fillId="0" borderId="0" xfId="0"/>
    <xf numFmtId="0" fontId="2" fillId="3" borderId="0" xfId="2"/>
    <xf numFmtId="0" fontId="1" fillId="2" borderId="0" xfId="1"/>
    <xf numFmtId="0" fontId="3" fillId="4" borderId="0" xfId="3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95"/>
  <sheetViews>
    <sheetView tabSelected="1" workbookViewId="0">
      <selection activeCell="BI2" sqref="BI2"/>
    </sheetView>
  </sheetViews>
  <sheetFormatPr defaultRowHeight="15" x14ac:dyDescent="0.25"/>
  <cols>
    <col min="5" max="5" width="10.5703125" style="1" bestFit="1" customWidth="1"/>
    <col min="6" max="6" width="3.140625" customWidth="1"/>
    <col min="7" max="7" width="9.140625" style="1" customWidth="1"/>
    <col min="8" max="9" width="9.140625" style="2" customWidth="1"/>
    <col min="10" max="10" width="9.140625" style="3" customWidth="1"/>
    <col min="11" max="11" width="9.140625" style="1" customWidth="1"/>
    <col min="12" max="12" width="9.140625" style="2" customWidth="1"/>
    <col min="13" max="13" width="4.85546875" customWidth="1"/>
    <col min="14" max="14" width="9.140625" style="1" customWidth="1"/>
    <col min="15" max="15" width="12.85546875" style="3" bestFit="1" customWidth="1"/>
    <col min="16" max="16" width="12.85546875" style="2" bestFit="1" customWidth="1"/>
    <col min="17" max="17" width="12.85546875" style="3" bestFit="1" customWidth="1"/>
    <col min="18" max="18" width="12.85546875" style="1" bestFit="1" customWidth="1"/>
    <col min="19" max="19" width="12.85546875" style="2" customWidth="1"/>
    <col min="20" max="20" width="9.140625" customWidth="1"/>
    <col min="21" max="21" width="9.140625" style="1" customWidth="1"/>
    <col min="22" max="22" width="9.140625" style="3" customWidth="1"/>
    <col min="23" max="23" width="9.140625" style="2" customWidth="1"/>
    <col min="24" max="24" width="9.140625" style="3" customWidth="1"/>
    <col min="25" max="25" width="9.140625" style="1" customWidth="1"/>
    <col min="26" max="26" width="9.140625" style="2" customWidth="1"/>
    <col min="27" max="27" width="9.140625" customWidth="1"/>
    <col min="28" max="28" width="16.85546875" style="1" bestFit="1" customWidth="1"/>
    <col min="29" max="29" width="9.140625" style="3" customWidth="1"/>
    <col min="30" max="30" width="9.140625" style="2" customWidth="1"/>
    <col min="31" max="31" width="9.140625" style="3" customWidth="1"/>
    <col min="32" max="32" width="16.85546875" style="1" bestFit="1" customWidth="1"/>
    <col min="33" max="33" width="9.140625" style="1" customWidth="1"/>
    <col min="34" max="34" width="9.140625" customWidth="1"/>
    <col min="35" max="35" width="9.140625" style="1" customWidth="1"/>
    <col min="36" max="36" width="9.140625" style="3" customWidth="1"/>
    <col min="37" max="37" width="9.140625" style="2" customWidth="1"/>
    <col min="38" max="38" width="9.140625" style="3" customWidth="1"/>
    <col min="39" max="40" width="9.140625" style="1" customWidth="1"/>
    <col min="41" max="41" width="9.140625" customWidth="1"/>
    <col min="42" max="42" width="12" style="1" bestFit="1" customWidth="1"/>
    <col min="43" max="43" width="12" style="2" bestFit="1" customWidth="1"/>
    <col min="44" max="44" width="12" style="1" bestFit="1" customWidth="1"/>
    <col min="45" max="45" width="9.140625" style="2" customWidth="1"/>
    <col min="46" max="46" width="9.140625" customWidth="1"/>
    <col min="47" max="47" width="9.140625" style="2" customWidth="1"/>
    <col min="48" max="48" width="9.140625" style="1" customWidth="1"/>
    <col min="49" max="49" width="9.140625" customWidth="1"/>
    <col min="50" max="54" width="9.140625" style="2" customWidth="1"/>
    <col min="55" max="60" width="11.85546875" customWidth="1"/>
    <col min="61" max="61" width="9.140625" customWidth="1"/>
    <col min="62" max="62" width="10.7109375" style="2" bestFit="1" customWidth="1"/>
    <col min="63" max="63" width="9.140625" style="2" customWidth="1"/>
    <col min="64" max="69" width="9.140625" style="1" customWidth="1"/>
    <col min="70" max="70" width="12.85546875" style="2" bestFit="1" customWidth="1"/>
    <col min="71" max="75" width="9.140625" style="2" customWidth="1"/>
    <col min="76" max="76" width="9.140625" style="3" customWidth="1"/>
    <col min="77" max="77" width="9.140625" style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G1" s="1" t="s">
        <v>6</v>
      </c>
      <c r="H1" s="2" t="s">
        <v>6</v>
      </c>
      <c r="I1" s="2" t="s">
        <v>6</v>
      </c>
      <c r="J1" s="3" t="s">
        <v>6</v>
      </c>
      <c r="K1" s="1" t="s">
        <v>6</v>
      </c>
      <c r="L1" s="2" t="s">
        <v>383</v>
      </c>
      <c r="N1" s="1" t="s">
        <v>7</v>
      </c>
      <c r="O1" s="3" t="s">
        <v>7</v>
      </c>
      <c r="P1" s="2" t="s">
        <v>7</v>
      </c>
      <c r="Q1" s="3" t="s">
        <v>7</v>
      </c>
      <c r="R1" s="1" t="s">
        <v>7</v>
      </c>
      <c r="S1" s="2" t="s">
        <v>384</v>
      </c>
      <c r="U1" s="1" t="s">
        <v>8</v>
      </c>
      <c r="V1" s="3" t="s">
        <v>8</v>
      </c>
      <c r="W1" s="2" t="s">
        <v>8</v>
      </c>
      <c r="X1" s="3" t="s">
        <v>8</v>
      </c>
      <c r="Y1" s="1" t="s">
        <v>8</v>
      </c>
      <c r="Z1" s="2" t="s">
        <v>385</v>
      </c>
      <c r="AB1" s="1" t="s">
        <v>9</v>
      </c>
      <c r="AC1" s="3" t="s">
        <v>9</v>
      </c>
      <c r="AD1" s="2" t="s">
        <v>9</v>
      </c>
      <c r="AE1" s="3" t="s">
        <v>9</v>
      </c>
      <c r="AF1" s="1" t="s">
        <v>9</v>
      </c>
      <c r="AG1" s="1" t="s">
        <v>386</v>
      </c>
      <c r="AI1" s="1" t="s">
        <v>10</v>
      </c>
      <c r="AJ1" s="3" t="s">
        <v>10</v>
      </c>
      <c r="AK1" s="2" t="s">
        <v>10</v>
      </c>
      <c r="AL1" s="3" t="s">
        <v>10</v>
      </c>
      <c r="AM1" s="1" t="s">
        <v>10</v>
      </c>
      <c r="AN1" s="1" t="s">
        <v>387</v>
      </c>
      <c r="AP1" s="1" t="s">
        <v>5</v>
      </c>
      <c r="AQ1" s="2" t="s">
        <v>5</v>
      </c>
      <c r="AR1" s="1" t="s">
        <v>5</v>
      </c>
      <c r="AS1" s="2" t="s">
        <v>227</v>
      </c>
      <c r="AU1" s="2" t="s">
        <v>213</v>
      </c>
      <c r="AV1" s="1" t="s">
        <v>213</v>
      </c>
      <c r="AX1" s="2" t="s">
        <v>226</v>
      </c>
      <c r="AY1" s="2" t="s">
        <v>228</v>
      </c>
      <c r="AZ1" s="2" t="s">
        <v>225</v>
      </c>
      <c r="BA1" s="2" t="s">
        <v>229</v>
      </c>
      <c r="BC1" t="s">
        <v>375</v>
      </c>
      <c r="BD1" t="s">
        <v>376</v>
      </c>
      <c r="BE1" t="s">
        <v>377</v>
      </c>
      <c r="BF1" t="s">
        <v>379</v>
      </c>
      <c r="BG1" t="s">
        <v>380</v>
      </c>
      <c r="BH1" t="s">
        <v>378</v>
      </c>
      <c r="BJ1" s="2" t="s">
        <v>4</v>
      </c>
      <c r="BK1" s="2" t="s">
        <v>4</v>
      </c>
      <c r="BL1" s="1" t="s">
        <v>4</v>
      </c>
      <c r="BM1" s="1" t="s">
        <v>6</v>
      </c>
      <c r="BN1" s="1" t="s">
        <v>7</v>
      </c>
      <c r="BO1" s="1" t="s">
        <v>8</v>
      </c>
      <c r="BP1" s="1" t="s">
        <v>9</v>
      </c>
      <c r="BQ1" s="1" t="s">
        <v>10</v>
      </c>
      <c r="BR1" s="2" t="s">
        <v>4</v>
      </c>
      <c r="BS1" s="2" t="s">
        <v>6</v>
      </c>
      <c r="BT1" s="2" t="s">
        <v>7</v>
      </c>
      <c r="BU1" s="2" t="s">
        <v>8</v>
      </c>
      <c r="BV1" s="2" t="s">
        <v>9</v>
      </c>
      <c r="BW1" s="2" t="s">
        <v>10</v>
      </c>
      <c r="BX1" s="3" t="s">
        <v>4</v>
      </c>
      <c r="BY1" s="1" t="s">
        <v>4</v>
      </c>
    </row>
    <row r="2" spans="1:77" x14ac:dyDescent="0.25">
      <c r="A2">
        <v>1</v>
      </c>
      <c r="B2" t="s">
        <v>11</v>
      </c>
      <c r="C2">
        <v>17352</v>
      </c>
      <c r="D2" t="s">
        <v>12</v>
      </c>
      <c r="E2" s="1" t="s">
        <v>13</v>
      </c>
      <c r="G2" s="1">
        <v>34.5</v>
      </c>
      <c r="H2" s="2">
        <v>36</v>
      </c>
      <c r="I2" s="2">
        <f t="shared" ref="I2:I33" si="0">CEILING((N(G2)+N(H2))/80*10,0.5)</f>
        <v>9</v>
      </c>
      <c r="J2" s="3">
        <f t="shared" ref="J2:J33" si="1">CEILING((N(BM2)+N(BS2))/2,0.5)</f>
        <v>9</v>
      </c>
      <c r="K2" s="1">
        <v>58</v>
      </c>
      <c r="N2" s="1">
        <v>33</v>
      </c>
      <c r="O2" s="3">
        <v>39</v>
      </c>
      <c r="P2" s="2">
        <f t="shared" ref="P2:P33" si="2">CEILING((N(N2)+N(O2))/80*10,0.5)</f>
        <v>9</v>
      </c>
      <c r="Q2" s="3">
        <f t="shared" ref="Q2:Q33" si="3">CEILING((N(BN2)+N(BT2))/2,0.5)</f>
        <v>10</v>
      </c>
      <c r="R2" s="1">
        <v>74.5</v>
      </c>
      <c r="U2" s="1">
        <v>37.5</v>
      </c>
      <c r="V2" s="3">
        <v>31</v>
      </c>
      <c r="W2" s="2">
        <f t="shared" ref="W2:W33" si="4">CEILING((N(U2)+N(V2))/80*10,0.5)</f>
        <v>9</v>
      </c>
      <c r="X2" s="3">
        <f t="shared" ref="X2:X33" si="5">CEILING((N(BO2)+N(BU2))/2,0.5)</f>
        <v>9.5</v>
      </c>
      <c r="Y2" s="1">
        <v>74</v>
      </c>
      <c r="AB2" s="1">
        <v>35.5</v>
      </c>
      <c r="AC2" s="3">
        <v>35</v>
      </c>
      <c r="AD2" s="2">
        <f t="shared" ref="AD2:AD33" si="6">CEILING((N(AB2)+N(AC2))/80*10,0.5)</f>
        <v>9</v>
      </c>
      <c r="AE2" s="3">
        <f t="shared" ref="AE2:AE33" si="7">CEILING((N(BP2)+N(BV2))/2,0.5)</f>
        <v>9.5</v>
      </c>
      <c r="AF2" s="1">
        <v>72.5</v>
      </c>
      <c r="AI2" s="1">
        <v>34</v>
      </c>
      <c r="AJ2" s="3">
        <v>33</v>
      </c>
      <c r="AK2" s="2">
        <f t="shared" ref="AK2:AK33" si="8">CEILING((N(AI2)+N(AJ2))/80*10,0.5)</f>
        <v>8.5</v>
      </c>
      <c r="AL2" s="3">
        <f t="shared" ref="AL2:AL33" si="9">CEILING((N(BQ2)+N(BW2))/2,0.5)</f>
        <v>8.5</v>
      </c>
      <c r="AM2" s="1">
        <v>65.5</v>
      </c>
      <c r="AN2" s="1">
        <f>AK2+AL2+AM2</f>
        <v>82.5</v>
      </c>
      <c r="AP2" s="1">
        <v>17</v>
      </c>
      <c r="AQ2" s="2">
        <v>23</v>
      </c>
      <c r="AR2" s="1">
        <v>26</v>
      </c>
      <c r="AS2" s="2">
        <v>7</v>
      </c>
      <c r="AU2" s="2">
        <v>22.5</v>
      </c>
      <c r="AV2" s="1">
        <v>36.5</v>
      </c>
      <c r="AX2" s="2">
        <v>9</v>
      </c>
      <c r="AY2" s="2">
        <v>10</v>
      </c>
      <c r="AZ2" s="2">
        <v>8</v>
      </c>
      <c r="BA2" s="2">
        <v>20</v>
      </c>
      <c r="BC2" t="s">
        <v>234</v>
      </c>
      <c r="BD2" t="s">
        <v>235</v>
      </c>
      <c r="BE2" t="s">
        <v>236</v>
      </c>
      <c r="BG2" t="s">
        <v>238</v>
      </c>
      <c r="BH2" t="s">
        <v>237</v>
      </c>
      <c r="BJ2" s="2" t="s">
        <v>214</v>
      </c>
      <c r="BK2" s="2" t="s">
        <v>381</v>
      </c>
      <c r="BL2" s="1" t="s">
        <v>221</v>
      </c>
      <c r="BM2" s="1">
        <v>8.5</v>
      </c>
      <c r="BN2" s="1">
        <v>10</v>
      </c>
      <c r="BO2" s="1">
        <v>10</v>
      </c>
      <c r="BP2" s="1">
        <v>10</v>
      </c>
      <c r="BQ2" s="1">
        <v>7</v>
      </c>
      <c r="BR2" s="2" t="s">
        <v>223</v>
      </c>
      <c r="BS2" s="2">
        <v>9</v>
      </c>
      <c r="BT2" s="2">
        <v>10</v>
      </c>
      <c r="BU2" s="2">
        <v>9</v>
      </c>
      <c r="BV2" s="2">
        <v>9</v>
      </c>
      <c r="BW2" s="2">
        <v>10</v>
      </c>
      <c r="BX2" s="3" t="s">
        <v>382</v>
      </c>
      <c r="BY2" s="1" t="s">
        <v>230</v>
      </c>
    </row>
    <row r="3" spans="1:77" x14ac:dyDescent="0.25">
      <c r="A3">
        <v>2</v>
      </c>
      <c r="B3" t="s">
        <v>11</v>
      </c>
      <c r="C3">
        <v>17943</v>
      </c>
      <c r="D3" t="s">
        <v>24</v>
      </c>
      <c r="E3" s="1" t="s">
        <v>13</v>
      </c>
      <c r="G3" s="1">
        <v>29</v>
      </c>
      <c r="H3" s="2">
        <v>27.5</v>
      </c>
      <c r="I3" s="2">
        <f t="shared" si="0"/>
        <v>7.5</v>
      </c>
      <c r="J3" s="3">
        <f t="shared" si="1"/>
        <v>4.5</v>
      </c>
      <c r="K3" s="1">
        <v>44.5</v>
      </c>
      <c r="N3" s="1">
        <v>21</v>
      </c>
      <c r="O3" s="3">
        <v>17.5</v>
      </c>
      <c r="P3" s="2">
        <f t="shared" si="2"/>
        <v>5</v>
      </c>
      <c r="Q3" s="3">
        <f t="shared" si="3"/>
        <v>0</v>
      </c>
      <c r="R3" s="1">
        <v>33.5</v>
      </c>
      <c r="U3" s="1">
        <v>29</v>
      </c>
      <c r="V3" s="3">
        <v>23</v>
      </c>
      <c r="W3" s="2">
        <f t="shared" si="4"/>
        <v>6.5</v>
      </c>
      <c r="X3" s="3">
        <f t="shared" si="5"/>
        <v>5.5</v>
      </c>
      <c r="Y3" s="1">
        <v>38</v>
      </c>
      <c r="AB3" s="1">
        <v>23.5</v>
      </c>
      <c r="AC3" s="3">
        <v>25.5</v>
      </c>
      <c r="AD3" s="2">
        <f t="shared" si="6"/>
        <v>6.5</v>
      </c>
      <c r="AE3" s="3">
        <f t="shared" si="7"/>
        <v>8.5</v>
      </c>
      <c r="AF3" s="1">
        <v>54.5</v>
      </c>
      <c r="AI3" s="1">
        <v>30.5</v>
      </c>
      <c r="AJ3" s="3">
        <v>19</v>
      </c>
      <c r="AK3" s="2">
        <f t="shared" si="8"/>
        <v>6.5</v>
      </c>
      <c r="AL3" s="3">
        <f t="shared" si="9"/>
        <v>7</v>
      </c>
      <c r="AM3" s="1">
        <v>31.5</v>
      </c>
      <c r="AN3" s="1">
        <f t="shared" ref="AN3:AN66" si="10">AK3+AL3+AM3</f>
        <v>45</v>
      </c>
      <c r="AP3" s="1">
        <v>19</v>
      </c>
      <c r="AQ3" s="2">
        <v>19</v>
      </c>
      <c r="AR3" s="1">
        <v>19.5</v>
      </c>
      <c r="AS3" s="2">
        <v>10</v>
      </c>
      <c r="AU3" s="2">
        <v>17.5</v>
      </c>
      <c r="AV3" s="1">
        <v>27.5</v>
      </c>
      <c r="AX3" s="2">
        <v>7.5</v>
      </c>
      <c r="AY3" s="2">
        <v>9</v>
      </c>
      <c r="AZ3" s="2">
        <v>8</v>
      </c>
      <c r="BA3" s="2">
        <v>11</v>
      </c>
      <c r="BC3" t="s">
        <v>234</v>
      </c>
      <c r="BD3" t="s">
        <v>235</v>
      </c>
      <c r="BE3" t="s">
        <v>236</v>
      </c>
      <c r="BG3" t="s">
        <v>238</v>
      </c>
      <c r="BH3" t="s">
        <v>239</v>
      </c>
      <c r="BJ3" s="2" t="s">
        <v>214</v>
      </c>
      <c r="BK3" s="2" t="s">
        <v>381</v>
      </c>
      <c r="BL3" s="1" t="s">
        <v>221</v>
      </c>
      <c r="BM3" s="1">
        <v>8.5</v>
      </c>
      <c r="BN3" s="1" t="s">
        <v>20</v>
      </c>
      <c r="BO3" s="1">
        <v>6</v>
      </c>
      <c r="BP3" s="1">
        <v>8.5</v>
      </c>
      <c r="BQ3" s="1">
        <v>7.5</v>
      </c>
      <c r="BR3" s="2" t="s">
        <v>223</v>
      </c>
      <c r="BS3" s="2" t="s">
        <v>21</v>
      </c>
      <c r="BT3" s="2" t="s">
        <v>20</v>
      </c>
      <c r="BU3" s="2">
        <v>5</v>
      </c>
      <c r="BV3" s="2">
        <v>8</v>
      </c>
      <c r="BW3" s="2">
        <v>6.5</v>
      </c>
      <c r="BX3" s="3" t="s">
        <v>382</v>
      </c>
      <c r="BY3" s="1" t="s">
        <v>230</v>
      </c>
    </row>
    <row r="4" spans="1:77" x14ac:dyDescent="0.25">
      <c r="A4">
        <v>3</v>
      </c>
      <c r="B4" t="s">
        <v>11</v>
      </c>
      <c r="C4">
        <v>16491</v>
      </c>
      <c r="D4" t="s">
        <v>29</v>
      </c>
      <c r="E4" s="1" t="s">
        <v>13</v>
      </c>
      <c r="G4" s="1" t="s">
        <v>21</v>
      </c>
      <c r="H4" s="2">
        <v>11</v>
      </c>
      <c r="I4" s="2">
        <f t="shared" si="0"/>
        <v>1.5</v>
      </c>
      <c r="J4" s="3">
        <f t="shared" si="1"/>
        <v>4</v>
      </c>
      <c r="K4" s="1">
        <v>20.5</v>
      </c>
      <c r="N4" s="1">
        <v>17.5</v>
      </c>
      <c r="O4" s="3">
        <v>8.5</v>
      </c>
      <c r="P4" s="2">
        <f t="shared" si="2"/>
        <v>3.5</v>
      </c>
      <c r="Q4" s="3">
        <f t="shared" si="3"/>
        <v>7</v>
      </c>
      <c r="R4" s="1">
        <v>34.5</v>
      </c>
      <c r="U4" s="1">
        <v>12</v>
      </c>
      <c r="V4" s="3">
        <v>13.5</v>
      </c>
      <c r="W4" s="2">
        <f t="shared" si="4"/>
        <v>3.5</v>
      </c>
      <c r="X4" s="3">
        <f t="shared" si="5"/>
        <v>3.5</v>
      </c>
      <c r="Y4" s="1">
        <v>27.5</v>
      </c>
      <c r="AB4" s="1">
        <v>17</v>
      </c>
      <c r="AC4" s="3">
        <v>20</v>
      </c>
      <c r="AD4" s="2">
        <f t="shared" si="6"/>
        <v>5</v>
      </c>
      <c r="AE4" s="3">
        <f t="shared" si="7"/>
        <v>7</v>
      </c>
      <c r="AF4" s="1">
        <v>29</v>
      </c>
      <c r="AI4" s="1">
        <v>22.5</v>
      </c>
      <c r="AJ4" s="3">
        <v>10</v>
      </c>
      <c r="AK4" s="2">
        <f t="shared" si="8"/>
        <v>4.5</v>
      </c>
      <c r="AL4" s="3">
        <f t="shared" si="9"/>
        <v>3</v>
      </c>
      <c r="AM4" s="1">
        <v>16.5</v>
      </c>
      <c r="AN4" s="1">
        <f t="shared" si="10"/>
        <v>24</v>
      </c>
      <c r="AP4" s="1">
        <v>6.5</v>
      </c>
      <c r="AQ4" s="2">
        <v>10</v>
      </c>
      <c r="AR4" s="1">
        <v>10.5</v>
      </c>
      <c r="AS4" s="2">
        <v>4.5</v>
      </c>
      <c r="AU4" s="2">
        <v>14.5</v>
      </c>
      <c r="AV4" s="1">
        <v>26.5</v>
      </c>
      <c r="AX4" s="2">
        <v>8</v>
      </c>
      <c r="AY4" s="2">
        <v>7</v>
      </c>
      <c r="AZ4" s="2">
        <v>6</v>
      </c>
      <c r="BA4" s="2">
        <v>9.5</v>
      </c>
      <c r="BC4" t="s">
        <v>234</v>
      </c>
      <c r="BD4" t="s">
        <v>235</v>
      </c>
      <c r="BE4" t="s">
        <v>236</v>
      </c>
      <c r="BG4" t="s">
        <v>238</v>
      </c>
      <c r="BH4" t="s">
        <v>240</v>
      </c>
      <c r="BJ4" s="2" t="s">
        <v>214</v>
      </c>
      <c r="BK4" s="2" t="s">
        <v>381</v>
      </c>
      <c r="BL4" s="1" t="s">
        <v>221</v>
      </c>
      <c r="BM4" s="1">
        <v>3.5</v>
      </c>
      <c r="BN4" s="1">
        <v>7</v>
      </c>
      <c r="BO4" s="1">
        <v>2</v>
      </c>
      <c r="BP4" s="1">
        <v>8.5</v>
      </c>
      <c r="BQ4" s="1">
        <v>1.5</v>
      </c>
      <c r="BR4" s="2" t="s">
        <v>223</v>
      </c>
      <c r="BS4" s="2">
        <v>4.5</v>
      </c>
      <c r="BT4" s="2">
        <v>7</v>
      </c>
      <c r="BU4" s="2">
        <v>4.5</v>
      </c>
      <c r="BV4" s="2">
        <v>5</v>
      </c>
      <c r="BW4" s="2">
        <v>4.5</v>
      </c>
      <c r="BX4" s="3" t="s">
        <v>382</v>
      </c>
      <c r="BY4" s="1" t="s">
        <v>230</v>
      </c>
    </row>
    <row r="5" spans="1:77" x14ac:dyDescent="0.25">
      <c r="A5">
        <v>4</v>
      </c>
      <c r="B5" t="s">
        <v>11</v>
      </c>
      <c r="C5">
        <v>16496</v>
      </c>
      <c r="D5" t="s">
        <v>34</v>
      </c>
      <c r="E5" s="1" t="s">
        <v>13</v>
      </c>
      <c r="G5" s="1">
        <v>0.5</v>
      </c>
      <c r="H5" s="2">
        <v>6</v>
      </c>
      <c r="I5" s="2">
        <f t="shared" si="0"/>
        <v>1</v>
      </c>
      <c r="J5" s="3">
        <f t="shared" si="1"/>
        <v>3</v>
      </c>
      <c r="K5" s="1">
        <v>5</v>
      </c>
      <c r="N5" s="1">
        <v>12</v>
      </c>
      <c r="O5" s="3">
        <v>10</v>
      </c>
      <c r="P5" s="2">
        <f t="shared" si="2"/>
        <v>3</v>
      </c>
      <c r="Q5" s="3">
        <f t="shared" si="3"/>
        <v>7.5</v>
      </c>
      <c r="R5" s="1">
        <v>21</v>
      </c>
      <c r="U5" s="1">
        <v>14</v>
      </c>
      <c r="V5" s="3">
        <v>9</v>
      </c>
      <c r="W5" s="2">
        <f t="shared" si="4"/>
        <v>3</v>
      </c>
      <c r="X5" s="3">
        <f t="shared" si="5"/>
        <v>2</v>
      </c>
      <c r="Y5" s="1">
        <v>14</v>
      </c>
      <c r="AB5" s="1">
        <v>5</v>
      </c>
      <c r="AC5" s="3">
        <v>5</v>
      </c>
      <c r="AD5" s="2">
        <f t="shared" si="6"/>
        <v>1.5</v>
      </c>
      <c r="AE5" s="3">
        <f t="shared" si="7"/>
        <v>3.5</v>
      </c>
      <c r="AF5" s="1">
        <v>8.5</v>
      </c>
      <c r="AI5" s="1">
        <v>4</v>
      </c>
      <c r="AJ5" s="3">
        <v>4</v>
      </c>
      <c r="AK5" s="2">
        <f t="shared" si="8"/>
        <v>1</v>
      </c>
      <c r="AL5" s="3">
        <f t="shared" si="9"/>
        <v>3</v>
      </c>
      <c r="AM5" s="1">
        <v>6.5</v>
      </c>
      <c r="AN5" s="1">
        <f t="shared" si="10"/>
        <v>10.5</v>
      </c>
      <c r="AP5" s="1">
        <v>7.5</v>
      </c>
      <c r="AQ5" s="2">
        <v>3</v>
      </c>
      <c r="AR5" s="1">
        <v>4</v>
      </c>
      <c r="AS5" s="2">
        <v>5</v>
      </c>
      <c r="AU5" s="2">
        <v>9.5</v>
      </c>
      <c r="AV5" s="1">
        <v>21</v>
      </c>
      <c r="AX5" s="2">
        <v>7.5</v>
      </c>
      <c r="AY5" s="2">
        <v>2</v>
      </c>
      <c r="AZ5" s="2">
        <v>7</v>
      </c>
      <c r="BA5" s="2" t="s">
        <v>21</v>
      </c>
      <c r="BC5" t="s">
        <v>234</v>
      </c>
      <c r="BD5" t="s">
        <v>235</v>
      </c>
      <c r="BE5" t="s">
        <v>236</v>
      </c>
      <c r="BG5" t="s">
        <v>238</v>
      </c>
      <c r="BH5" t="s">
        <v>241</v>
      </c>
      <c r="BJ5" s="2" t="s">
        <v>214</v>
      </c>
      <c r="BK5" s="2" t="s">
        <v>381</v>
      </c>
      <c r="BL5" s="1" t="s">
        <v>221</v>
      </c>
      <c r="BM5" s="1">
        <v>3</v>
      </c>
      <c r="BN5" s="1">
        <v>8.5</v>
      </c>
      <c r="BO5" s="1">
        <v>1</v>
      </c>
      <c r="BP5" s="1">
        <v>3</v>
      </c>
      <c r="BQ5" s="1">
        <v>2</v>
      </c>
      <c r="BR5" s="2" t="s">
        <v>223</v>
      </c>
      <c r="BS5" s="2">
        <v>2.5</v>
      </c>
      <c r="BT5" s="2">
        <v>6</v>
      </c>
      <c r="BU5" s="2">
        <v>3</v>
      </c>
      <c r="BV5" s="2">
        <v>3.5</v>
      </c>
      <c r="BW5" s="2">
        <v>4</v>
      </c>
      <c r="BX5" s="3" t="s">
        <v>382</v>
      </c>
      <c r="BY5" s="1" t="s">
        <v>230</v>
      </c>
    </row>
    <row r="6" spans="1:77" x14ac:dyDescent="0.25">
      <c r="A6">
        <v>5</v>
      </c>
      <c r="B6" t="s">
        <v>11</v>
      </c>
      <c r="C6">
        <v>16556</v>
      </c>
      <c r="D6" t="s">
        <v>39</v>
      </c>
      <c r="E6" s="1" t="s">
        <v>13</v>
      </c>
      <c r="G6" s="1">
        <v>32</v>
      </c>
      <c r="H6" s="2">
        <v>33</v>
      </c>
      <c r="I6" s="2">
        <f t="shared" si="0"/>
        <v>8.5</v>
      </c>
      <c r="J6" s="3">
        <f t="shared" si="1"/>
        <v>7.5</v>
      </c>
      <c r="K6" s="1">
        <v>52</v>
      </c>
      <c r="N6" s="1">
        <v>31.5</v>
      </c>
      <c r="O6" s="3">
        <v>32.5</v>
      </c>
      <c r="P6" s="2">
        <f t="shared" si="2"/>
        <v>8</v>
      </c>
      <c r="Q6" s="3">
        <f t="shared" si="3"/>
        <v>10</v>
      </c>
      <c r="R6" s="1">
        <v>71.5</v>
      </c>
      <c r="U6" s="1">
        <v>37</v>
      </c>
      <c r="V6" s="3">
        <v>31</v>
      </c>
      <c r="W6" s="2">
        <f t="shared" si="4"/>
        <v>8.5</v>
      </c>
      <c r="X6" s="3">
        <f t="shared" si="5"/>
        <v>5.5</v>
      </c>
      <c r="Y6" s="1">
        <v>60.5</v>
      </c>
      <c r="AB6" s="1">
        <v>25.5</v>
      </c>
      <c r="AC6" s="3">
        <v>26.5</v>
      </c>
      <c r="AD6" s="2">
        <f t="shared" si="6"/>
        <v>6.5</v>
      </c>
      <c r="AE6" s="3">
        <f t="shared" si="7"/>
        <v>9</v>
      </c>
      <c r="AF6" s="1">
        <v>53</v>
      </c>
      <c r="AI6" s="1">
        <v>31.5</v>
      </c>
      <c r="AJ6" s="3">
        <v>27.5</v>
      </c>
      <c r="AK6" s="2">
        <f t="shared" si="8"/>
        <v>7.5</v>
      </c>
      <c r="AL6" s="3">
        <f t="shared" si="9"/>
        <v>8</v>
      </c>
      <c r="AM6" s="1">
        <v>55</v>
      </c>
      <c r="AN6" s="1">
        <f t="shared" si="10"/>
        <v>70.5</v>
      </c>
      <c r="AP6" s="1">
        <v>15</v>
      </c>
      <c r="AQ6" s="2">
        <v>16.5</v>
      </c>
      <c r="AR6" s="1">
        <v>12.5</v>
      </c>
      <c r="AS6" s="2">
        <v>6.5</v>
      </c>
      <c r="AU6" s="2">
        <v>16.5</v>
      </c>
      <c r="AV6" s="1">
        <v>33.5</v>
      </c>
      <c r="AX6" s="2">
        <v>9</v>
      </c>
      <c r="AY6" s="2">
        <v>10</v>
      </c>
      <c r="AZ6" s="2">
        <v>8</v>
      </c>
      <c r="BA6" s="2">
        <v>17</v>
      </c>
      <c r="BC6" t="s">
        <v>234</v>
      </c>
      <c r="BD6" t="s">
        <v>235</v>
      </c>
      <c r="BE6" t="s">
        <v>236</v>
      </c>
      <c r="BG6" t="s">
        <v>243</v>
      </c>
      <c r="BH6" t="s">
        <v>242</v>
      </c>
      <c r="BJ6" s="2" t="s">
        <v>214</v>
      </c>
      <c r="BK6" s="2" t="s">
        <v>381</v>
      </c>
      <c r="BL6" s="1" t="s">
        <v>221</v>
      </c>
      <c r="BM6" s="1">
        <v>6.5</v>
      </c>
      <c r="BN6" s="1">
        <v>9.5</v>
      </c>
      <c r="BO6" s="1">
        <v>5</v>
      </c>
      <c r="BP6" s="1">
        <v>10</v>
      </c>
      <c r="BQ6" s="1">
        <v>8</v>
      </c>
      <c r="BR6" s="2" t="s">
        <v>223</v>
      </c>
      <c r="BS6" s="2">
        <v>8</v>
      </c>
      <c r="BT6" s="2">
        <v>10</v>
      </c>
      <c r="BU6" s="2">
        <v>6</v>
      </c>
      <c r="BV6" s="2">
        <v>8</v>
      </c>
      <c r="BW6" s="2">
        <v>8</v>
      </c>
      <c r="BX6" s="3" t="s">
        <v>382</v>
      </c>
      <c r="BY6" s="1" t="s">
        <v>230</v>
      </c>
    </row>
    <row r="7" spans="1:77" x14ac:dyDescent="0.25">
      <c r="A7">
        <v>6</v>
      </c>
      <c r="B7" t="s">
        <v>11</v>
      </c>
      <c r="C7">
        <v>17634</v>
      </c>
      <c r="D7" t="s">
        <v>45</v>
      </c>
      <c r="E7" s="1" t="s">
        <v>13</v>
      </c>
      <c r="G7" s="1">
        <v>32.5</v>
      </c>
      <c r="H7" s="2">
        <v>32.5</v>
      </c>
      <c r="I7" s="2">
        <f t="shared" si="0"/>
        <v>8.5</v>
      </c>
      <c r="J7" s="3">
        <f t="shared" si="1"/>
        <v>7</v>
      </c>
      <c r="K7" s="1">
        <v>53</v>
      </c>
      <c r="N7" s="1">
        <v>30.5</v>
      </c>
      <c r="O7" s="3">
        <v>37.5</v>
      </c>
      <c r="P7" s="2">
        <f t="shared" si="2"/>
        <v>8.5</v>
      </c>
      <c r="Q7" s="3">
        <f t="shared" si="3"/>
        <v>10</v>
      </c>
      <c r="R7" s="1">
        <v>67</v>
      </c>
      <c r="U7" s="1">
        <v>26</v>
      </c>
      <c r="V7" s="3">
        <v>19.5</v>
      </c>
      <c r="W7" s="2">
        <f t="shared" si="4"/>
        <v>6</v>
      </c>
      <c r="X7" s="3">
        <f t="shared" si="5"/>
        <v>4.5</v>
      </c>
      <c r="Y7" s="1">
        <v>44.5</v>
      </c>
      <c r="AB7" s="1">
        <v>28</v>
      </c>
      <c r="AC7" s="3">
        <v>32.5</v>
      </c>
      <c r="AD7" s="2">
        <f t="shared" si="6"/>
        <v>8</v>
      </c>
      <c r="AE7" s="3">
        <f t="shared" si="7"/>
        <v>9</v>
      </c>
      <c r="AF7" s="1">
        <v>63.5</v>
      </c>
      <c r="AI7" s="1">
        <v>35</v>
      </c>
      <c r="AJ7" s="3">
        <v>29.5</v>
      </c>
      <c r="AK7" s="2">
        <f t="shared" si="8"/>
        <v>8.5</v>
      </c>
      <c r="AL7" s="3">
        <f t="shared" si="9"/>
        <v>9.5</v>
      </c>
      <c r="AM7" s="1">
        <v>57.5</v>
      </c>
      <c r="AN7" s="1">
        <f t="shared" si="10"/>
        <v>75.5</v>
      </c>
      <c r="AP7" s="1">
        <v>11</v>
      </c>
      <c r="AQ7" s="2">
        <v>21.5</v>
      </c>
      <c r="AR7" s="1">
        <v>17</v>
      </c>
      <c r="AS7" s="2">
        <v>8</v>
      </c>
      <c r="AU7" s="2">
        <v>17.5</v>
      </c>
      <c r="AV7" s="1">
        <v>34.5</v>
      </c>
      <c r="AX7" s="2">
        <v>7.5</v>
      </c>
      <c r="AY7" s="2">
        <v>5</v>
      </c>
      <c r="AZ7" s="2">
        <v>8</v>
      </c>
      <c r="BA7" s="2">
        <v>12</v>
      </c>
      <c r="BC7" t="s">
        <v>234</v>
      </c>
      <c r="BD7" t="s">
        <v>235</v>
      </c>
      <c r="BE7" t="s">
        <v>236</v>
      </c>
      <c r="BG7" t="s">
        <v>238</v>
      </c>
      <c r="BH7" t="s">
        <v>244</v>
      </c>
      <c r="BJ7" s="2" t="s">
        <v>214</v>
      </c>
      <c r="BK7" s="2" t="s">
        <v>381</v>
      </c>
      <c r="BL7" s="1" t="s">
        <v>221</v>
      </c>
      <c r="BM7" s="1">
        <v>5</v>
      </c>
      <c r="BN7" s="1">
        <v>10</v>
      </c>
      <c r="BO7" s="1">
        <v>4.5</v>
      </c>
      <c r="BP7" s="1">
        <v>10</v>
      </c>
      <c r="BQ7" s="1">
        <v>9</v>
      </c>
      <c r="BR7" s="2" t="s">
        <v>223</v>
      </c>
      <c r="BS7" s="2">
        <v>9</v>
      </c>
      <c r="BT7" s="2">
        <v>10</v>
      </c>
      <c r="BU7" s="2">
        <v>4</v>
      </c>
      <c r="BV7" s="2">
        <v>7.5</v>
      </c>
      <c r="BW7" s="2">
        <v>10</v>
      </c>
      <c r="BX7" s="3" t="s">
        <v>382</v>
      </c>
      <c r="BY7" s="1" t="s">
        <v>230</v>
      </c>
    </row>
    <row r="8" spans="1:77" x14ac:dyDescent="0.25">
      <c r="A8">
        <v>7</v>
      </c>
      <c r="B8" t="s">
        <v>11</v>
      </c>
      <c r="C8">
        <v>17354</v>
      </c>
      <c r="D8" t="s">
        <v>50</v>
      </c>
      <c r="E8" s="1" t="s">
        <v>13</v>
      </c>
      <c r="G8" s="1">
        <v>34.5</v>
      </c>
      <c r="H8" s="2">
        <v>31</v>
      </c>
      <c r="I8" s="2">
        <f t="shared" si="0"/>
        <v>8.5</v>
      </c>
      <c r="J8" s="3">
        <f t="shared" si="1"/>
        <v>8</v>
      </c>
      <c r="K8" s="1">
        <v>51</v>
      </c>
      <c r="N8" s="1">
        <v>36</v>
      </c>
      <c r="O8" s="3">
        <v>39.5</v>
      </c>
      <c r="P8" s="2">
        <f t="shared" si="2"/>
        <v>9.5</v>
      </c>
      <c r="Q8" s="3">
        <f t="shared" si="3"/>
        <v>10</v>
      </c>
      <c r="R8" s="1">
        <v>74</v>
      </c>
      <c r="U8" s="1">
        <v>37.5</v>
      </c>
      <c r="V8" s="3">
        <v>29</v>
      </c>
      <c r="W8" s="2">
        <f t="shared" si="4"/>
        <v>8.5</v>
      </c>
      <c r="X8" s="3">
        <f t="shared" si="5"/>
        <v>7</v>
      </c>
      <c r="Y8" s="1">
        <v>68.5</v>
      </c>
      <c r="AB8" s="1">
        <v>23</v>
      </c>
      <c r="AC8" s="3">
        <v>32</v>
      </c>
      <c r="AD8" s="2">
        <f t="shared" si="6"/>
        <v>7</v>
      </c>
      <c r="AE8" s="3">
        <f t="shared" si="7"/>
        <v>9</v>
      </c>
      <c r="AF8" s="1">
        <v>65.5</v>
      </c>
      <c r="AI8" s="1">
        <v>35.5</v>
      </c>
      <c r="AJ8" s="3">
        <v>32.5</v>
      </c>
      <c r="AK8" s="2">
        <f t="shared" si="8"/>
        <v>8.5</v>
      </c>
      <c r="AL8" s="3">
        <f t="shared" si="9"/>
        <v>6.5</v>
      </c>
      <c r="AM8" s="1">
        <v>55</v>
      </c>
      <c r="AN8" s="1">
        <f t="shared" si="10"/>
        <v>70</v>
      </c>
      <c r="AP8" s="1">
        <v>23.5</v>
      </c>
      <c r="AQ8" s="2">
        <v>22.5</v>
      </c>
      <c r="AR8" s="1">
        <v>25</v>
      </c>
      <c r="AS8" s="2">
        <v>8</v>
      </c>
      <c r="AU8" s="2">
        <v>20</v>
      </c>
      <c r="AV8" s="1">
        <v>32</v>
      </c>
      <c r="AX8" s="2">
        <v>9.5</v>
      </c>
      <c r="AY8" s="2">
        <v>10</v>
      </c>
      <c r="AZ8" s="2">
        <v>8</v>
      </c>
      <c r="BA8" s="2">
        <v>18</v>
      </c>
      <c r="BC8" t="s">
        <v>234</v>
      </c>
      <c r="BD8" t="s">
        <v>235</v>
      </c>
      <c r="BE8" t="s">
        <v>236</v>
      </c>
      <c r="BF8" t="s">
        <v>245</v>
      </c>
      <c r="BG8" t="s">
        <v>238</v>
      </c>
      <c r="BH8" t="s">
        <v>244</v>
      </c>
      <c r="BJ8" s="2" t="s">
        <v>214</v>
      </c>
      <c r="BK8" s="2" t="s">
        <v>381</v>
      </c>
      <c r="BL8" s="1" t="s">
        <v>221</v>
      </c>
      <c r="BM8" s="1">
        <v>6.5</v>
      </c>
      <c r="BN8" s="1">
        <v>10</v>
      </c>
      <c r="BO8" s="1">
        <v>7</v>
      </c>
      <c r="BP8" s="1">
        <v>10</v>
      </c>
      <c r="BQ8" s="1">
        <v>7</v>
      </c>
      <c r="BR8" s="2" t="s">
        <v>223</v>
      </c>
      <c r="BS8" s="2">
        <v>9</v>
      </c>
      <c r="BT8" s="2">
        <v>10</v>
      </c>
      <c r="BU8" s="2">
        <v>7</v>
      </c>
      <c r="BV8" s="2">
        <v>7.5</v>
      </c>
      <c r="BW8" s="2">
        <v>6</v>
      </c>
      <c r="BX8" s="3" t="s">
        <v>382</v>
      </c>
      <c r="BY8" s="1" t="s">
        <v>230</v>
      </c>
    </row>
    <row r="9" spans="1:77" x14ac:dyDescent="0.25">
      <c r="A9">
        <v>8</v>
      </c>
      <c r="B9" t="s">
        <v>11</v>
      </c>
      <c r="C9">
        <v>17607</v>
      </c>
      <c r="D9" t="s">
        <v>55</v>
      </c>
      <c r="E9" s="1" t="s">
        <v>13</v>
      </c>
      <c r="G9" s="1" t="s">
        <v>21</v>
      </c>
      <c r="H9" s="2">
        <v>23</v>
      </c>
      <c r="I9" s="2">
        <f t="shared" si="0"/>
        <v>3</v>
      </c>
      <c r="J9" s="3">
        <f t="shared" si="1"/>
        <v>6.5</v>
      </c>
      <c r="K9" s="1">
        <v>42.5</v>
      </c>
      <c r="N9" s="1">
        <v>15.5</v>
      </c>
      <c r="O9" s="3">
        <v>24</v>
      </c>
      <c r="P9" s="2">
        <f t="shared" si="2"/>
        <v>5</v>
      </c>
      <c r="Q9" s="3">
        <f t="shared" si="3"/>
        <v>9</v>
      </c>
      <c r="R9" s="1">
        <v>38</v>
      </c>
      <c r="U9" s="1">
        <v>27.5</v>
      </c>
      <c r="V9" s="3">
        <v>20.5</v>
      </c>
      <c r="W9" s="2">
        <f t="shared" si="4"/>
        <v>6</v>
      </c>
      <c r="X9" s="3">
        <f t="shared" si="5"/>
        <v>5.5</v>
      </c>
      <c r="Y9" s="1">
        <v>41</v>
      </c>
      <c r="AB9" s="1" t="s">
        <v>20</v>
      </c>
      <c r="AC9" s="3">
        <v>15</v>
      </c>
      <c r="AD9" s="2">
        <f t="shared" si="6"/>
        <v>2</v>
      </c>
      <c r="AE9" s="3">
        <f t="shared" si="7"/>
        <v>8</v>
      </c>
      <c r="AF9" s="1">
        <v>47.5</v>
      </c>
      <c r="AI9" s="1">
        <v>21</v>
      </c>
      <c r="AJ9" s="3">
        <v>24.5</v>
      </c>
      <c r="AK9" s="2">
        <f t="shared" si="8"/>
        <v>6</v>
      </c>
      <c r="AL9" s="3">
        <f t="shared" si="9"/>
        <v>6</v>
      </c>
      <c r="AM9" s="1">
        <v>32.5</v>
      </c>
      <c r="AN9" s="1">
        <f t="shared" si="10"/>
        <v>44.5</v>
      </c>
      <c r="AP9" s="1">
        <v>7</v>
      </c>
      <c r="AQ9" s="2">
        <v>10</v>
      </c>
      <c r="AR9" s="1">
        <v>14.5</v>
      </c>
      <c r="AS9" s="2">
        <v>5.5</v>
      </c>
      <c r="AU9" s="2">
        <v>18.5</v>
      </c>
      <c r="AV9" s="1">
        <v>32.5</v>
      </c>
      <c r="AX9" s="2">
        <v>7.5</v>
      </c>
      <c r="AY9" s="2">
        <v>10</v>
      </c>
      <c r="AZ9" s="2">
        <v>8</v>
      </c>
      <c r="BA9" s="2">
        <v>15</v>
      </c>
      <c r="BC9" t="s">
        <v>234</v>
      </c>
      <c r="BD9" t="s">
        <v>235</v>
      </c>
      <c r="BE9" t="s">
        <v>236</v>
      </c>
      <c r="BG9" t="s">
        <v>238</v>
      </c>
      <c r="BH9" t="s">
        <v>246</v>
      </c>
      <c r="BJ9" s="2" t="s">
        <v>214</v>
      </c>
      <c r="BK9" s="2" t="s">
        <v>381</v>
      </c>
      <c r="BL9" s="1" t="s">
        <v>221</v>
      </c>
      <c r="BM9" s="1">
        <v>5.5</v>
      </c>
      <c r="BN9" s="1">
        <v>10</v>
      </c>
      <c r="BO9" s="1">
        <v>5</v>
      </c>
      <c r="BP9" s="1">
        <v>9</v>
      </c>
      <c r="BQ9" s="1">
        <v>5</v>
      </c>
      <c r="BR9" s="2" t="s">
        <v>223</v>
      </c>
      <c r="BS9" s="2">
        <v>7</v>
      </c>
      <c r="BT9" s="2">
        <v>8</v>
      </c>
      <c r="BU9" s="2">
        <v>6</v>
      </c>
      <c r="BV9" s="2">
        <v>7</v>
      </c>
      <c r="BW9" s="2">
        <v>6.5</v>
      </c>
      <c r="BX9" s="3" t="s">
        <v>382</v>
      </c>
      <c r="BY9" s="1" t="s">
        <v>230</v>
      </c>
    </row>
    <row r="10" spans="1:77" x14ac:dyDescent="0.25">
      <c r="A10">
        <v>9</v>
      </c>
      <c r="B10" t="s">
        <v>11</v>
      </c>
      <c r="C10">
        <v>17590</v>
      </c>
      <c r="D10" t="s">
        <v>60</v>
      </c>
      <c r="E10" s="1" t="s">
        <v>13</v>
      </c>
      <c r="G10" s="1">
        <v>4.5</v>
      </c>
      <c r="H10" s="2">
        <v>3.5</v>
      </c>
      <c r="I10" s="2">
        <f t="shared" si="0"/>
        <v>1</v>
      </c>
      <c r="J10" s="3">
        <f t="shared" si="1"/>
        <v>4</v>
      </c>
      <c r="K10" s="1">
        <v>9</v>
      </c>
      <c r="N10" s="1">
        <v>10</v>
      </c>
      <c r="O10" s="3">
        <v>11.5</v>
      </c>
      <c r="P10" s="2">
        <f t="shared" si="2"/>
        <v>3</v>
      </c>
      <c r="Q10" s="3">
        <f t="shared" si="3"/>
        <v>7</v>
      </c>
      <c r="R10" s="1">
        <v>24.5</v>
      </c>
      <c r="U10" s="1">
        <v>4</v>
      </c>
      <c r="V10" s="3">
        <v>3</v>
      </c>
      <c r="W10" s="2">
        <f t="shared" si="4"/>
        <v>1</v>
      </c>
      <c r="X10" s="3">
        <f t="shared" si="5"/>
        <v>2</v>
      </c>
      <c r="Y10" s="1">
        <v>7.5</v>
      </c>
      <c r="AB10" s="1">
        <v>2</v>
      </c>
      <c r="AC10" s="3">
        <v>7</v>
      </c>
      <c r="AD10" s="2">
        <f t="shared" si="6"/>
        <v>1.5</v>
      </c>
      <c r="AE10" s="3">
        <f t="shared" si="7"/>
        <v>5</v>
      </c>
      <c r="AF10" s="1">
        <v>19.5</v>
      </c>
      <c r="AI10" s="1">
        <v>4.5</v>
      </c>
      <c r="AJ10" s="3">
        <v>4</v>
      </c>
      <c r="AK10" s="2">
        <f t="shared" si="8"/>
        <v>1.5</v>
      </c>
      <c r="AL10" s="3">
        <f t="shared" si="9"/>
        <v>1.5</v>
      </c>
      <c r="AM10" s="1">
        <v>5</v>
      </c>
      <c r="AN10" s="1">
        <f t="shared" si="10"/>
        <v>8</v>
      </c>
      <c r="AP10" s="1">
        <v>11</v>
      </c>
      <c r="AQ10" s="2">
        <v>4</v>
      </c>
      <c r="AR10" s="1">
        <v>4</v>
      </c>
      <c r="AS10" s="2">
        <v>5</v>
      </c>
      <c r="AU10" s="2">
        <v>7.5</v>
      </c>
      <c r="AV10" s="1">
        <v>21</v>
      </c>
      <c r="AX10" s="2">
        <v>3.5</v>
      </c>
      <c r="AY10" s="2">
        <v>6</v>
      </c>
      <c r="AZ10" s="2">
        <v>8</v>
      </c>
      <c r="BA10" s="2">
        <v>4</v>
      </c>
      <c r="BC10" t="s">
        <v>234</v>
      </c>
      <c r="BD10" t="s">
        <v>235</v>
      </c>
      <c r="BE10" t="s">
        <v>236</v>
      </c>
      <c r="BG10" t="s">
        <v>238</v>
      </c>
      <c r="BH10" t="s">
        <v>247</v>
      </c>
      <c r="BJ10" s="2" t="s">
        <v>214</v>
      </c>
      <c r="BK10" s="2" t="s">
        <v>381</v>
      </c>
      <c r="BL10" s="1" t="s">
        <v>221</v>
      </c>
      <c r="BM10" s="1">
        <v>5</v>
      </c>
      <c r="BN10" s="1">
        <v>4.5</v>
      </c>
      <c r="BO10" s="1">
        <v>2</v>
      </c>
      <c r="BP10" s="1">
        <v>5.5</v>
      </c>
      <c r="BQ10" s="1">
        <v>1</v>
      </c>
      <c r="BR10" s="2" t="s">
        <v>223</v>
      </c>
      <c r="BS10" s="2">
        <v>3</v>
      </c>
      <c r="BT10" s="2">
        <v>9</v>
      </c>
      <c r="BU10" s="2">
        <v>2</v>
      </c>
      <c r="BV10" s="2">
        <v>4.5</v>
      </c>
      <c r="BW10" s="2">
        <v>2</v>
      </c>
      <c r="BX10" s="3" t="s">
        <v>382</v>
      </c>
      <c r="BY10" s="1" t="s">
        <v>230</v>
      </c>
    </row>
    <row r="11" spans="1:77" x14ac:dyDescent="0.25">
      <c r="A11">
        <v>10</v>
      </c>
      <c r="B11" t="s">
        <v>11</v>
      </c>
      <c r="C11">
        <v>17400</v>
      </c>
      <c r="D11" t="s">
        <v>65</v>
      </c>
      <c r="E11" s="1" t="s">
        <v>13</v>
      </c>
      <c r="G11" s="1">
        <v>33.5</v>
      </c>
      <c r="H11" s="2">
        <v>33.5</v>
      </c>
      <c r="I11" s="2">
        <f t="shared" si="0"/>
        <v>8.5</v>
      </c>
      <c r="J11" s="3">
        <f t="shared" si="1"/>
        <v>8</v>
      </c>
      <c r="K11" s="1">
        <v>60</v>
      </c>
      <c r="N11" s="1">
        <v>35.5</v>
      </c>
      <c r="O11" s="3">
        <v>33</v>
      </c>
      <c r="P11" s="2">
        <f t="shared" si="2"/>
        <v>9</v>
      </c>
      <c r="Q11" s="3">
        <f t="shared" si="3"/>
        <v>10</v>
      </c>
      <c r="R11" s="1">
        <v>65</v>
      </c>
      <c r="U11" s="1">
        <v>37</v>
      </c>
      <c r="V11" s="3">
        <v>28.5</v>
      </c>
      <c r="W11" s="2">
        <f t="shared" si="4"/>
        <v>8.5</v>
      </c>
      <c r="X11" s="3">
        <f t="shared" si="5"/>
        <v>9</v>
      </c>
      <c r="Y11" s="1">
        <v>65.5</v>
      </c>
      <c r="AB11" s="1">
        <v>37</v>
      </c>
      <c r="AC11" s="3">
        <v>39.5</v>
      </c>
      <c r="AD11" s="2">
        <f t="shared" si="6"/>
        <v>10</v>
      </c>
      <c r="AE11" s="3">
        <f t="shared" si="7"/>
        <v>7.5</v>
      </c>
      <c r="AF11" s="1">
        <v>65</v>
      </c>
      <c r="AI11" s="1">
        <v>38.5</v>
      </c>
      <c r="AJ11" s="3">
        <v>37.5</v>
      </c>
      <c r="AK11" s="2">
        <f t="shared" si="8"/>
        <v>9.5</v>
      </c>
      <c r="AL11" s="3">
        <f t="shared" si="9"/>
        <v>9</v>
      </c>
      <c r="AM11" s="1">
        <v>62</v>
      </c>
      <c r="AN11" s="1">
        <f t="shared" si="10"/>
        <v>80.5</v>
      </c>
      <c r="AP11" s="1">
        <v>16.5</v>
      </c>
      <c r="AQ11" s="2">
        <v>16.5</v>
      </c>
      <c r="AR11" s="1">
        <v>19</v>
      </c>
      <c r="AS11" s="2">
        <v>10</v>
      </c>
      <c r="AU11" s="2">
        <v>23</v>
      </c>
      <c r="AV11" s="1">
        <v>33</v>
      </c>
      <c r="AX11" s="2">
        <v>10</v>
      </c>
      <c r="AY11" s="2">
        <v>10</v>
      </c>
      <c r="AZ11" s="2">
        <v>8</v>
      </c>
      <c r="BA11" s="2">
        <v>13</v>
      </c>
      <c r="BC11" t="s">
        <v>234</v>
      </c>
      <c r="BD11" t="s">
        <v>235</v>
      </c>
      <c r="BE11" t="s">
        <v>236</v>
      </c>
      <c r="BG11" t="s">
        <v>238</v>
      </c>
      <c r="BH11" t="s">
        <v>241</v>
      </c>
      <c r="BJ11" s="2" t="s">
        <v>214</v>
      </c>
      <c r="BK11" s="2" t="s">
        <v>381</v>
      </c>
      <c r="BL11" s="1" t="s">
        <v>221</v>
      </c>
      <c r="BM11" s="1">
        <v>7.5</v>
      </c>
      <c r="BN11" s="1">
        <v>9.5</v>
      </c>
      <c r="BO11" s="1">
        <v>9.5</v>
      </c>
      <c r="BP11" s="1">
        <v>6.5</v>
      </c>
      <c r="BQ11" s="1">
        <v>8</v>
      </c>
      <c r="BR11" s="2" t="s">
        <v>223</v>
      </c>
      <c r="BS11" s="2">
        <v>8</v>
      </c>
      <c r="BT11" s="2">
        <v>10</v>
      </c>
      <c r="BU11" s="2">
        <v>8.5</v>
      </c>
      <c r="BV11" s="2">
        <v>8</v>
      </c>
      <c r="BW11" s="2">
        <v>9.5</v>
      </c>
      <c r="BX11" s="3" t="s">
        <v>382</v>
      </c>
      <c r="BY11" s="1" t="s">
        <v>230</v>
      </c>
    </row>
    <row r="12" spans="1:77" x14ac:dyDescent="0.25">
      <c r="A12">
        <v>11</v>
      </c>
      <c r="B12" t="s">
        <v>11</v>
      </c>
      <c r="C12">
        <v>16485</v>
      </c>
      <c r="D12" t="s">
        <v>70</v>
      </c>
      <c r="E12" s="1" t="s">
        <v>13</v>
      </c>
      <c r="G12" s="1">
        <v>25.5</v>
      </c>
      <c r="H12" s="2">
        <v>21</v>
      </c>
      <c r="I12" s="2">
        <f t="shared" si="0"/>
        <v>6</v>
      </c>
      <c r="J12" s="3">
        <f t="shared" si="1"/>
        <v>6</v>
      </c>
      <c r="K12" s="1">
        <v>34</v>
      </c>
      <c r="N12" s="1">
        <v>28.5</v>
      </c>
      <c r="O12" s="3">
        <v>34</v>
      </c>
      <c r="P12" s="2">
        <f t="shared" si="2"/>
        <v>8</v>
      </c>
      <c r="Q12" s="3">
        <f t="shared" si="3"/>
        <v>9.5</v>
      </c>
      <c r="R12" s="1">
        <v>61.5</v>
      </c>
      <c r="U12" s="1">
        <v>34.5</v>
      </c>
      <c r="V12" s="3">
        <v>21</v>
      </c>
      <c r="W12" s="2">
        <f t="shared" si="4"/>
        <v>7</v>
      </c>
      <c r="X12" s="3">
        <f t="shared" si="5"/>
        <v>4.5</v>
      </c>
      <c r="Y12" s="1">
        <v>52.5</v>
      </c>
      <c r="AB12" s="1">
        <v>29.5</v>
      </c>
      <c r="AC12" s="3">
        <v>26</v>
      </c>
      <c r="AD12" s="2">
        <f t="shared" si="6"/>
        <v>7</v>
      </c>
      <c r="AE12" s="3">
        <f t="shared" si="7"/>
        <v>7</v>
      </c>
      <c r="AF12" s="1">
        <v>46</v>
      </c>
      <c r="AI12" s="1">
        <v>28.5</v>
      </c>
      <c r="AJ12" s="3">
        <v>26</v>
      </c>
      <c r="AK12" s="2">
        <f t="shared" si="8"/>
        <v>7</v>
      </c>
      <c r="AL12" s="3">
        <f t="shared" si="9"/>
        <v>6</v>
      </c>
      <c r="AM12" s="1">
        <v>35.5</v>
      </c>
      <c r="AN12" s="1">
        <f t="shared" si="10"/>
        <v>48.5</v>
      </c>
      <c r="AP12" s="1" t="s">
        <v>44</v>
      </c>
      <c r="AQ12" s="2">
        <v>11.5</v>
      </c>
      <c r="AR12" s="1">
        <v>22</v>
      </c>
      <c r="AS12" s="2">
        <v>6</v>
      </c>
      <c r="AU12" s="2">
        <v>19</v>
      </c>
      <c r="AV12" s="1">
        <v>29.5</v>
      </c>
      <c r="AX12" s="2">
        <v>7.5</v>
      </c>
      <c r="AY12" s="2">
        <v>10</v>
      </c>
      <c r="AZ12" s="2">
        <v>8</v>
      </c>
      <c r="BA12" s="2">
        <v>15</v>
      </c>
      <c r="BC12" t="s">
        <v>234</v>
      </c>
      <c r="BD12" t="s">
        <v>235</v>
      </c>
      <c r="BE12" t="s">
        <v>236</v>
      </c>
      <c r="BG12" t="s">
        <v>238</v>
      </c>
      <c r="BH12" t="s">
        <v>239</v>
      </c>
      <c r="BJ12" s="2" t="s">
        <v>214</v>
      </c>
      <c r="BK12" s="2" t="s">
        <v>381</v>
      </c>
      <c r="BL12" s="1" t="s">
        <v>221</v>
      </c>
      <c r="BM12" s="1">
        <v>5.5</v>
      </c>
      <c r="BN12" s="1">
        <v>9.5</v>
      </c>
      <c r="BO12" s="1">
        <v>3.5</v>
      </c>
      <c r="BP12" s="1">
        <v>7</v>
      </c>
      <c r="BQ12" s="1">
        <v>6.5</v>
      </c>
      <c r="BR12" s="2" t="s">
        <v>223</v>
      </c>
      <c r="BS12" s="2">
        <v>6.5</v>
      </c>
      <c r="BT12" s="2">
        <v>9</v>
      </c>
      <c r="BU12" s="2">
        <v>5.5</v>
      </c>
      <c r="BV12" s="2">
        <v>6.5</v>
      </c>
      <c r="BW12" s="2">
        <v>5.5</v>
      </c>
      <c r="BX12" s="3" t="s">
        <v>382</v>
      </c>
      <c r="BY12" s="1" t="s">
        <v>230</v>
      </c>
    </row>
    <row r="13" spans="1:77" x14ac:dyDescent="0.25">
      <c r="A13">
        <v>12</v>
      </c>
      <c r="B13" t="s">
        <v>11</v>
      </c>
      <c r="C13">
        <v>16591</v>
      </c>
      <c r="D13" t="s">
        <v>75</v>
      </c>
      <c r="E13" s="1" t="s">
        <v>13</v>
      </c>
      <c r="G13" s="1">
        <v>9</v>
      </c>
      <c r="H13" s="2" t="s">
        <v>21</v>
      </c>
      <c r="I13" s="2">
        <f t="shared" si="0"/>
        <v>1.5</v>
      </c>
      <c r="J13" s="3">
        <f t="shared" si="1"/>
        <v>6</v>
      </c>
      <c r="K13" s="1">
        <v>26.5</v>
      </c>
      <c r="N13" s="1">
        <v>7</v>
      </c>
      <c r="O13" s="3">
        <v>4</v>
      </c>
      <c r="P13" s="2">
        <f t="shared" si="2"/>
        <v>1.5</v>
      </c>
      <c r="Q13" s="3">
        <f t="shared" si="3"/>
        <v>9</v>
      </c>
      <c r="R13" s="1">
        <v>8</v>
      </c>
      <c r="U13" s="1">
        <v>5.5</v>
      </c>
      <c r="V13" s="3">
        <v>4</v>
      </c>
      <c r="W13" s="2">
        <f t="shared" si="4"/>
        <v>1.5</v>
      </c>
      <c r="X13" s="3">
        <f t="shared" si="5"/>
        <v>2.5</v>
      </c>
      <c r="Y13" s="1">
        <v>11</v>
      </c>
      <c r="AB13" s="1">
        <v>9</v>
      </c>
      <c r="AC13" s="3" t="s">
        <v>20</v>
      </c>
      <c r="AD13" s="2">
        <f t="shared" si="6"/>
        <v>1.5</v>
      </c>
      <c r="AE13" s="3">
        <f t="shared" si="7"/>
        <v>8</v>
      </c>
      <c r="AF13" s="1">
        <v>36.5</v>
      </c>
      <c r="AI13" s="1">
        <v>8</v>
      </c>
      <c r="AJ13" s="3" t="s">
        <v>21</v>
      </c>
      <c r="AK13" s="2">
        <f t="shared" si="8"/>
        <v>1</v>
      </c>
      <c r="AL13" s="3">
        <f t="shared" si="9"/>
        <v>6</v>
      </c>
      <c r="AM13" s="1">
        <v>18</v>
      </c>
      <c r="AN13" s="1">
        <f t="shared" si="10"/>
        <v>25</v>
      </c>
      <c r="AP13" s="1">
        <v>2</v>
      </c>
      <c r="AQ13" s="2">
        <v>6</v>
      </c>
      <c r="AR13" s="1">
        <v>6</v>
      </c>
      <c r="AS13" s="2">
        <v>6</v>
      </c>
      <c r="AU13" s="2">
        <v>13</v>
      </c>
      <c r="AV13" s="1">
        <v>23</v>
      </c>
      <c r="AX13" s="2">
        <v>8.5</v>
      </c>
      <c r="AY13" s="2">
        <v>5</v>
      </c>
      <c r="AZ13" s="2">
        <v>8</v>
      </c>
      <c r="BA13" s="2">
        <v>8.5</v>
      </c>
      <c r="BC13" t="s">
        <v>234</v>
      </c>
      <c r="BD13" t="s">
        <v>235</v>
      </c>
      <c r="BE13" t="s">
        <v>236</v>
      </c>
      <c r="BG13" t="s">
        <v>238</v>
      </c>
      <c r="BH13" t="s">
        <v>242</v>
      </c>
      <c r="BJ13" s="2" t="s">
        <v>214</v>
      </c>
      <c r="BK13" s="2" t="s">
        <v>381</v>
      </c>
      <c r="BL13" s="1" t="s">
        <v>221</v>
      </c>
      <c r="BM13" s="1">
        <v>6.5</v>
      </c>
      <c r="BN13" s="1">
        <v>9.5</v>
      </c>
      <c r="BO13" s="1">
        <v>1</v>
      </c>
      <c r="BP13" s="1">
        <v>10</v>
      </c>
      <c r="BQ13" s="1">
        <v>7.5</v>
      </c>
      <c r="BR13" s="2" t="s">
        <v>223</v>
      </c>
      <c r="BS13" s="2">
        <v>5</v>
      </c>
      <c r="BT13" s="2">
        <v>8</v>
      </c>
      <c r="BU13" s="2">
        <v>3.5</v>
      </c>
      <c r="BV13" s="2">
        <v>5.5</v>
      </c>
      <c r="BW13" s="2">
        <v>4</v>
      </c>
      <c r="BX13" s="3" t="s">
        <v>382</v>
      </c>
      <c r="BY13" s="1" t="s">
        <v>230</v>
      </c>
    </row>
    <row r="14" spans="1:77" x14ac:dyDescent="0.25">
      <c r="A14">
        <v>13</v>
      </c>
      <c r="B14" t="s">
        <v>11</v>
      </c>
      <c r="C14">
        <v>16441</v>
      </c>
      <c r="D14" t="s">
        <v>80</v>
      </c>
      <c r="E14" s="1" t="s">
        <v>13</v>
      </c>
      <c r="G14" s="1">
        <v>37.5</v>
      </c>
      <c r="H14" s="2">
        <v>35.5</v>
      </c>
      <c r="I14" s="2">
        <f t="shared" si="0"/>
        <v>9.5</v>
      </c>
      <c r="J14" s="3">
        <f t="shared" si="1"/>
        <v>9</v>
      </c>
      <c r="K14" s="1">
        <v>66.5</v>
      </c>
      <c r="N14" s="1">
        <v>37.5</v>
      </c>
      <c r="O14" s="3">
        <v>39</v>
      </c>
      <c r="P14" s="2">
        <f t="shared" si="2"/>
        <v>10</v>
      </c>
      <c r="Q14" s="3">
        <f t="shared" si="3"/>
        <v>10</v>
      </c>
      <c r="R14" s="1">
        <v>70</v>
      </c>
      <c r="U14" s="1">
        <v>36.5</v>
      </c>
      <c r="V14" s="3">
        <v>37.5</v>
      </c>
      <c r="W14" s="2">
        <f t="shared" si="4"/>
        <v>9.5</v>
      </c>
      <c r="X14" s="3">
        <f t="shared" si="5"/>
        <v>9</v>
      </c>
      <c r="Y14" s="1">
        <v>74.5</v>
      </c>
      <c r="AB14" s="1">
        <v>35.5</v>
      </c>
      <c r="AC14" s="3">
        <v>32</v>
      </c>
      <c r="AD14" s="2">
        <f t="shared" si="6"/>
        <v>8.5</v>
      </c>
      <c r="AE14" s="3">
        <f t="shared" si="7"/>
        <v>9.5</v>
      </c>
      <c r="AF14" s="1">
        <v>66.5</v>
      </c>
      <c r="AI14" s="1">
        <v>36.5</v>
      </c>
      <c r="AJ14" s="3">
        <v>31</v>
      </c>
      <c r="AK14" s="2">
        <f t="shared" si="8"/>
        <v>8.5</v>
      </c>
      <c r="AL14" s="3">
        <f t="shared" si="9"/>
        <v>8.5</v>
      </c>
      <c r="AM14" s="1">
        <v>56</v>
      </c>
      <c r="AN14" s="1">
        <f t="shared" si="10"/>
        <v>73</v>
      </c>
      <c r="AP14" s="1">
        <v>24</v>
      </c>
      <c r="AQ14" s="2">
        <v>16.5</v>
      </c>
      <c r="AR14" s="1">
        <v>22.5</v>
      </c>
      <c r="AS14" s="2">
        <v>10</v>
      </c>
      <c r="AU14" s="2">
        <v>23.5</v>
      </c>
      <c r="AV14" s="1">
        <v>32.5</v>
      </c>
      <c r="AX14" s="2">
        <v>9.5</v>
      </c>
      <c r="AY14" s="2">
        <v>10</v>
      </c>
      <c r="AZ14" s="2">
        <v>8</v>
      </c>
      <c r="BA14" s="2">
        <v>16</v>
      </c>
      <c r="BC14" t="s">
        <v>234</v>
      </c>
      <c r="BD14" t="s">
        <v>235</v>
      </c>
      <c r="BE14" t="s">
        <v>236</v>
      </c>
      <c r="BG14" t="s">
        <v>238</v>
      </c>
      <c r="BH14" t="s">
        <v>247</v>
      </c>
      <c r="BJ14" s="2" t="s">
        <v>214</v>
      </c>
      <c r="BK14" s="2" t="s">
        <v>381</v>
      </c>
      <c r="BL14" s="1" t="s">
        <v>221</v>
      </c>
      <c r="BM14" s="1">
        <v>8</v>
      </c>
      <c r="BN14" s="1">
        <v>9.5</v>
      </c>
      <c r="BO14" s="1">
        <v>9</v>
      </c>
      <c r="BP14" s="1">
        <v>10</v>
      </c>
      <c r="BQ14" s="1">
        <v>8</v>
      </c>
      <c r="BR14" s="2" t="s">
        <v>223</v>
      </c>
      <c r="BS14" s="2">
        <v>9.5</v>
      </c>
      <c r="BT14" s="2">
        <v>10</v>
      </c>
      <c r="BU14" s="2">
        <v>9</v>
      </c>
      <c r="BV14" s="2">
        <v>8.5</v>
      </c>
      <c r="BW14" s="2">
        <v>8.5</v>
      </c>
      <c r="BX14" s="3" t="s">
        <v>382</v>
      </c>
      <c r="BY14" s="1" t="s">
        <v>230</v>
      </c>
    </row>
    <row r="15" spans="1:77" x14ac:dyDescent="0.25">
      <c r="A15">
        <v>14</v>
      </c>
      <c r="B15" t="s">
        <v>11</v>
      </c>
      <c r="C15">
        <v>16557</v>
      </c>
      <c r="D15" t="s">
        <v>85</v>
      </c>
      <c r="E15" s="1" t="s">
        <v>13</v>
      </c>
      <c r="G15" s="1">
        <v>35.5</v>
      </c>
      <c r="H15" s="2">
        <v>30</v>
      </c>
      <c r="I15" s="2">
        <f t="shared" si="0"/>
        <v>8.5</v>
      </c>
      <c r="J15" s="3">
        <f t="shared" si="1"/>
        <v>8.5</v>
      </c>
      <c r="K15" s="1">
        <v>61.5</v>
      </c>
      <c r="N15" s="1">
        <v>37.5</v>
      </c>
      <c r="O15" s="3">
        <v>37.5</v>
      </c>
      <c r="P15" s="2">
        <f t="shared" si="2"/>
        <v>9.5</v>
      </c>
      <c r="Q15" s="3">
        <f t="shared" si="3"/>
        <v>10</v>
      </c>
      <c r="R15" s="1">
        <v>71</v>
      </c>
      <c r="U15" s="1">
        <v>35</v>
      </c>
      <c r="V15" s="3">
        <v>34.5</v>
      </c>
      <c r="W15" s="2">
        <f t="shared" si="4"/>
        <v>9</v>
      </c>
      <c r="X15" s="3">
        <f t="shared" si="5"/>
        <v>9</v>
      </c>
      <c r="Y15" s="1">
        <v>69</v>
      </c>
      <c r="AB15" s="1">
        <v>34</v>
      </c>
      <c r="AC15" s="3">
        <v>37</v>
      </c>
      <c r="AD15" s="2">
        <f t="shared" si="6"/>
        <v>9</v>
      </c>
      <c r="AE15" s="3">
        <f t="shared" si="7"/>
        <v>9</v>
      </c>
      <c r="AF15" s="1">
        <v>65.5</v>
      </c>
      <c r="AI15" s="1">
        <v>37</v>
      </c>
      <c r="AJ15" s="3">
        <v>39</v>
      </c>
      <c r="AK15" s="2">
        <f t="shared" si="8"/>
        <v>9.5</v>
      </c>
      <c r="AL15" s="3">
        <f t="shared" si="9"/>
        <v>8.5</v>
      </c>
      <c r="AM15" s="1">
        <v>57</v>
      </c>
      <c r="AN15" s="1">
        <f t="shared" si="10"/>
        <v>75</v>
      </c>
      <c r="AP15" s="1">
        <v>19.5</v>
      </c>
      <c r="AQ15" s="2">
        <v>20</v>
      </c>
      <c r="AR15" s="1">
        <v>21</v>
      </c>
      <c r="AS15" s="2">
        <v>6</v>
      </c>
      <c r="AU15" s="2">
        <v>23</v>
      </c>
      <c r="AV15" s="1">
        <v>38.5</v>
      </c>
      <c r="AX15" s="2">
        <v>9.5</v>
      </c>
      <c r="AY15" s="2">
        <v>10</v>
      </c>
      <c r="AZ15" s="2">
        <v>9</v>
      </c>
      <c r="BA15" s="2">
        <v>16</v>
      </c>
      <c r="BC15" t="s">
        <v>234</v>
      </c>
      <c r="BD15" t="s">
        <v>235</v>
      </c>
      <c r="BE15" t="s">
        <v>236</v>
      </c>
      <c r="BG15" t="s">
        <v>238</v>
      </c>
      <c r="BH15" t="s">
        <v>247</v>
      </c>
      <c r="BJ15" s="2" t="s">
        <v>214</v>
      </c>
      <c r="BK15" s="2" t="s">
        <v>381</v>
      </c>
      <c r="BL15" s="1" t="s">
        <v>221</v>
      </c>
      <c r="BM15" s="1">
        <v>8</v>
      </c>
      <c r="BN15" s="1">
        <v>10</v>
      </c>
      <c r="BO15" s="1">
        <v>10</v>
      </c>
      <c r="BP15" s="1">
        <v>9</v>
      </c>
      <c r="BQ15" s="1">
        <v>8</v>
      </c>
      <c r="BR15" s="2" t="s">
        <v>223</v>
      </c>
      <c r="BS15" s="2">
        <v>9</v>
      </c>
      <c r="BT15" s="2">
        <v>10</v>
      </c>
      <c r="BU15" s="2">
        <v>8</v>
      </c>
      <c r="BV15" s="2">
        <v>9</v>
      </c>
      <c r="BW15" s="2">
        <v>8.5</v>
      </c>
      <c r="BX15" s="3" t="s">
        <v>382</v>
      </c>
      <c r="BY15" s="1" t="s">
        <v>230</v>
      </c>
    </row>
    <row r="16" spans="1:77" x14ac:dyDescent="0.25">
      <c r="A16">
        <v>15</v>
      </c>
      <c r="B16" t="s">
        <v>11</v>
      </c>
      <c r="C16">
        <v>18810</v>
      </c>
      <c r="D16" t="s">
        <v>90</v>
      </c>
      <c r="E16" s="1" t="s">
        <v>13</v>
      </c>
      <c r="G16" s="1">
        <v>23</v>
      </c>
      <c r="H16" s="2" t="s">
        <v>21</v>
      </c>
      <c r="I16" s="2">
        <f t="shared" si="0"/>
        <v>3</v>
      </c>
      <c r="J16" s="3">
        <f t="shared" si="1"/>
        <v>5</v>
      </c>
      <c r="K16" s="1">
        <v>41</v>
      </c>
      <c r="N16" s="1">
        <v>11.5</v>
      </c>
      <c r="O16" s="3">
        <v>6.5</v>
      </c>
      <c r="P16" s="2">
        <f t="shared" si="2"/>
        <v>2.5</v>
      </c>
      <c r="Q16" s="3">
        <f t="shared" si="3"/>
        <v>9</v>
      </c>
      <c r="R16" s="1">
        <v>35.5</v>
      </c>
      <c r="U16" s="1">
        <v>27.5</v>
      </c>
      <c r="V16" s="3">
        <v>22</v>
      </c>
      <c r="W16" s="2">
        <f t="shared" si="4"/>
        <v>6.5</v>
      </c>
      <c r="X16" s="3">
        <f t="shared" si="5"/>
        <v>6.5</v>
      </c>
      <c r="Y16" s="1">
        <v>55</v>
      </c>
      <c r="AB16" s="1">
        <v>13</v>
      </c>
      <c r="AC16" s="3">
        <v>14</v>
      </c>
      <c r="AD16" s="2">
        <f t="shared" si="6"/>
        <v>3.5</v>
      </c>
      <c r="AE16" s="3">
        <f t="shared" si="7"/>
        <v>8</v>
      </c>
      <c r="AF16" s="1">
        <v>40.5</v>
      </c>
      <c r="AI16" s="1">
        <v>16.5</v>
      </c>
      <c r="AJ16" s="3">
        <v>14</v>
      </c>
      <c r="AK16" s="2">
        <f t="shared" si="8"/>
        <v>4</v>
      </c>
      <c r="AL16" s="3">
        <f t="shared" si="9"/>
        <v>6.5</v>
      </c>
      <c r="AM16" s="1">
        <v>21</v>
      </c>
      <c r="AN16" s="1">
        <f t="shared" si="10"/>
        <v>31.5</v>
      </c>
      <c r="AP16" s="1">
        <v>10</v>
      </c>
      <c r="AQ16" s="2">
        <v>7</v>
      </c>
      <c r="AR16" s="1">
        <v>17</v>
      </c>
      <c r="AS16" s="2">
        <v>8</v>
      </c>
      <c r="AU16" s="2">
        <v>15</v>
      </c>
      <c r="AV16" s="1">
        <v>25</v>
      </c>
      <c r="AX16" s="2">
        <v>6.5</v>
      </c>
      <c r="AY16" s="2">
        <v>5</v>
      </c>
      <c r="AZ16" s="2">
        <v>8</v>
      </c>
      <c r="BA16" s="2">
        <v>8</v>
      </c>
      <c r="BC16" t="s">
        <v>234</v>
      </c>
      <c r="BD16" t="s">
        <v>235</v>
      </c>
      <c r="BE16" t="s">
        <v>236</v>
      </c>
      <c r="BG16" t="s">
        <v>238</v>
      </c>
      <c r="BH16" t="s">
        <v>237</v>
      </c>
      <c r="BJ16" s="2" t="s">
        <v>214</v>
      </c>
      <c r="BK16" s="2" t="s">
        <v>381</v>
      </c>
      <c r="BL16" s="1" t="s">
        <v>221</v>
      </c>
      <c r="BM16" s="1">
        <v>3.5</v>
      </c>
      <c r="BN16" s="1">
        <v>9</v>
      </c>
      <c r="BO16" s="1">
        <v>7</v>
      </c>
      <c r="BP16" s="1">
        <v>9</v>
      </c>
      <c r="BQ16" s="1">
        <v>6</v>
      </c>
      <c r="BR16" s="2" t="s">
        <v>223</v>
      </c>
      <c r="BS16" s="2">
        <v>6</v>
      </c>
      <c r="BT16" s="2">
        <v>9</v>
      </c>
      <c r="BU16" s="2">
        <v>6</v>
      </c>
      <c r="BV16" s="2">
        <v>6.5</v>
      </c>
      <c r="BW16" s="2">
        <v>6.5</v>
      </c>
      <c r="BX16" s="3" t="s">
        <v>382</v>
      </c>
      <c r="BY16" s="1" t="s">
        <v>230</v>
      </c>
    </row>
    <row r="17" spans="1:77" x14ac:dyDescent="0.25">
      <c r="A17">
        <v>16</v>
      </c>
      <c r="B17" t="s">
        <v>11</v>
      </c>
      <c r="C17">
        <v>16447</v>
      </c>
      <c r="D17" t="s">
        <v>95</v>
      </c>
      <c r="E17" s="1" t="s">
        <v>13</v>
      </c>
      <c r="G17" s="1">
        <v>27.5</v>
      </c>
      <c r="H17" s="2">
        <v>23.5</v>
      </c>
      <c r="I17" s="2">
        <f t="shared" si="0"/>
        <v>6.5</v>
      </c>
      <c r="J17" s="3">
        <f t="shared" si="1"/>
        <v>6</v>
      </c>
      <c r="K17" s="1">
        <v>42.5</v>
      </c>
      <c r="N17" s="1">
        <v>27</v>
      </c>
      <c r="O17" s="3">
        <v>24.5</v>
      </c>
      <c r="P17" s="2">
        <f t="shared" si="2"/>
        <v>6.5</v>
      </c>
      <c r="Q17" s="3">
        <f t="shared" si="3"/>
        <v>10</v>
      </c>
      <c r="R17" s="1">
        <v>52.5</v>
      </c>
      <c r="U17" s="1">
        <v>32.5</v>
      </c>
      <c r="V17" s="3">
        <v>22.5</v>
      </c>
      <c r="W17" s="2">
        <f t="shared" si="4"/>
        <v>7</v>
      </c>
      <c r="X17" s="3">
        <f t="shared" si="5"/>
        <v>4.5</v>
      </c>
      <c r="Y17" s="1">
        <v>60</v>
      </c>
      <c r="AB17" s="1">
        <v>15.5</v>
      </c>
      <c r="AC17" s="3">
        <v>18.5</v>
      </c>
      <c r="AD17" s="2">
        <f t="shared" si="6"/>
        <v>4.5</v>
      </c>
      <c r="AE17" s="3">
        <f t="shared" si="7"/>
        <v>7.5</v>
      </c>
      <c r="AF17" s="1">
        <v>51.5</v>
      </c>
      <c r="AI17" s="1">
        <v>26.5</v>
      </c>
      <c r="AJ17" s="3">
        <v>28</v>
      </c>
      <c r="AK17" s="2">
        <f t="shared" si="8"/>
        <v>7</v>
      </c>
      <c r="AL17" s="3">
        <f t="shared" si="9"/>
        <v>7</v>
      </c>
      <c r="AM17" s="1">
        <v>33.5</v>
      </c>
      <c r="AN17" s="1">
        <f t="shared" si="10"/>
        <v>47.5</v>
      </c>
      <c r="AP17" s="1">
        <v>15</v>
      </c>
      <c r="AQ17" s="2">
        <v>10.5</v>
      </c>
      <c r="AR17" s="1">
        <v>18</v>
      </c>
      <c r="AS17" s="2">
        <v>6</v>
      </c>
      <c r="AU17" s="2">
        <v>19</v>
      </c>
      <c r="AV17" s="1">
        <v>28.5</v>
      </c>
      <c r="AX17" s="2">
        <v>7.5</v>
      </c>
      <c r="AY17" s="2">
        <v>5</v>
      </c>
      <c r="AZ17" s="2">
        <v>7</v>
      </c>
      <c r="BA17" s="2">
        <v>13</v>
      </c>
      <c r="BC17" t="s">
        <v>234</v>
      </c>
      <c r="BD17" t="s">
        <v>235</v>
      </c>
      <c r="BE17" t="s">
        <v>236</v>
      </c>
      <c r="BG17" t="s">
        <v>238</v>
      </c>
      <c r="BH17" t="s">
        <v>248</v>
      </c>
      <c r="BJ17" s="2" t="s">
        <v>214</v>
      </c>
      <c r="BK17" s="2" t="s">
        <v>381</v>
      </c>
      <c r="BL17" s="1" t="s">
        <v>221</v>
      </c>
      <c r="BM17" s="1">
        <v>6.5</v>
      </c>
      <c r="BN17" s="1">
        <v>10</v>
      </c>
      <c r="BO17" s="1">
        <v>2</v>
      </c>
      <c r="BP17" s="1">
        <v>8.5</v>
      </c>
      <c r="BQ17" s="1">
        <v>8.5</v>
      </c>
      <c r="BR17" s="2" t="s">
        <v>223</v>
      </c>
      <c r="BS17" s="2">
        <v>5.5</v>
      </c>
      <c r="BT17" s="2">
        <v>10</v>
      </c>
      <c r="BU17" s="2">
        <v>6.5</v>
      </c>
      <c r="BV17" s="2">
        <v>6</v>
      </c>
      <c r="BW17" s="2">
        <v>5.5</v>
      </c>
      <c r="BX17" s="3" t="s">
        <v>382</v>
      </c>
      <c r="BY17" s="1" t="s">
        <v>230</v>
      </c>
    </row>
    <row r="18" spans="1:77" x14ac:dyDescent="0.25">
      <c r="A18">
        <v>17</v>
      </c>
      <c r="B18" t="s">
        <v>11</v>
      </c>
      <c r="C18">
        <v>16456</v>
      </c>
      <c r="D18" t="s">
        <v>100</v>
      </c>
      <c r="E18" s="1" t="s">
        <v>13</v>
      </c>
      <c r="G18" s="1">
        <v>18.5</v>
      </c>
      <c r="H18" s="2">
        <v>16.5</v>
      </c>
      <c r="I18" s="2">
        <f t="shared" si="0"/>
        <v>4.5</v>
      </c>
      <c r="J18" s="3">
        <f t="shared" si="1"/>
        <v>5</v>
      </c>
      <c r="K18" s="1">
        <v>26.5</v>
      </c>
      <c r="N18" s="1">
        <v>14</v>
      </c>
      <c r="O18" s="3">
        <v>17.5</v>
      </c>
      <c r="P18" s="2">
        <f t="shared" si="2"/>
        <v>4</v>
      </c>
      <c r="Q18" s="3">
        <f t="shared" si="3"/>
        <v>10</v>
      </c>
      <c r="R18" s="1">
        <v>28.5</v>
      </c>
      <c r="U18" s="1">
        <v>15</v>
      </c>
      <c r="V18" s="3">
        <v>10.5</v>
      </c>
      <c r="W18" s="2">
        <f t="shared" si="4"/>
        <v>3.5</v>
      </c>
      <c r="X18" s="3">
        <f t="shared" si="5"/>
        <v>2.5</v>
      </c>
      <c r="Y18" s="1">
        <v>12</v>
      </c>
      <c r="AB18" s="1">
        <v>15.5</v>
      </c>
      <c r="AC18" s="3">
        <v>6.5</v>
      </c>
      <c r="AD18" s="2">
        <f t="shared" si="6"/>
        <v>3</v>
      </c>
      <c r="AE18" s="3">
        <f t="shared" si="7"/>
        <v>8</v>
      </c>
      <c r="AF18" s="1">
        <v>25.5</v>
      </c>
      <c r="AI18" s="1">
        <v>23</v>
      </c>
      <c r="AJ18" s="3">
        <v>17</v>
      </c>
      <c r="AK18" s="2">
        <f t="shared" si="8"/>
        <v>5</v>
      </c>
      <c r="AL18" s="3">
        <f t="shared" si="9"/>
        <v>7.5</v>
      </c>
      <c r="AM18" s="1">
        <v>15.5</v>
      </c>
      <c r="AN18" s="1">
        <f t="shared" si="10"/>
        <v>28</v>
      </c>
      <c r="AP18" s="1">
        <v>13.5</v>
      </c>
      <c r="AQ18" s="2">
        <v>10</v>
      </c>
      <c r="AR18" s="1">
        <v>16.5</v>
      </c>
      <c r="AS18" s="2">
        <v>5</v>
      </c>
      <c r="AU18" s="2" t="s">
        <v>21</v>
      </c>
      <c r="AV18" s="1">
        <v>20</v>
      </c>
      <c r="AX18" s="2">
        <v>7</v>
      </c>
      <c r="AY18" s="2">
        <v>9</v>
      </c>
      <c r="AZ18" s="2">
        <v>8</v>
      </c>
      <c r="BA18" s="2">
        <v>9</v>
      </c>
      <c r="BC18" t="s">
        <v>234</v>
      </c>
      <c r="BD18" t="s">
        <v>235</v>
      </c>
      <c r="BE18" t="s">
        <v>236</v>
      </c>
      <c r="BG18" t="s">
        <v>238</v>
      </c>
      <c r="BH18" t="s">
        <v>239</v>
      </c>
      <c r="BJ18" s="2" t="s">
        <v>214</v>
      </c>
      <c r="BK18" s="2" t="s">
        <v>381</v>
      </c>
      <c r="BL18" s="1" t="s">
        <v>221</v>
      </c>
      <c r="BM18" s="1">
        <v>4</v>
      </c>
      <c r="BN18" s="1">
        <v>9.5</v>
      </c>
      <c r="BO18" s="1">
        <v>2</v>
      </c>
      <c r="BP18" s="1">
        <v>10</v>
      </c>
      <c r="BQ18" s="1">
        <v>7</v>
      </c>
      <c r="BR18" s="2" t="s">
        <v>223</v>
      </c>
      <c r="BS18" s="2">
        <v>6</v>
      </c>
      <c r="BT18" s="2">
        <v>10</v>
      </c>
      <c r="BU18" s="2">
        <v>2.5</v>
      </c>
      <c r="BV18" s="2">
        <v>5.5</v>
      </c>
      <c r="BW18" s="2">
        <v>7.5</v>
      </c>
      <c r="BX18" s="3" t="s">
        <v>382</v>
      </c>
      <c r="BY18" s="1" t="s">
        <v>230</v>
      </c>
    </row>
    <row r="19" spans="1:77" x14ac:dyDescent="0.25">
      <c r="A19">
        <v>18</v>
      </c>
      <c r="B19" t="s">
        <v>11</v>
      </c>
      <c r="C19">
        <v>16462</v>
      </c>
      <c r="D19" t="s">
        <v>105</v>
      </c>
      <c r="E19" s="1" t="s">
        <v>13</v>
      </c>
      <c r="G19" s="1">
        <v>33.5</v>
      </c>
      <c r="H19" s="2">
        <v>23</v>
      </c>
      <c r="I19" s="2">
        <f t="shared" si="0"/>
        <v>7.5</v>
      </c>
      <c r="J19" s="3">
        <f t="shared" si="1"/>
        <v>8.5</v>
      </c>
      <c r="K19" s="1">
        <v>61</v>
      </c>
      <c r="N19" s="1">
        <v>26.5</v>
      </c>
      <c r="O19" s="3">
        <v>20.5</v>
      </c>
      <c r="P19" s="2">
        <f t="shared" si="2"/>
        <v>6</v>
      </c>
      <c r="Q19" s="3">
        <f t="shared" si="3"/>
        <v>9.5</v>
      </c>
      <c r="R19" s="1">
        <v>51</v>
      </c>
      <c r="U19" s="1">
        <v>25.5</v>
      </c>
      <c r="V19" s="3">
        <v>20.5</v>
      </c>
      <c r="W19" s="2">
        <f t="shared" si="4"/>
        <v>6</v>
      </c>
      <c r="X19" s="3">
        <f t="shared" si="5"/>
        <v>7.5</v>
      </c>
      <c r="Y19" s="1">
        <v>69</v>
      </c>
      <c r="AB19" s="1">
        <v>24.5</v>
      </c>
      <c r="AC19" s="3">
        <v>33</v>
      </c>
      <c r="AD19" s="2">
        <f t="shared" si="6"/>
        <v>7.5</v>
      </c>
      <c r="AE19" s="3">
        <f t="shared" si="7"/>
        <v>7.5</v>
      </c>
      <c r="AF19" s="1">
        <v>62.5</v>
      </c>
      <c r="AI19" s="1">
        <v>23</v>
      </c>
      <c r="AJ19" s="3">
        <v>30</v>
      </c>
      <c r="AK19" s="2">
        <f t="shared" si="8"/>
        <v>7</v>
      </c>
      <c r="AL19" s="3">
        <f t="shared" si="9"/>
        <v>7</v>
      </c>
      <c r="AM19" s="1">
        <v>40</v>
      </c>
      <c r="AN19" s="1">
        <f t="shared" si="10"/>
        <v>54</v>
      </c>
      <c r="AP19" s="1">
        <v>13</v>
      </c>
      <c r="AQ19" s="2">
        <v>11.5</v>
      </c>
      <c r="AR19" s="1">
        <v>14</v>
      </c>
      <c r="AS19" s="2">
        <v>6</v>
      </c>
      <c r="AU19" s="2">
        <v>21</v>
      </c>
      <c r="AV19" s="1">
        <v>30.5</v>
      </c>
      <c r="AX19" s="2">
        <v>9</v>
      </c>
      <c r="AY19" s="2">
        <v>7</v>
      </c>
      <c r="AZ19" s="2">
        <v>7</v>
      </c>
      <c r="BA19" s="2">
        <v>16</v>
      </c>
      <c r="BC19" t="s">
        <v>234</v>
      </c>
      <c r="BD19" t="s">
        <v>235</v>
      </c>
      <c r="BE19" t="s">
        <v>236</v>
      </c>
      <c r="BG19" t="s">
        <v>249</v>
      </c>
      <c r="BH19" t="s">
        <v>241</v>
      </c>
      <c r="BJ19" s="2" t="s">
        <v>214</v>
      </c>
      <c r="BK19" s="2" t="s">
        <v>381</v>
      </c>
      <c r="BL19" s="1" t="s">
        <v>221</v>
      </c>
      <c r="BM19" s="1">
        <v>7</v>
      </c>
      <c r="BN19" s="1">
        <v>9</v>
      </c>
      <c r="BO19" s="1">
        <v>8</v>
      </c>
      <c r="BP19" s="1">
        <v>6</v>
      </c>
      <c r="BQ19" s="1">
        <v>8</v>
      </c>
      <c r="BR19" s="2" t="s">
        <v>223</v>
      </c>
      <c r="BS19" s="2">
        <v>9.5</v>
      </c>
      <c r="BT19" s="2">
        <v>10</v>
      </c>
      <c r="BU19" s="2">
        <v>7</v>
      </c>
      <c r="BV19" s="2">
        <v>8.5</v>
      </c>
      <c r="BW19" s="2">
        <v>5.5</v>
      </c>
      <c r="BX19" s="3" t="s">
        <v>382</v>
      </c>
      <c r="BY19" s="1" t="s">
        <v>230</v>
      </c>
    </row>
    <row r="20" spans="1:77" x14ac:dyDescent="0.25">
      <c r="A20">
        <v>19</v>
      </c>
      <c r="B20" t="s">
        <v>11</v>
      </c>
      <c r="C20">
        <v>16668</v>
      </c>
      <c r="D20" t="s">
        <v>110</v>
      </c>
      <c r="E20" s="1" t="s">
        <v>13</v>
      </c>
      <c r="G20" s="1">
        <v>26.5</v>
      </c>
      <c r="H20" s="2">
        <v>19</v>
      </c>
      <c r="I20" s="2">
        <f t="shared" si="0"/>
        <v>6</v>
      </c>
      <c r="J20" s="3">
        <f t="shared" si="1"/>
        <v>6</v>
      </c>
      <c r="K20" s="1">
        <v>44</v>
      </c>
      <c r="N20" s="1">
        <v>31.5</v>
      </c>
      <c r="O20" s="3">
        <v>37.5</v>
      </c>
      <c r="P20" s="2">
        <f t="shared" si="2"/>
        <v>9</v>
      </c>
      <c r="Q20" s="3">
        <f t="shared" si="3"/>
        <v>10</v>
      </c>
      <c r="R20" s="1">
        <v>72</v>
      </c>
      <c r="U20" s="1">
        <v>19</v>
      </c>
      <c r="V20" s="3">
        <v>25</v>
      </c>
      <c r="W20" s="2">
        <f t="shared" si="4"/>
        <v>5.5</v>
      </c>
      <c r="X20" s="3">
        <f t="shared" si="5"/>
        <v>6.5</v>
      </c>
      <c r="Y20" s="1">
        <v>60</v>
      </c>
      <c r="AB20" s="1">
        <v>34.5</v>
      </c>
      <c r="AC20" s="3">
        <v>23.5</v>
      </c>
      <c r="AD20" s="2">
        <f t="shared" si="6"/>
        <v>7.5</v>
      </c>
      <c r="AE20" s="3">
        <f t="shared" si="7"/>
        <v>9</v>
      </c>
      <c r="AF20" s="1">
        <v>60</v>
      </c>
      <c r="AI20" s="1">
        <v>31.5</v>
      </c>
      <c r="AJ20" s="3">
        <v>28.5</v>
      </c>
      <c r="AK20" s="2">
        <f t="shared" si="8"/>
        <v>7.5</v>
      </c>
      <c r="AL20" s="3">
        <f t="shared" si="9"/>
        <v>5.5</v>
      </c>
      <c r="AM20" s="1">
        <v>35.5</v>
      </c>
      <c r="AN20" s="1">
        <f t="shared" si="10"/>
        <v>48.5</v>
      </c>
      <c r="AP20" s="1">
        <v>12</v>
      </c>
      <c r="AQ20" s="2">
        <v>18</v>
      </c>
      <c r="AR20" s="1">
        <v>23</v>
      </c>
      <c r="AS20" s="2">
        <v>6</v>
      </c>
      <c r="AU20" s="2">
        <v>20</v>
      </c>
      <c r="AV20" s="1">
        <v>32.5</v>
      </c>
      <c r="AX20" s="2">
        <v>8</v>
      </c>
      <c r="AY20" s="2">
        <v>10</v>
      </c>
      <c r="AZ20" s="2">
        <v>8</v>
      </c>
      <c r="BA20" s="2">
        <v>15</v>
      </c>
      <c r="BC20" t="s">
        <v>234</v>
      </c>
      <c r="BD20" t="s">
        <v>235</v>
      </c>
      <c r="BE20" t="s">
        <v>236</v>
      </c>
      <c r="BG20" t="s">
        <v>250</v>
      </c>
      <c r="BH20" t="s">
        <v>244</v>
      </c>
      <c r="BJ20" s="2" t="s">
        <v>214</v>
      </c>
      <c r="BK20" s="2" t="s">
        <v>381</v>
      </c>
      <c r="BL20" s="1" t="s">
        <v>221</v>
      </c>
      <c r="BM20" s="1">
        <v>6</v>
      </c>
      <c r="BN20" s="1">
        <v>10</v>
      </c>
      <c r="BO20" s="1">
        <v>7.5</v>
      </c>
      <c r="BP20" s="1">
        <v>10</v>
      </c>
      <c r="BQ20" s="1">
        <v>7.5</v>
      </c>
      <c r="BR20" s="2" t="s">
        <v>223</v>
      </c>
      <c r="BS20" s="2">
        <v>6</v>
      </c>
      <c r="BT20" s="2">
        <v>10</v>
      </c>
      <c r="BU20" s="2">
        <v>5.5</v>
      </c>
      <c r="BV20" s="2">
        <v>7.5</v>
      </c>
      <c r="BW20" s="2">
        <v>3.5</v>
      </c>
      <c r="BX20" s="3" t="s">
        <v>382</v>
      </c>
      <c r="BY20" s="1" t="s">
        <v>230</v>
      </c>
    </row>
    <row r="21" spans="1:77" x14ac:dyDescent="0.25">
      <c r="A21">
        <v>20</v>
      </c>
      <c r="B21" t="s">
        <v>11</v>
      </c>
      <c r="C21">
        <v>16475</v>
      </c>
      <c r="D21" t="s">
        <v>115</v>
      </c>
      <c r="E21" s="1" t="s">
        <v>13</v>
      </c>
      <c r="G21" s="1" t="s">
        <v>21</v>
      </c>
      <c r="H21" s="2">
        <v>32</v>
      </c>
      <c r="I21" s="2">
        <f t="shared" si="0"/>
        <v>4</v>
      </c>
      <c r="J21" s="3">
        <f t="shared" si="1"/>
        <v>9</v>
      </c>
      <c r="K21" s="1">
        <v>55.5</v>
      </c>
      <c r="N21" s="1">
        <v>34</v>
      </c>
      <c r="O21" s="3">
        <v>34.5</v>
      </c>
      <c r="P21" s="2">
        <f t="shared" si="2"/>
        <v>9</v>
      </c>
      <c r="Q21" s="3">
        <f t="shared" si="3"/>
        <v>10</v>
      </c>
      <c r="R21" s="1">
        <v>60.5</v>
      </c>
      <c r="U21" s="1">
        <v>37</v>
      </c>
      <c r="V21" s="3">
        <v>32</v>
      </c>
      <c r="W21" s="2">
        <f t="shared" si="4"/>
        <v>9</v>
      </c>
      <c r="X21" s="3">
        <f t="shared" si="5"/>
        <v>8.5</v>
      </c>
      <c r="Y21" s="1">
        <v>75.5</v>
      </c>
      <c r="AB21" s="1">
        <v>31.5</v>
      </c>
      <c r="AC21" s="3">
        <v>34.5</v>
      </c>
      <c r="AD21" s="2">
        <f t="shared" si="6"/>
        <v>8.5</v>
      </c>
      <c r="AE21" s="3">
        <f t="shared" si="7"/>
        <v>9</v>
      </c>
      <c r="AF21" s="1">
        <v>59</v>
      </c>
      <c r="AI21" s="1">
        <v>32</v>
      </c>
      <c r="AJ21" s="3">
        <v>36</v>
      </c>
      <c r="AK21" s="2">
        <f t="shared" si="8"/>
        <v>8.5</v>
      </c>
      <c r="AL21" s="3">
        <f t="shared" si="9"/>
        <v>8</v>
      </c>
      <c r="AM21" s="1">
        <v>64</v>
      </c>
      <c r="AN21" s="1">
        <f t="shared" si="10"/>
        <v>80.5</v>
      </c>
      <c r="AP21" s="1" t="s">
        <v>44</v>
      </c>
      <c r="AQ21" s="2">
        <v>20</v>
      </c>
      <c r="AR21" s="1">
        <v>24.5</v>
      </c>
      <c r="AS21" s="2">
        <v>8</v>
      </c>
      <c r="AU21" s="2">
        <v>22</v>
      </c>
      <c r="AV21" s="1">
        <v>34</v>
      </c>
      <c r="AX21" s="2">
        <v>8.5</v>
      </c>
      <c r="AY21" s="2">
        <v>10</v>
      </c>
      <c r="AZ21" s="2">
        <v>8</v>
      </c>
      <c r="BA21" s="2">
        <v>12</v>
      </c>
      <c r="BC21" t="s">
        <v>234</v>
      </c>
      <c r="BD21" t="s">
        <v>235</v>
      </c>
      <c r="BE21" t="s">
        <v>236</v>
      </c>
      <c r="BG21" t="s">
        <v>251</v>
      </c>
      <c r="BH21" t="s">
        <v>239</v>
      </c>
      <c r="BJ21" s="2" t="s">
        <v>214</v>
      </c>
      <c r="BK21" s="2" t="s">
        <v>381</v>
      </c>
      <c r="BL21" s="1" t="s">
        <v>221</v>
      </c>
      <c r="BM21" s="1">
        <v>8.5</v>
      </c>
      <c r="BN21" s="1">
        <v>9.5</v>
      </c>
      <c r="BO21" s="1">
        <v>9</v>
      </c>
      <c r="BP21" s="1">
        <v>10</v>
      </c>
      <c r="BQ21" s="1">
        <v>7</v>
      </c>
      <c r="BR21" s="2" t="s">
        <v>223</v>
      </c>
      <c r="BS21" s="2">
        <v>9</v>
      </c>
      <c r="BT21" s="2">
        <v>10</v>
      </c>
      <c r="BU21" s="2">
        <v>7.5</v>
      </c>
      <c r="BV21" s="2">
        <v>8</v>
      </c>
      <c r="BW21" s="2">
        <v>9</v>
      </c>
      <c r="BX21" s="3" t="s">
        <v>382</v>
      </c>
      <c r="BY21" s="1" t="s">
        <v>230</v>
      </c>
    </row>
    <row r="22" spans="1:77" x14ac:dyDescent="0.25">
      <c r="A22">
        <v>21</v>
      </c>
      <c r="B22" t="s">
        <v>11</v>
      </c>
      <c r="C22">
        <v>16677</v>
      </c>
      <c r="D22" t="s">
        <v>120</v>
      </c>
      <c r="E22" s="1" t="s">
        <v>13</v>
      </c>
      <c r="G22" s="1">
        <v>13.5</v>
      </c>
      <c r="H22" s="2">
        <v>4.5</v>
      </c>
      <c r="I22" s="2">
        <f t="shared" si="0"/>
        <v>2.5</v>
      </c>
      <c r="J22" s="3">
        <f t="shared" si="1"/>
        <v>3.5</v>
      </c>
      <c r="K22" s="1">
        <v>11.5</v>
      </c>
      <c r="N22" s="1">
        <v>3</v>
      </c>
      <c r="O22" s="3">
        <v>9</v>
      </c>
      <c r="P22" s="2">
        <f t="shared" si="2"/>
        <v>1.5</v>
      </c>
      <c r="Q22" s="3">
        <f t="shared" si="3"/>
        <v>4.5</v>
      </c>
      <c r="R22" s="1">
        <v>17</v>
      </c>
      <c r="U22" s="1">
        <v>5</v>
      </c>
      <c r="V22" s="3">
        <v>13.5</v>
      </c>
      <c r="W22" s="2">
        <f t="shared" si="4"/>
        <v>2.5</v>
      </c>
      <c r="X22" s="3">
        <f t="shared" si="5"/>
        <v>2.5</v>
      </c>
      <c r="Y22" s="1">
        <v>29</v>
      </c>
      <c r="AB22" s="1">
        <v>5.5</v>
      </c>
      <c r="AC22" s="3">
        <v>8</v>
      </c>
      <c r="AD22" s="2">
        <f t="shared" si="6"/>
        <v>2</v>
      </c>
      <c r="AE22" s="3">
        <f t="shared" si="7"/>
        <v>6</v>
      </c>
      <c r="AF22" s="1">
        <v>15</v>
      </c>
      <c r="AI22" s="1">
        <v>3</v>
      </c>
      <c r="AJ22" s="3">
        <v>17</v>
      </c>
      <c r="AK22" s="2">
        <f t="shared" si="8"/>
        <v>2.5</v>
      </c>
      <c r="AL22" s="3">
        <f t="shared" si="9"/>
        <v>4.5</v>
      </c>
      <c r="AM22" s="1">
        <v>10.5</v>
      </c>
      <c r="AN22" s="1">
        <f t="shared" si="10"/>
        <v>17.5</v>
      </c>
      <c r="AP22" s="1" t="s">
        <v>44</v>
      </c>
      <c r="AQ22" s="2">
        <v>2.5</v>
      </c>
      <c r="AR22" s="1">
        <v>7</v>
      </c>
      <c r="AS22" s="2">
        <v>8</v>
      </c>
      <c r="AU22" s="2">
        <v>10</v>
      </c>
      <c r="AV22" s="1">
        <v>20</v>
      </c>
      <c r="AX22" s="2">
        <v>7</v>
      </c>
      <c r="AY22" s="2">
        <v>5</v>
      </c>
      <c r="AZ22" s="2">
        <v>7</v>
      </c>
      <c r="BA22" s="2">
        <v>3</v>
      </c>
      <c r="BC22" t="s">
        <v>234</v>
      </c>
      <c r="BD22" t="s">
        <v>235</v>
      </c>
      <c r="BE22" t="s">
        <v>236</v>
      </c>
      <c r="BG22" t="s">
        <v>238</v>
      </c>
      <c r="BH22" t="s">
        <v>252</v>
      </c>
      <c r="BJ22" s="2" t="s">
        <v>214</v>
      </c>
      <c r="BK22" s="2" t="s">
        <v>381</v>
      </c>
      <c r="BL22" s="1" t="s">
        <v>221</v>
      </c>
      <c r="BM22" s="1">
        <v>6.5</v>
      </c>
      <c r="BN22" s="1">
        <v>9</v>
      </c>
      <c r="BO22" s="1">
        <v>0.5</v>
      </c>
      <c r="BP22" s="1">
        <v>7</v>
      </c>
      <c r="BQ22" s="1">
        <v>6.5</v>
      </c>
      <c r="BR22" s="2" t="s">
        <v>223</v>
      </c>
      <c r="BS22" s="2" t="s">
        <v>21</v>
      </c>
      <c r="BT22" s="2" t="s">
        <v>20</v>
      </c>
      <c r="BU22" s="2">
        <v>4</v>
      </c>
      <c r="BV22" s="2">
        <v>5</v>
      </c>
      <c r="BW22" s="2">
        <v>2</v>
      </c>
      <c r="BX22" s="3" t="s">
        <v>382</v>
      </c>
      <c r="BY22" s="1" t="s">
        <v>230</v>
      </c>
    </row>
    <row r="23" spans="1:77" x14ac:dyDescent="0.25">
      <c r="A23">
        <v>22</v>
      </c>
      <c r="B23" t="s">
        <v>11</v>
      </c>
      <c r="C23">
        <v>18727</v>
      </c>
      <c r="D23" t="s">
        <v>125</v>
      </c>
      <c r="E23" s="1" t="s">
        <v>13</v>
      </c>
      <c r="G23" s="1" t="s">
        <v>21</v>
      </c>
      <c r="H23" s="2">
        <v>22</v>
      </c>
      <c r="I23" s="2">
        <f t="shared" si="0"/>
        <v>3</v>
      </c>
      <c r="J23" s="3">
        <f t="shared" si="1"/>
        <v>9</v>
      </c>
      <c r="K23" s="1">
        <v>56.5</v>
      </c>
      <c r="N23" s="1" t="s">
        <v>20</v>
      </c>
      <c r="O23" s="3">
        <v>26</v>
      </c>
      <c r="P23" s="2">
        <f t="shared" si="2"/>
        <v>3.5</v>
      </c>
      <c r="Q23" s="3">
        <f t="shared" si="3"/>
        <v>9.5</v>
      </c>
      <c r="R23" s="1">
        <v>52.5</v>
      </c>
      <c r="U23" s="1">
        <v>35.5</v>
      </c>
      <c r="V23" s="3">
        <v>32.5</v>
      </c>
      <c r="W23" s="2">
        <f t="shared" si="4"/>
        <v>8.5</v>
      </c>
      <c r="X23" s="3">
        <f t="shared" si="5"/>
        <v>4</v>
      </c>
      <c r="Y23" s="1">
        <v>70</v>
      </c>
      <c r="AB23" s="1" t="s">
        <v>20</v>
      </c>
      <c r="AC23" s="3">
        <v>33.5</v>
      </c>
      <c r="AD23" s="2">
        <f t="shared" si="6"/>
        <v>4.5</v>
      </c>
      <c r="AE23" s="3">
        <f t="shared" si="7"/>
        <v>9.5</v>
      </c>
      <c r="AF23" s="1">
        <v>57.5</v>
      </c>
      <c r="AI23" s="1">
        <v>32</v>
      </c>
      <c r="AJ23" s="3">
        <v>28</v>
      </c>
      <c r="AK23" s="2">
        <f t="shared" si="8"/>
        <v>7.5</v>
      </c>
      <c r="AL23" s="3">
        <f t="shared" si="9"/>
        <v>6.5</v>
      </c>
      <c r="AM23" s="1">
        <v>46</v>
      </c>
      <c r="AN23" s="1">
        <f t="shared" si="10"/>
        <v>60</v>
      </c>
      <c r="AP23" s="1">
        <v>9</v>
      </c>
      <c r="AQ23" s="2">
        <v>10.5</v>
      </c>
      <c r="AR23" s="1">
        <v>14.5</v>
      </c>
      <c r="AS23" s="2">
        <v>5</v>
      </c>
      <c r="AU23" s="2">
        <v>16</v>
      </c>
      <c r="AV23" s="1">
        <v>30</v>
      </c>
      <c r="AX23" s="2">
        <v>6.5</v>
      </c>
      <c r="AY23" s="2">
        <v>5</v>
      </c>
      <c r="AZ23" s="2">
        <v>8</v>
      </c>
      <c r="BA23" s="2">
        <v>13</v>
      </c>
      <c r="BC23" t="s">
        <v>234</v>
      </c>
      <c r="BD23" t="s">
        <v>235</v>
      </c>
      <c r="BE23" t="s">
        <v>236</v>
      </c>
      <c r="BG23" t="s">
        <v>238</v>
      </c>
      <c r="BH23" t="s">
        <v>253</v>
      </c>
      <c r="BJ23" s="2" t="s">
        <v>214</v>
      </c>
      <c r="BK23" s="2" t="s">
        <v>381</v>
      </c>
      <c r="BL23" s="1" t="s">
        <v>221</v>
      </c>
      <c r="BM23" s="1">
        <v>9.5</v>
      </c>
      <c r="BN23" s="1">
        <v>9</v>
      </c>
      <c r="BO23" s="1">
        <v>8</v>
      </c>
      <c r="BP23" s="1">
        <v>10</v>
      </c>
      <c r="BQ23" s="1">
        <v>5.5</v>
      </c>
      <c r="BR23" s="2" t="s">
        <v>223</v>
      </c>
      <c r="BS23" s="2">
        <v>8</v>
      </c>
      <c r="BT23" s="2">
        <v>10</v>
      </c>
      <c r="BU23" s="2" t="s">
        <v>20</v>
      </c>
      <c r="BV23" s="2">
        <v>9</v>
      </c>
      <c r="BW23" s="2">
        <v>7</v>
      </c>
      <c r="BX23" s="3" t="s">
        <v>382</v>
      </c>
      <c r="BY23" s="1" t="s">
        <v>230</v>
      </c>
    </row>
    <row r="24" spans="1:77" x14ac:dyDescent="0.25">
      <c r="A24">
        <v>23</v>
      </c>
      <c r="B24" t="s">
        <v>11</v>
      </c>
      <c r="C24">
        <v>16560</v>
      </c>
      <c r="D24" t="s">
        <v>129</v>
      </c>
      <c r="E24" s="1" t="s">
        <v>13</v>
      </c>
      <c r="G24" s="1">
        <v>13.5</v>
      </c>
      <c r="H24" s="2">
        <v>8.5</v>
      </c>
      <c r="I24" s="2">
        <f t="shared" si="0"/>
        <v>3</v>
      </c>
      <c r="J24" s="3">
        <f t="shared" si="1"/>
        <v>3</v>
      </c>
      <c r="K24" s="1">
        <v>15</v>
      </c>
      <c r="N24" s="1">
        <v>17.5</v>
      </c>
      <c r="O24" s="3">
        <v>25.5</v>
      </c>
      <c r="P24" s="2">
        <f t="shared" si="2"/>
        <v>5.5</v>
      </c>
      <c r="Q24" s="3">
        <f t="shared" si="3"/>
        <v>8.5</v>
      </c>
      <c r="R24" s="1">
        <v>29.5</v>
      </c>
      <c r="U24" s="1">
        <v>23</v>
      </c>
      <c r="V24" s="3">
        <v>7.5</v>
      </c>
      <c r="W24" s="2">
        <f t="shared" si="4"/>
        <v>4</v>
      </c>
      <c r="X24" s="3">
        <f t="shared" si="5"/>
        <v>2.5</v>
      </c>
      <c r="Y24" s="1">
        <v>12.5</v>
      </c>
      <c r="AB24" s="1">
        <v>17</v>
      </c>
      <c r="AC24" s="3">
        <v>17</v>
      </c>
      <c r="AD24" s="2">
        <f t="shared" si="6"/>
        <v>4.5</v>
      </c>
      <c r="AE24" s="3">
        <f t="shared" si="7"/>
        <v>4</v>
      </c>
      <c r="AF24" s="1">
        <v>20</v>
      </c>
      <c r="AI24" s="1">
        <v>12</v>
      </c>
      <c r="AJ24" s="3">
        <v>13.5</v>
      </c>
      <c r="AK24" s="2">
        <f t="shared" si="8"/>
        <v>3.5</v>
      </c>
      <c r="AL24" s="3">
        <f t="shared" si="9"/>
        <v>2.5</v>
      </c>
      <c r="AM24" s="1">
        <v>15.5</v>
      </c>
      <c r="AN24" s="1">
        <f t="shared" si="10"/>
        <v>21.5</v>
      </c>
      <c r="AP24" s="1">
        <v>4</v>
      </c>
      <c r="AQ24" s="2" t="s">
        <v>44</v>
      </c>
      <c r="AR24" s="1">
        <v>4.5</v>
      </c>
      <c r="AS24" s="2">
        <v>1</v>
      </c>
      <c r="AU24" s="2" t="s">
        <v>21</v>
      </c>
      <c r="AV24" s="1">
        <v>19</v>
      </c>
      <c r="AX24" s="2">
        <v>8.5</v>
      </c>
      <c r="AY24" s="2">
        <v>4</v>
      </c>
      <c r="AZ24" s="2">
        <v>6</v>
      </c>
      <c r="BA24" s="2" t="s">
        <v>21</v>
      </c>
      <c r="BC24" t="s">
        <v>234</v>
      </c>
      <c r="BD24" t="s">
        <v>235</v>
      </c>
      <c r="BE24" t="s">
        <v>236</v>
      </c>
      <c r="BG24" t="s">
        <v>238</v>
      </c>
      <c r="BH24" t="s">
        <v>254</v>
      </c>
      <c r="BJ24" s="2" t="s">
        <v>214</v>
      </c>
      <c r="BK24" s="2" t="s">
        <v>381</v>
      </c>
      <c r="BL24" s="1" t="s">
        <v>221</v>
      </c>
      <c r="BM24" s="1">
        <v>6</v>
      </c>
      <c r="BN24" s="1">
        <v>8.5</v>
      </c>
      <c r="BO24" s="1">
        <v>1</v>
      </c>
      <c r="BP24" s="1">
        <v>2</v>
      </c>
      <c r="BQ24" s="1">
        <v>3</v>
      </c>
      <c r="BR24" s="2" t="s">
        <v>223</v>
      </c>
      <c r="BS24" s="2" t="s">
        <v>21</v>
      </c>
      <c r="BT24" s="2">
        <v>8</v>
      </c>
      <c r="BU24" s="2">
        <v>3.5</v>
      </c>
      <c r="BV24" s="2">
        <v>6</v>
      </c>
      <c r="BW24" s="2">
        <v>1.5</v>
      </c>
      <c r="BX24" s="3" t="s">
        <v>382</v>
      </c>
      <c r="BY24" s="1" t="s">
        <v>230</v>
      </c>
    </row>
    <row r="25" spans="1:77" x14ac:dyDescent="0.25">
      <c r="A25">
        <v>24</v>
      </c>
      <c r="B25" t="s">
        <v>11</v>
      </c>
      <c r="C25">
        <v>16692</v>
      </c>
      <c r="D25" t="s">
        <v>134</v>
      </c>
      <c r="E25" s="1" t="s">
        <v>13</v>
      </c>
      <c r="G25" s="1">
        <v>11</v>
      </c>
      <c r="H25" s="2" t="s">
        <v>21</v>
      </c>
      <c r="I25" s="2">
        <f t="shared" si="0"/>
        <v>1.5</v>
      </c>
      <c r="J25" s="3">
        <f t="shared" si="1"/>
        <v>2</v>
      </c>
      <c r="K25" s="1">
        <v>8.5</v>
      </c>
      <c r="N25" s="1">
        <v>7</v>
      </c>
      <c r="O25" s="3">
        <v>6</v>
      </c>
      <c r="P25" s="2">
        <f t="shared" si="2"/>
        <v>2</v>
      </c>
      <c r="Q25" s="3">
        <f t="shared" si="3"/>
        <v>6</v>
      </c>
      <c r="R25" s="1">
        <v>17.5</v>
      </c>
      <c r="U25" s="1">
        <v>13.5</v>
      </c>
      <c r="V25" s="3">
        <v>13.5</v>
      </c>
      <c r="W25" s="2">
        <f t="shared" si="4"/>
        <v>3.5</v>
      </c>
      <c r="X25" s="3">
        <f t="shared" si="5"/>
        <v>1</v>
      </c>
      <c r="Y25" s="1">
        <v>26.5</v>
      </c>
      <c r="AB25" s="1">
        <v>3</v>
      </c>
      <c r="AC25" s="3">
        <v>2</v>
      </c>
      <c r="AD25" s="2">
        <f t="shared" si="6"/>
        <v>1</v>
      </c>
      <c r="AE25" s="3">
        <f t="shared" si="7"/>
        <v>3</v>
      </c>
      <c r="AF25" s="1">
        <v>6.5</v>
      </c>
      <c r="AI25" s="1">
        <v>3</v>
      </c>
      <c r="AJ25" s="3" t="s">
        <v>21</v>
      </c>
      <c r="AK25" s="2">
        <f t="shared" si="8"/>
        <v>0.5</v>
      </c>
      <c r="AL25" s="3">
        <f t="shared" si="9"/>
        <v>1.5</v>
      </c>
      <c r="AM25" s="1">
        <v>9.5</v>
      </c>
      <c r="AN25" s="1">
        <f t="shared" si="10"/>
        <v>11.5</v>
      </c>
      <c r="AP25" s="1">
        <v>6</v>
      </c>
      <c r="AQ25" s="2">
        <v>10</v>
      </c>
      <c r="AR25" s="1">
        <v>2</v>
      </c>
      <c r="AS25" s="2">
        <v>4</v>
      </c>
      <c r="AU25" s="2">
        <v>12.5</v>
      </c>
      <c r="AV25" s="1">
        <v>21</v>
      </c>
      <c r="AX25" s="2">
        <v>0.5</v>
      </c>
      <c r="AY25" s="2">
        <v>4</v>
      </c>
      <c r="AZ25" s="2">
        <v>8</v>
      </c>
      <c r="BA25" s="2">
        <v>4.5</v>
      </c>
      <c r="BC25" t="s">
        <v>234</v>
      </c>
      <c r="BD25" t="s">
        <v>235</v>
      </c>
      <c r="BE25" t="s">
        <v>236</v>
      </c>
      <c r="BG25" t="s">
        <v>238</v>
      </c>
      <c r="BH25" t="s">
        <v>240</v>
      </c>
      <c r="BJ25" s="2" t="s">
        <v>214</v>
      </c>
      <c r="BK25" s="2" t="s">
        <v>381</v>
      </c>
      <c r="BL25" s="1" t="s">
        <v>221</v>
      </c>
      <c r="BM25" s="1" t="s">
        <v>21</v>
      </c>
      <c r="BN25" s="1">
        <v>6</v>
      </c>
      <c r="BO25" s="1">
        <v>0.5</v>
      </c>
      <c r="BP25" s="1">
        <v>4</v>
      </c>
      <c r="BQ25" s="1">
        <v>2</v>
      </c>
      <c r="BR25" s="2" t="s">
        <v>223</v>
      </c>
      <c r="BS25" s="2">
        <v>3.5</v>
      </c>
      <c r="BT25" s="2">
        <v>6</v>
      </c>
      <c r="BU25" s="2">
        <v>1.5</v>
      </c>
      <c r="BV25" s="2">
        <v>2</v>
      </c>
      <c r="BW25" s="2">
        <v>1</v>
      </c>
      <c r="BX25" s="3" t="s">
        <v>382</v>
      </c>
      <c r="BY25" s="1" t="s">
        <v>230</v>
      </c>
    </row>
    <row r="26" spans="1:77" x14ac:dyDescent="0.25">
      <c r="A26">
        <v>25</v>
      </c>
      <c r="B26" t="s">
        <v>11</v>
      </c>
      <c r="C26">
        <v>16693</v>
      </c>
      <c r="D26" t="s">
        <v>139</v>
      </c>
      <c r="E26" s="1" t="s">
        <v>13</v>
      </c>
      <c r="G26" s="1">
        <v>19</v>
      </c>
      <c r="H26" s="2">
        <v>17</v>
      </c>
      <c r="I26" s="2">
        <f t="shared" si="0"/>
        <v>4.5</v>
      </c>
      <c r="J26" s="3">
        <f t="shared" si="1"/>
        <v>4.5</v>
      </c>
      <c r="K26" s="1">
        <v>26.5</v>
      </c>
      <c r="N26" s="1">
        <v>18</v>
      </c>
      <c r="O26" s="3">
        <v>22</v>
      </c>
      <c r="P26" s="2">
        <f t="shared" si="2"/>
        <v>5</v>
      </c>
      <c r="Q26" s="3">
        <f t="shared" si="3"/>
        <v>10</v>
      </c>
      <c r="R26" s="1">
        <v>31</v>
      </c>
      <c r="U26" s="1">
        <v>15.5</v>
      </c>
      <c r="V26" s="3">
        <v>14</v>
      </c>
      <c r="W26" s="2">
        <f t="shared" si="4"/>
        <v>4</v>
      </c>
      <c r="X26" s="3">
        <f t="shared" si="5"/>
        <v>4</v>
      </c>
      <c r="Y26" s="1">
        <v>26.5</v>
      </c>
      <c r="AB26" s="1">
        <v>16.5</v>
      </c>
      <c r="AC26" s="3">
        <v>12</v>
      </c>
      <c r="AD26" s="2">
        <f t="shared" si="6"/>
        <v>4</v>
      </c>
      <c r="AE26" s="3">
        <f t="shared" si="7"/>
        <v>6</v>
      </c>
      <c r="AF26" s="1">
        <v>23</v>
      </c>
      <c r="AI26" s="1">
        <v>19</v>
      </c>
      <c r="AJ26" s="3">
        <v>8</v>
      </c>
      <c r="AK26" s="2">
        <f t="shared" si="8"/>
        <v>3.5</v>
      </c>
      <c r="AL26" s="3">
        <f t="shared" si="9"/>
        <v>5</v>
      </c>
      <c r="AM26" s="1">
        <v>18</v>
      </c>
      <c r="AN26" s="1">
        <f t="shared" si="10"/>
        <v>26.5</v>
      </c>
      <c r="AP26" s="1">
        <v>6</v>
      </c>
      <c r="AQ26" s="2">
        <v>10.5</v>
      </c>
      <c r="AR26" s="1">
        <v>13</v>
      </c>
      <c r="AS26" s="2">
        <v>5</v>
      </c>
      <c r="AU26" s="2">
        <v>14</v>
      </c>
      <c r="AV26" s="1">
        <v>20.5</v>
      </c>
      <c r="AX26" s="2">
        <v>6.5</v>
      </c>
      <c r="AY26" s="2">
        <v>8</v>
      </c>
      <c r="AZ26" s="2">
        <v>8</v>
      </c>
      <c r="BA26" s="2">
        <v>9</v>
      </c>
      <c r="BC26" t="s">
        <v>234</v>
      </c>
      <c r="BD26" t="s">
        <v>235</v>
      </c>
      <c r="BE26" t="s">
        <v>236</v>
      </c>
      <c r="BG26" t="s">
        <v>238</v>
      </c>
      <c r="BH26" t="s">
        <v>241</v>
      </c>
      <c r="BJ26" s="2" t="s">
        <v>214</v>
      </c>
      <c r="BK26" s="2" t="s">
        <v>381</v>
      </c>
      <c r="BL26" s="1" t="s">
        <v>221</v>
      </c>
      <c r="BM26" s="1">
        <v>4.5</v>
      </c>
      <c r="BN26" s="1">
        <v>9.5</v>
      </c>
      <c r="BO26" s="1">
        <v>4</v>
      </c>
      <c r="BP26" s="1">
        <v>6.5</v>
      </c>
      <c r="BQ26" s="1">
        <v>4.5</v>
      </c>
      <c r="BR26" s="2" t="s">
        <v>223</v>
      </c>
      <c r="BS26" s="2">
        <v>4</v>
      </c>
      <c r="BT26" s="2">
        <v>10</v>
      </c>
      <c r="BU26" s="2">
        <v>4</v>
      </c>
      <c r="BV26" s="2">
        <v>5.5</v>
      </c>
      <c r="BW26" s="2">
        <v>5</v>
      </c>
      <c r="BX26" s="3" t="s">
        <v>382</v>
      </c>
      <c r="BY26" s="1" t="s">
        <v>230</v>
      </c>
    </row>
    <row r="27" spans="1:77" x14ac:dyDescent="0.25">
      <c r="A27">
        <v>26</v>
      </c>
      <c r="B27" t="s">
        <v>11</v>
      </c>
      <c r="C27">
        <v>16484</v>
      </c>
      <c r="D27" t="s">
        <v>144</v>
      </c>
      <c r="E27" s="1" t="s">
        <v>13</v>
      </c>
      <c r="G27" s="1">
        <v>20</v>
      </c>
      <c r="H27" s="2">
        <v>16</v>
      </c>
      <c r="I27" s="2">
        <f t="shared" si="0"/>
        <v>4.5</v>
      </c>
      <c r="J27" s="3">
        <f t="shared" si="1"/>
        <v>6</v>
      </c>
      <c r="K27" s="1">
        <v>27</v>
      </c>
      <c r="N27" s="1">
        <v>19.5</v>
      </c>
      <c r="O27" s="3">
        <v>13.5</v>
      </c>
      <c r="P27" s="2">
        <f t="shared" si="2"/>
        <v>4.5</v>
      </c>
      <c r="Q27" s="3">
        <f t="shared" si="3"/>
        <v>8.5</v>
      </c>
      <c r="R27" s="1">
        <v>36</v>
      </c>
      <c r="U27" s="1">
        <v>26.5</v>
      </c>
      <c r="V27" s="3">
        <v>15.5</v>
      </c>
      <c r="W27" s="2">
        <f t="shared" si="4"/>
        <v>5.5</v>
      </c>
      <c r="X27" s="3">
        <f t="shared" si="5"/>
        <v>4</v>
      </c>
      <c r="Y27" s="1">
        <v>39.5</v>
      </c>
      <c r="AB27" s="1">
        <v>10</v>
      </c>
      <c r="AC27" s="3">
        <v>15.5</v>
      </c>
      <c r="AD27" s="2">
        <f t="shared" si="6"/>
        <v>3.5</v>
      </c>
      <c r="AE27" s="3">
        <f t="shared" si="7"/>
        <v>5</v>
      </c>
      <c r="AF27" s="1">
        <v>36.5</v>
      </c>
      <c r="AI27" s="1">
        <v>21.5</v>
      </c>
      <c r="AJ27" s="3">
        <v>13.5</v>
      </c>
      <c r="AK27" s="2">
        <f t="shared" si="8"/>
        <v>4.5</v>
      </c>
      <c r="AL27" s="3">
        <f t="shared" si="9"/>
        <v>4</v>
      </c>
      <c r="AM27" s="1">
        <v>20.5</v>
      </c>
      <c r="AN27" s="1">
        <f t="shared" si="10"/>
        <v>29</v>
      </c>
      <c r="AP27" s="1">
        <v>18</v>
      </c>
      <c r="AQ27" s="2">
        <v>12</v>
      </c>
      <c r="AR27" s="1">
        <v>21</v>
      </c>
      <c r="AS27" s="2">
        <v>5</v>
      </c>
      <c r="AU27" s="2">
        <v>10</v>
      </c>
      <c r="AV27" s="1">
        <v>21</v>
      </c>
      <c r="AX27" s="2">
        <v>7.5</v>
      </c>
      <c r="AY27" s="2">
        <v>9</v>
      </c>
      <c r="AZ27" s="2">
        <v>8</v>
      </c>
      <c r="BA27" s="2">
        <v>2</v>
      </c>
      <c r="BC27" t="s">
        <v>234</v>
      </c>
      <c r="BD27" t="s">
        <v>235</v>
      </c>
      <c r="BE27" t="s">
        <v>236</v>
      </c>
      <c r="BG27" t="s">
        <v>238</v>
      </c>
      <c r="BH27" t="s">
        <v>247</v>
      </c>
      <c r="BJ27" s="2" t="s">
        <v>214</v>
      </c>
      <c r="BK27" s="2" t="s">
        <v>381</v>
      </c>
      <c r="BL27" s="1" t="s">
        <v>221</v>
      </c>
      <c r="BM27" s="1">
        <v>7.5</v>
      </c>
      <c r="BN27" s="1">
        <v>8</v>
      </c>
      <c r="BO27" s="1">
        <v>2</v>
      </c>
      <c r="BP27" s="1">
        <v>4.5</v>
      </c>
      <c r="BQ27" s="1">
        <v>3.5</v>
      </c>
      <c r="BR27" s="2" t="s">
        <v>223</v>
      </c>
      <c r="BS27" s="2">
        <v>4</v>
      </c>
      <c r="BT27" s="2">
        <v>9</v>
      </c>
      <c r="BU27" s="2">
        <v>6</v>
      </c>
      <c r="BV27" s="2">
        <v>5</v>
      </c>
      <c r="BW27" s="2">
        <v>4</v>
      </c>
      <c r="BX27" s="3" t="s">
        <v>382</v>
      </c>
      <c r="BY27" s="1" t="s">
        <v>230</v>
      </c>
    </row>
    <row r="28" spans="1:77" x14ac:dyDescent="0.25">
      <c r="A28">
        <v>27</v>
      </c>
      <c r="B28" t="s">
        <v>11</v>
      </c>
      <c r="C28">
        <v>16483</v>
      </c>
      <c r="D28" t="s">
        <v>149</v>
      </c>
      <c r="E28" s="1" t="s">
        <v>13</v>
      </c>
      <c r="G28" s="1">
        <v>11.5</v>
      </c>
      <c r="H28" s="2">
        <v>13.5</v>
      </c>
      <c r="I28" s="2">
        <f t="shared" si="0"/>
        <v>3.5</v>
      </c>
      <c r="J28" s="3">
        <f t="shared" si="1"/>
        <v>4</v>
      </c>
      <c r="K28" s="1">
        <v>22.5</v>
      </c>
      <c r="N28" s="1">
        <v>16</v>
      </c>
      <c r="O28" s="3">
        <v>22.5</v>
      </c>
      <c r="P28" s="2">
        <f t="shared" si="2"/>
        <v>5</v>
      </c>
      <c r="Q28" s="3">
        <f t="shared" si="3"/>
        <v>9</v>
      </c>
      <c r="R28" s="1">
        <v>36</v>
      </c>
      <c r="U28" s="1">
        <v>13.5</v>
      </c>
      <c r="V28" s="3">
        <v>18</v>
      </c>
      <c r="W28" s="2">
        <f t="shared" si="4"/>
        <v>4</v>
      </c>
      <c r="X28" s="3">
        <f t="shared" si="5"/>
        <v>4.5</v>
      </c>
      <c r="Y28" s="1">
        <v>34</v>
      </c>
      <c r="AB28" s="1">
        <v>13</v>
      </c>
      <c r="AC28" s="3">
        <v>14</v>
      </c>
      <c r="AD28" s="2">
        <f t="shared" si="6"/>
        <v>3.5</v>
      </c>
      <c r="AE28" s="3">
        <f t="shared" si="7"/>
        <v>6.5</v>
      </c>
      <c r="AF28" s="1">
        <v>37.5</v>
      </c>
      <c r="AI28" s="1">
        <v>8</v>
      </c>
      <c r="AJ28" s="3">
        <v>13.5</v>
      </c>
      <c r="AK28" s="2">
        <f t="shared" si="8"/>
        <v>3</v>
      </c>
      <c r="AL28" s="3">
        <f t="shared" si="9"/>
        <v>5</v>
      </c>
      <c r="AM28" s="1">
        <v>13.5</v>
      </c>
      <c r="AN28" s="1">
        <f t="shared" si="10"/>
        <v>21.5</v>
      </c>
      <c r="AP28" s="1">
        <v>16</v>
      </c>
      <c r="AQ28" s="2">
        <v>13</v>
      </c>
      <c r="AR28" s="1">
        <v>19</v>
      </c>
      <c r="AS28" s="2">
        <v>6</v>
      </c>
      <c r="AU28" s="2">
        <v>13.5</v>
      </c>
      <c r="AV28" s="1">
        <v>20</v>
      </c>
      <c r="AX28" s="2">
        <v>6.5</v>
      </c>
      <c r="AY28" s="2">
        <v>9</v>
      </c>
      <c r="AZ28" s="2">
        <v>8</v>
      </c>
      <c r="BA28" s="2">
        <v>3</v>
      </c>
      <c r="BC28" t="s">
        <v>234</v>
      </c>
      <c r="BD28" t="s">
        <v>235</v>
      </c>
      <c r="BE28" t="s">
        <v>236</v>
      </c>
      <c r="BG28" t="s">
        <v>238</v>
      </c>
      <c r="BH28" t="s">
        <v>255</v>
      </c>
      <c r="BJ28" s="2" t="s">
        <v>214</v>
      </c>
      <c r="BK28" s="2" t="s">
        <v>381</v>
      </c>
      <c r="BL28" s="1" t="s">
        <v>221</v>
      </c>
      <c r="BM28" s="1">
        <v>6</v>
      </c>
      <c r="BN28" s="1">
        <v>8.5</v>
      </c>
      <c r="BO28" s="1">
        <v>4</v>
      </c>
      <c r="BP28" s="1">
        <v>6.5</v>
      </c>
      <c r="BQ28" s="1">
        <v>6</v>
      </c>
      <c r="BR28" s="2" t="s">
        <v>223</v>
      </c>
      <c r="BS28" s="2">
        <v>1.5</v>
      </c>
      <c r="BT28" s="2">
        <v>9</v>
      </c>
      <c r="BU28" s="2">
        <v>5</v>
      </c>
      <c r="BV28" s="2">
        <v>6.5</v>
      </c>
      <c r="BW28" s="2">
        <v>4</v>
      </c>
      <c r="BX28" s="3" t="s">
        <v>382</v>
      </c>
      <c r="BY28" s="1" t="s">
        <v>230</v>
      </c>
    </row>
    <row r="29" spans="1:77" x14ac:dyDescent="0.25">
      <c r="A29">
        <v>28</v>
      </c>
      <c r="B29" t="s">
        <v>11</v>
      </c>
      <c r="C29">
        <v>17639</v>
      </c>
      <c r="D29" t="s">
        <v>154</v>
      </c>
      <c r="E29" s="1" t="s">
        <v>13</v>
      </c>
      <c r="G29" s="1">
        <v>24.5</v>
      </c>
      <c r="H29" s="2">
        <v>19</v>
      </c>
      <c r="I29" s="2">
        <f t="shared" si="0"/>
        <v>5.5</v>
      </c>
      <c r="J29" s="3">
        <f t="shared" si="1"/>
        <v>7</v>
      </c>
      <c r="K29" s="1">
        <v>32.5</v>
      </c>
      <c r="N29" s="1">
        <v>28</v>
      </c>
      <c r="O29" s="3" t="s">
        <v>20</v>
      </c>
      <c r="P29" s="2">
        <f t="shared" si="2"/>
        <v>3.5</v>
      </c>
      <c r="Q29" s="3">
        <f t="shared" si="3"/>
        <v>9.5</v>
      </c>
      <c r="R29" s="1">
        <v>52</v>
      </c>
      <c r="U29" s="1">
        <v>32.5</v>
      </c>
      <c r="V29" s="3">
        <v>24</v>
      </c>
      <c r="W29" s="2">
        <f t="shared" si="4"/>
        <v>7.5</v>
      </c>
      <c r="X29" s="3">
        <f t="shared" si="5"/>
        <v>6</v>
      </c>
      <c r="Y29" s="1">
        <v>50</v>
      </c>
      <c r="AB29" s="1">
        <v>24</v>
      </c>
      <c r="AC29" s="3">
        <v>30</v>
      </c>
      <c r="AD29" s="2">
        <f t="shared" si="6"/>
        <v>7</v>
      </c>
      <c r="AE29" s="3">
        <f t="shared" si="7"/>
        <v>9</v>
      </c>
      <c r="AF29" s="1">
        <v>48.5</v>
      </c>
      <c r="AI29" s="1">
        <v>29</v>
      </c>
      <c r="AJ29" s="3">
        <v>21</v>
      </c>
      <c r="AK29" s="2">
        <f t="shared" si="8"/>
        <v>6.5</v>
      </c>
      <c r="AL29" s="3">
        <f t="shared" si="9"/>
        <v>6.5</v>
      </c>
      <c r="AM29" s="1" t="s">
        <v>21</v>
      </c>
      <c r="AN29" s="1" t="e">
        <f t="shared" si="10"/>
        <v>#VALUE!</v>
      </c>
      <c r="AP29" s="1">
        <v>23</v>
      </c>
      <c r="AQ29" s="2">
        <v>16</v>
      </c>
      <c r="AR29" s="1">
        <v>25.5</v>
      </c>
      <c r="AS29" s="2">
        <v>7</v>
      </c>
      <c r="AU29" s="2">
        <v>18.5</v>
      </c>
      <c r="AV29" s="1">
        <v>24</v>
      </c>
      <c r="AX29" s="2">
        <v>9.5</v>
      </c>
      <c r="AY29" s="2">
        <v>10</v>
      </c>
      <c r="AZ29" s="2">
        <v>9</v>
      </c>
      <c r="BA29" s="2">
        <v>13.5</v>
      </c>
      <c r="BC29" t="s">
        <v>234</v>
      </c>
      <c r="BD29" t="s">
        <v>235</v>
      </c>
      <c r="BE29" t="s">
        <v>236</v>
      </c>
      <c r="BG29" t="s">
        <v>238</v>
      </c>
      <c r="BH29" t="s">
        <v>241</v>
      </c>
      <c r="BJ29" s="2" t="s">
        <v>214</v>
      </c>
      <c r="BK29" s="2" t="s">
        <v>381</v>
      </c>
      <c r="BL29" s="1" t="s">
        <v>221</v>
      </c>
      <c r="BM29" s="1">
        <v>8</v>
      </c>
      <c r="BN29" s="1">
        <v>9.5</v>
      </c>
      <c r="BO29" s="1">
        <v>6</v>
      </c>
      <c r="BP29" s="1">
        <v>9.5</v>
      </c>
      <c r="BQ29" s="1">
        <v>5</v>
      </c>
      <c r="BR29" s="2" t="s">
        <v>223</v>
      </c>
      <c r="BS29" s="2">
        <v>6</v>
      </c>
      <c r="BT29" s="2">
        <v>9</v>
      </c>
      <c r="BU29" s="2">
        <v>6</v>
      </c>
      <c r="BV29" s="2">
        <v>8</v>
      </c>
      <c r="BW29" s="2">
        <v>8</v>
      </c>
      <c r="BX29" s="3" t="s">
        <v>382</v>
      </c>
      <c r="BY29" s="1" t="s">
        <v>230</v>
      </c>
    </row>
    <row r="30" spans="1:77" x14ac:dyDescent="0.25">
      <c r="A30">
        <v>29</v>
      </c>
      <c r="B30" t="s">
        <v>11</v>
      </c>
      <c r="C30">
        <v>17944</v>
      </c>
      <c r="D30" t="s">
        <v>159</v>
      </c>
      <c r="E30" s="1" t="s">
        <v>13</v>
      </c>
      <c r="G30" s="1">
        <v>1</v>
      </c>
      <c r="H30" s="2">
        <v>0.5</v>
      </c>
      <c r="I30" s="2">
        <f t="shared" si="0"/>
        <v>0.5</v>
      </c>
      <c r="J30" s="3">
        <f t="shared" si="1"/>
        <v>3</v>
      </c>
      <c r="K30" s="1">
        <v>2.5</v>
      </c>
      <c r="N30" s="1">
        <v>2</v>
      </c>
      <c r="O30" s="3">
        <v>1</v>
      </c>
      <c r="P30" s="2">
        <f t="shared" si="2"/>
        <v>0.5</v>
      </c>
      <c r="Q30" s="3">
        <f t="shared" si="3"/>
        <v>4</v>
      </c>
      <c r="R30" s="1">
        <v>1</v>
      </c>
      <c r="U30" s="1">
        <v>0.5</v>
      </c>
      <c r="V30" s="3">
        <v>2.5</v>
      </c>
      <c r="W30" s="2">
        <f t="shared" si="4"/>
        <v>0.5</v>
      </c>
      <c r="X30" s="3">
        <f t="shared" si="5"/>
        <v>0.5</v>
      </c>
      <c r="Y30" s="1">
        <v>4</v>
      </c>
      <c r="AB30" s="1">
        <v>1</v>
      </c>
      <c r="AC30" s="3">
        <v>2</v>
      </c>
      <c r="AD30" s="2">
        <f t="shared" si="6"/>
        <v>0.5</v>
      </c>
      <c r="AE30" s="3">
        <f t="shared" si="7"/>
        <v>1</v>
      </c>
      <c r="AF30" s="1">
        <v>3</v>
      </c>
      <c r="AI30" s="1">
        <v>1</v>
      </c>
      <c r="AJ30" s="3">
        <v>5</v>
      </c>
      <c r="AK30" s="2">
        <f t="shared" si="8"/>
        <v>1</v>
      </c>
      <c r="AL30" s="3">
        <f t="shared" si="9"/>
        <v>0.5</v>
      </c>
      <c r="AM30" s="1">
        <v>4.5</v>
      </c>
      <c r="AN30" s="1">
        <f t="shared" si="10"/>
        <v>6</v>
      </c>
      <c r="AP30" s="1">
        <v>3</v>
      </c>
      <c r="AQ30" s="2">
        <v>1</v>
      </c>
      <c r="AR30" s="1">
        <v>1</v>
      </c>
      <c r="AS30" s="2">
        <v>5</v>
      </c>
      <c r="AU30" s="2">
        <v>9</v>
      </c>
      <c r="AV30" s="1">
        <v>16</v>
      </c>
      <c r="AX30" s="2">
        <v>7</v>
      </c>
      <c r="AY30" s="2">
        <v>8</v>
      </c>
      <c r="AZ30" s="2">
        <v>8</v>
      </c>
      <c r="BA30" s="2">
        <v>2</v>
      </c>
      <c r="BC30" t="s">
        <v>234</v>
      </c>
      <c r="BD30" t="s">
        <v>235</v>
      </c>
      <c r="BE30" t="s">
        <v>236</v>
      </c>
      <c r="BG30" t="s">
        <v>238</v>
      </c>
      <c r="BH30" t="s">
        <v>246</v>
      </c>
      <c r="BJ30" s="2" t="s">
        <v>214</v>
      </c>
      <c r="BK30" s="2" t="s">
        <v>381</v>
      </c>
      <c r="BL30" s="1" t="s">
        <v>221</v>
      </c>
      <c r="BM30" s="1">
        <v>6</v>
      </c>
      <c r="BN30" s="1">
        <v>8</v>
      </c>
      <c r="BO30" s="1">
        <v>0.5</v>
      </c>
      <c r="BP30" s="1">
        <v>2</v>
      </c>
      <c r="BQ30" s="1">
        <v>1</v>
      </c>
      <c r="BR30" s="2" t="s">
        <v>223</v>
      </c>
      <c r="BS30" s="2" t="s">
        <v>21</v>
      </c>
      <c r="BT30" s="2" t="s">
        <v>20</v>
      </c>
      <c r="BU30" s="2" t="s">
        <v>20</v>
      </c>
      <c r="BV30" s="2" t="s">
        <v>20</v>
      </c>
      <c r="BW30" s="2" t="s">
        <v>21</v>
      </c>
      <c r="BX30" s="3" t="s">
        <v>382</v>
      </c>
      <c r="BY30" s="1" t="s">
        <v>230</v>
      </c>
    </row>
    <row r="31" spans="1:77" x14ac:dyDescent="0.25">
      <c r="A31">
        <v>30</v>
      </c>
      <c r="B31" t="s">
        <v>11</v>
      </c>
      <c r="C31">
        <v>16552</v>
      </c>
      <c r="D31" t="s">
        <v>164</v>
      </c>
      <c r="E31" s="1" t="s">
        <v>13</v>
      </c>
      <c r="G31" s="1">
        <v>13.5</v>
      </c>
      <c r="H31" s="2">
        <v>13.5</v>
      </c>
      <c r="I31" s="2">
        <f t="shared" si="0"/>
        <v>3.5</v>
      </c>
      <c r="J31" s="3">
        <f t="shared" si="1"/>
        <v>3.5</v>
      </c>
      <c r="K31" s="1">
        <v>20</v>
      </c>
      <c r="N31" s="1">
        <v>14.5</v>
      </c>
      <c r="O31" s="3">
        <v>13.5</v>
      </c>
      <c r="P31" s="2">
        <f t="shared" si="2"/>
        <v>3.5</v>
      </c>
      <c r="Q31" s="3">
        <f t="shared" si="3"/>
        <v>7</v>
      </c>
      <c r="R31" s="1">
        <v>27</v>
      </c>
      <c r="U31" s="1">
        <v>11.5</v>
      </c>
      <c r="V31" s="3">
        <v>17.5</v>
      </c>
      <c r="W31" s="2">
        <f t="shared" si="4"/>
        <v>4</v>
      </c>
      <c r="X31" s="3">
        <f t="shared" si="5"/>
        <v>3.5</v>
      </c>
      <c r="Y31" s="1">
        <v>26.5</v>
      </c>
      <c r="AB31" s="1">
        <v>14.5</v>
      </c>
      <c r="AC31" s="3">
        <v>8.5</v>
      </c>
      <c r="AD31" s="2">
        <f t="shared" si="6"/>
        <v>3</v>
      </c>
      <c r="AE31" s="3">
        <f t="shared" si="7"/>
        <v>5</v>
      </c>
      <c r="AF31" s="1">
        <v>24</v>
      </c>
      <c r="AI31" s="1" t="s">
        <v>20</v>
      </c>
      <c r="AJ31" s="3">
        <v>1</v>
      </c>
      <c r="AK31" s="2">
        <f t="shared" si="8"/>
        <v>0.5</v>
      </c>
      <c r="AL31" s="3">
        <f t="shared" si="9"/>
        <v>2</v>
      </c>
      <c r="AM31" s="1">
        <v>18</v>
      </c>
      <c r="AN31" s="1">
        <f t="shared" si="10"/>
        <v>20.5</v>
      </c>
      <c r="AP31" s="1">
        <v>5</v>
      </c>
      <c r="AQ31" s="2">
        <v>3</v>
      </c>
      <c r="AR31" s="1">
        <v>11</v>
      </c>
      <c r="AS31" s="2">
        <v>6</v>
      </c>
      <c r="AU31" s="2">
        <v>9</v>
      </c>
      <c r="AV31" s="1">
        <v>21</v>
      </c>
      <c r="AX31" s="2">
        <v>7</v>
      </c>
      <c r="AY31" s="2">
        <v>4</v>
      </c>
      <c r="AZ31" s="2">
        <v>8</v>
      </c>
      <c r="BA31" s="2">
        <v>4</v>
      </c>
      <c r="BC31" t="s">
        <v>234</v>
      </c>
      <c r="BD31" t="s">
        <v>235</v>
      </c>
      <c r="BE31" t="s">
        <v>236</v>
      </c>
      <c r="BG31" t="s">
        <v>238</v>
      </c>
      <c r="BH31" t="s">
        <v>244</v>
      </c>
      <c r="BJ31" s="2" t="s">
        <v>214</v>
      </c>
      <c r="BK31" s="2" t="s">
        <v>381</v>
      </c>
      <c r="BL31" s="1" t="s">
        <v>221</v>
      </c>
      <c r="BM31" s="1">
        <v>3.5</v>
      </c>
      <c r="BN31" s="1">
        <v>8</v>
      </c>
      <c r="BO31" s="1">
        <v>3.5</v>
      </c>
      <c r="BP31" s="1">
        <v>3</v>
      </c>
      <c r="BQ31" s="1">
        <v>1</v>
      </c>
      <c r="BR31" s="2" t="s">
        <v>223</v>
      </c>
      <c r="BS31" s="2">
        <v>3</v>
      </c>
      <c r="BT31" s="2">
        <v>6</v>
      </c>
      <c r="BU31" s="2">
        <v>3</v>
      </c>
      <c r="BV31" s="2">
        <v>7</v>
      </c>
      <c r="BW31" s="2">
        <v>2.5</v>
      </c>
      <c r="BX31" s="3" t="s">
        <v>382</v>
      </c>
      <c r="BY31" s="1" t="s">
        <v>230</v>
      </c>
    </row>
    <row r="32" spans="1:77" x14ac:dyDescent="0.25">
      <c r="A32">
        <v>31</v>
      </c>
      <c r="B32" t="s">
        <v>11</v>
      </c>
      <c r="C32">
        <v>17640</v>
      </c>
      <c r="D32" t="s">
        <v>169</v>
      </c>
      <c r="E32" s="1" t="s">
        <v>13</v>
      </c>
      <c r="G32" s="1">
        <v>16</v>
      </c>
      <c r="H32" s="2">
        <v>13.5</v>
      </c>
      <c r="I32" s="2">
        <f t="shared" si="0"/>
        <v>4</v>
      </c>
      <c r="J32" s="3">
        <f t="shared" si="1"/>
        <v>7</v>
      </c>
      <c r="K32" s="1">
        <v>24.5</v>
      </c>
      <c r="N32" s="1">
        <v>19.5</v>
      </c>
      <c r="O32" s="3" t="s">
        <v>20</v>
      </c>
      <c r="P32" s="2">
        <f t="shared" si="2"/>
        <v>2.5</v>
      </c>
      <c r="Q32" s="3">
        <f t="shared" si="3"/>
        <v>8.5</v>
      </c>
      <c r="R32" s="1">
        <v>39.5</v>
      </c>
      <c r="U32" s="1">
        <v>30</v>
      </c>
      <c r="V32" s="3">
        <v>21.5</v>
      </c>
      <c r="W32" s="2">
        <f t="shared" si="4"/>
        <v>6.5</v>
      </c>
      <c r="X32" s="3">
        <f t="shared" si="5"/>
        <v>3.5</v>
      </c>
      <c r="Y32" s="1">
        <v>33.5</v>
      </c>
      <c r="AB32" s="1">
        <v>20</v>
      </c>
      <c r="AC32" s="3">
        <v>25</v>
      </c>
      <c r="AD32" s="2">
        <f t="shared" si="6"/>
        <v>6</v>
      </c>
      <c r="AE32" s="3">
        <f t="shared" si="7"/>
        <v>7</v>
      </c>
      <c r="AF32" s="1">
        <v>43</v>
      </c>
      <c r="AI32" s="1">
        <v>30</v>
      </c>
      <c r="AJ32" s="3">
        <v>24</v>
      </c>
      <c r="AK32" s="2">
        <f t="shared" si="8"/>
        <v>7</v>
      </c>
      <c r="AL32" s="3">
        <f t="shared" si="9"/>
        <v>5</v>
      </c>
      <c r="AM32" s="1" t="s">
        <v>21</v>
      </c>
      <c r="AN32" s="1" t="e">
        <f t="shared" si="10"/>
        <v>#VALUE!</v>
      </c>
      <c r="AP32" s="1">
        <v>22</v>
      </c>
      <c r="AQ32" s="2">
        <v>18</v>
      </c>
      <c r="AR32" s="1">
        <v>26</v>
      </c>
      <c r="AS32" s="2">
        <v>6</v>
      </c>
      <c r="AU32" s="2">
        <v>15.5</v>
      </c>
      <c r="AV32" s="1">
        <v>28</v>
      </c>
      <c r="AX32" s="2">
        <v>9.5</v>
      </c>
      <c r="AY32" s="2">
        <v>10</v>
      </c>
      <c r="AZ32" s="2">
        <v>9</v>
      </c>
      <c r="BA32" s="2">
        <v>13</v>
      </c>
      <c r="BC32" t="s">
        <v>234</v>
      </c>
      <c r="BD32" t="s">
        <v>235</v>
      </c>
      <c r="BE32" t="s">
        <v>236</v>
      </c>
      <c r="BG32" t="s">
        <v>238</v>
      </c>
      <c r="BH32" t="s">
        <v>239</v>
      </c>
      <c r="BJ32" s="2" t="s">
        <v>214</v>
      </c>
      <c r="BK32" s="2" t="s">
        <v>381</v>
      </c>
      <c r="BL32" s="1" t="s">
        <v>221</v>
      </c>
      <c r="BM32" s="1">
        <v>6</v>
      </c>
      <c r="BN32" s="1">
        <v>9</v>
      </c>
      <c r="BO32" s="1">
        <v>2.5</v>
      </c>
      <c r="BP32" s="1">
        <v>7.5</v>
      </c>
      <c r="BQ32" s="1">
        <v>3.5</v>
      </c>
      <c r="BR32" s="2" t="s">
        <v>223</v>
      </c>
      <c r="BS32" s="2">
        <v>7.5</v>
      </c>
      <c r="BT32" s="2">
        <v>8</v>
      </c>
      <c r="BU32" s="2">
        <v>4</v>
      </c>
      <c r="BV32" s="2">
        <v>6.5</v>
      </c>
      <c r="BW32" s="2">
        <v>6.5</v>
      </c>
      <c r="BX32" s="3" t="s">
        <v>382</v>
      </c>
      <c r="BY32" s="1" t="s">
        <v>230</v>
      </c>
    </row>
    <row r="33" spans="1:77" x14ac:dyDescent="0.25">
      <c r="A33">
        <v>32</v>
      </c>
      <c r="B33" t="s">
        <v>11</v>
      </c>
      <c r="C33">
        <v>16515</v>
      </c>
      <c r="D33" t="s">
        <v>174</v>
      </c>
      <c r="E33" s="1" t="s">
        <v>13</v>
      </c>
      <c r="G33" s="1">
        <v>35</v>
      </c>
      <c r="H33" s="2">
        <v>34.5</v>
      </c>
      <c r="I33" s="2">
        <f t="shared" si="0"/>
        <v>9</v>
      </c>
      <c r="J33" s="3">
        <f t="shared" si="1"/>
        <v>8</v>
      </c>
      <c r="K33" s="1">
        <v>63.5</v>
      </c>
      <c r="N33" s="1">
        <v>39</v>
      </c>
      <c r="O33" s="3">
        <v>39</v>
      </c>
      <c r="P33" s="2">
        <f t="shared" si="2"/>
        <v>10</v>
      </c>
      <c r="Q33" s="3">
        <f t="shared" si="3"/>
        <v>10</v>
      </c>
      <c r="R33" s="1">
        <v>77</v>
      </c>
      <c r="U33" s="1">
        <v>38.5</v>
      </c>
      <c r="V33" s="3">
        <v>36</v>
      </c>
      <c r="W33" s="2">
        <f t="shared" si="4"/>
        <v>9.5</v>
      </c>
      <c r="X33" s="3">
        <f t="shared" si="5"/>
        <v>7.5</v>
      </c>
      <c r="Y33" s="1">
        <v>69.5</v>
      </c>
      <c r="AB33" s="1">
        <v>30.5</v>
      </c>
      <c r="AC33" s="3">
        <v>37</v>
      </c>
      <c r="AD33" s="2">
        <f t="shared" si="6"/>
        <v>8.5</v>
      </c>
      <c r="AE33" s="3">
        <f t="shared" si="7"/>
        <v>10</v>
      </c>
      <c r="AF33" s="1">
        <v>66</v>
      </c>
      <c r="AI33" s="1">
        <v>37</v>
      </c>
      <c r="AJ33" s="3">
        <v>38</v>
      </c>
      <c r="AK33" s="2">
        <f t="shared" si="8"/>
        <v>9.5</v>
      </c>
      <c r="AL33" s="3">
        <f t="shared" si="9"/>
        <v>9.5</v>
      </c>
      <c r="AM33" s="1">
        <v>60.5</v>
      </c>
      <c r="AN33" s="1">
        <f t="shared" si="10"/>
        <v>79.5</v>
      </c>
      <c r="AP33" s="1">
        <v>23</v>
      </c>
      <c r="AQ33" s="2">
        <v>23.5</v>
      </c>
      <c r="AR33" s="1">
        <v>28</v>
      </c>
      <c r="AS33" s="2">
        <v>9</v>
      </c>
      <c r="AU33" s="2">
        <v>20</v>
      </c>
      <c r="AV33" s="1">
        <v>36</v>
      </c>
      <c r="AX33" s="2">
        <v>10</v>
      </c>
      <c r="AY33" s="2">
        <v>10</v>
      </c>
      <c r="AZ33" s="2">
        <v>8</v>
      </c>
      <c r="BA33" s="2">
        <v>20</v>
      </c>
      <c r="BC33" t="s">
        <v>234</v>
      </c>
      <c r="BD33" t="s">
        <v>235</v>
      </c>
      <c r="BE33" t="s">
        <v>236</v>
      </c>
      <c r="BF33" t="s">
        <v>256</v>
      </c>
      <c r="BG33" t="s">
        <v>257</v>
      </c>
      <c r="BH33" t="s">
        <v>242</v>
      </c>
      <c r="BJ33" s="2" t="s">
        <v>214</v>
      </c>
      <c r="BK33" s="2" t="s">
        <v>381</v>
      </c>
      <c r="BL33" s="1" t="s">
        <v>221</v>
      </c>
      <c r="BM33" s="1">
        <v>7</v>
      </c>
      <c r="BN33" s="1">
        <v>10</v>
      </c>
      <c r="BO33" s="1">
        <v>7</v>
      </c>
      <c r="BP33" s="1">
        <v>10</v>
      </c>
      <c r="BQ33" s="1">
        <v>9</v>
      </c>
      <c r="BR33" s="2" t="s">
        <v>223</v>
      </c>
      <c r="BS33" s="2">
        <v>9</v>
      </c>
      <c r="BT33" s="2">
        <v>10</v>
      </c>
      <c r="BU33" s="2">
        <v>7.5</v>
      </c>
      <c r="BV33" s="2">
        <v>9.5</v>
      </c>
      <c r="BW33" s="2">
        <v>10</v>
      </c>
      <c r="BX33" s="3" t="s">
        <v>382</v>
      </c>
      <c r="BY33" s="1" t="s">
        <v>230</v>
      </c>
    </row>
    <row r="34" spans="1:77" x14ac:dyDescent="0.25">
      <c r="A34">
        <v>33</v>
      </c>
      <c r="B34" t="s">
        <v>11</v>
      </c>
      <c r="C34">
        <v>17282</v>
      </c>
      <c r="D34" t="s">
        <v>179</v>
      </c>
      <c r="E34" s="1" t="s">
        <v>13</v>
      </c>
      <c r="G34" s="1">
        <v>16</v>
      </c>
      <c r="H34" s="2">
        <v>18</v>
      </c>
      <c r="I34" s="2">
        <f t="shared" ref="I34:I65" si="11">CEILING((N(G34)+N(H34))/80*10,0.5)</f>
        <v>4.5</v>
      </c>
      <c r="J34" s="3">
        <f t="shared" ref="J34:J65" si="12">CEILING((N(BM34)+N(BS34))/2,0.5)</f>
        <v>4.5</v>
      </c>
      <c r="K34" s="1">
        <v>34.5</v>
      </c>
      <c r="N34" s="1">
        <v>27</v>
      </c>
      <c r="O34" s="3">
        <v>25</v>
      </c>
      <c r="P34" s="2">
        <f t="shared" ref="P34:P65" si="13">CEILING((N(N34)+N(O34))/80*10,0.5)</f>
        <v>6.5</v>
      </c>
      <c r="Q34" s="3">
        <f t="shared" ref="Q34:Q65" si="14">CEILING((N(BN34)+N(BT34))/2,0.5)</f>
        <v>9</v>
      </c>
      <c r="R34" s="1">
        <v>59</v>
      </c>
      <c r="U34" s="1">
        <v>24.5</v>
      </c>
      <c r="V34" s="3">
        <v>15</v>
      </c>
      <c r="W34" s="2">
        <f t="shared" ref="W34:W65" si="15">CEILING((N(U34)+N(V34))/80*10,0.5)</f>
        <v>5</v>
      </c>
      <c r="X34" s="3">
        <f t="shared" ref="X34:X65" si="16">CEILING((N(BO34)+N(BU34))/2,0.5)</f>
        <v>1.5</v>
      </c>
      <c r="Y34" s="1">
        <v>27</v>
      </c>
      <c r="AB34" s="1">
        <v>25.5</v>
      </c>
      <c r="AC34" s="3">
        <v>18.5</v>
      </c>
      <c r="AD34" s="2">
        <f t="shared" ref="AD34:AD65" si="17">CEILING((N(AB34)+N(AC34))/80*10,0.5)</f>
        <v>5.5</v>
      </c>
      <c r="AE34" s="3">
        <f t="shared" ref="AE34:AE65" si="18">CEILING((N(BP34)+N(BV34))/2,0.5)</f>
        <v>7</v>
      </c>
      <c r="AF34" s="1">
        <v>45.5</v>
      </c>
      <c r="AI34" s="1">
        <v>20.5</v>
      </c>
      <c r="AJ34" s="3">
        <v>15.5</v>
      </c>
      <c r="AK34" s="2">
        <f t="shared" ref="AK34:AK65" si="19">CEILING((N(AI34)+N(AJ34))/80*10,0.5)</f>
        <v>4.5</v>
      </c>
      <c r="AL34" s="3">
        <f t="shared" ref="AL34:AL65" si="20">CEILING((N(BQ34)+N(BW34))/2,0.5)</f>
        <v>3.5</v>
      </c>
      <c r="AM34" s="1">
        <v>28.5</v>
      </c>
      <c r="AN34" s="1">
        <f t="shared" si="10"/>
        <v>36.5</v>
      </c>
      <c r="AP34" s="1">
        <v>16</v>
      </c>
      <c r="AQ34" s="2">
        <v>8</v>
      </c>
      <c r="AR34" s="1">
        <v>17.5</v>
      </c>
      <c r="AS34" s="2">
        <v>7</v>
      </c>
      <c r="AU34" s="2">
        <v>15</v>
      </c>
      <c r="AV34" s="1">
        <v>29.5</v>
      </c>
      <c r="AX34" s="2">
        <v>9</v>
      </c>
      <c r="AY34" s="2">
        <v>10</v>
      </c>
      <c r="AZ34" s="2">
        <v>8</v>
      </c>
      <c r="BA34" s="2">
        <v>11</v>
      </c>
      <c r="BC34" t="s">
        <v>234</v>
      </c>
      <c r="BD34" t="s">
        <v>235</v>
      </c>
      <c r="BE34" t="s">
        <v>236</v>
      </c>
      <c r="BF34" t="s">
        <v>258</v>
      </c>
      <c r="BH34" t="s">
        <v>241</v>
      </c>
      <c r="BJ34" s="2" t="s">
        <v>214</v>
      </c>
      <c r="BK34" s="2" t="s">
        <v>381</v>
      </c>
      <c r="BL34" s="1" t="s">
        <v>221</v>
      </c>
      <c r="BM34" s="1">
        <v>3.5</v>
      </c>
      <c r="BN34" s="1">
        <v>9</v>
      </c>
      <c r="BO34" s="1">
        <v>3</v>
      </c>
      <c r="BP34" s="1">
        <v>7.5</v>
      </c>
      <c r="BQ34" s="1">
        <v>7</v>
      </c>
      <c r="BR34" s="2" t="s">
        <v>223</v>
      </c>
      <c r="BS34" s="2">
        <v>5</v>
      </c>
      <c r="BT34" s="2">
        <v>9</v>
      </c>
      <c r="BU34" s="2" t="s">
        <v>20</v>
      </c>
      <c r="BV34" s="2">
        <v>6</v>
      </c>
      <c r="BW34" s="2" t="s">
        <v>21</v>
      </c>
      <c r="BX34" s="3" t="s">
        <v>382</v>
      </c>
      <c r="BY34" s="1" t="s">
        <v>230</v>
      </c>
    </row>
    <row r="35" spans="1:77" x14ac:dyDescent="0.25">
      <c r="A35">
        <v>34</v>
      </c>
      <c r="B35" t="s">
        <v>11</v>
      </c>
      <c r="C35">
        <v>16730</v>
      </c>
      <c r="D35" t="s">
        <v>184</v>
      </c>
      <c r="E35" s="1" t="s">
        <v>13</v>
      </c>
      <c r="G35" s="1">
        <v>18</v>
      </c>
      <c r="H35" s="2">
        <v>18</v>
      </c>
      <c r="I35" s="2">
        <f t="shared" si="11"/>
        <v>4.5</v>
      </c>
      <c r="J35" s="3">
        <f t="shared" si="12"/>
        <v>5</v>
      </c>
      <c r="K35" s="1">
        <v>33</v>
      </c>
      <c r="N35" s="1">
        <v>24.5</v>
      </c>
      <c r="O35" s="3">
        <v>25.5</v>
      </c>
      <c r="P35" s="2">
        <f t="shared" si="13"/>
        <v>6.5</v>
      </c>
      <c r="Q35" s="3">
        <f t="shared" si="14"/>
        <v>10</v>
      </c>
      <c r="R35" s="1">
        <v>43.5</v>
      </c>
      <c r="U35" s="1">
        <v>24</v>
      </c>
      <c r="V35" s="3">
        <v>15.5</v>
      </c>
      <c r="W35" s="2">
        <f t="shared" si="15"/>
        <v>5</v>
      </c>
      <c r="X35" s="3">
        <f t="shared" si="16"/>
        <v>4</v>
      </c>
      <c r="Y35" s="1">
        <v>23.5</v>
      </c>
      <c r="AB35" s="1">
        <v>30.5</v>
      </c>
      <c r="AC35" s="3">
        <v>26.5</v>
      </c>
      <c r="AD35" s="2">
        <f t="shared" si="17"/>
        <v>7.5</v>
      </c>
      <c r="AE35" s="3">
        <f t="shared" si="18"/>
        <v>8</v>
      </c>
      <c r="AF35" s="1">
        <v>46.5</v>
      </c>
      <c r="AI35" s="1">
        <v>30</v>
      </c>
      <c r="AJ35" s="3">
        <v>18</v>
      </c>
      <c r="AK35" s="2">
        <f t="shared" si="19"/>
        <v>6</v>
      </c>
      <c r="AL35" s="3">
        <f t="shared" si="20"/>
        <v>7.5</v>
      </c>
      <c r="AM35" s="1">
        <v>35</v>
      </c>
      <c r="AN35" s="1">
        <f t="shared" si="10"/>
        <v>48.5</v>
      </c>
      <c r="AP35" s="1">
        <v>7</v>
      </c>
      <c r="AQ35" s="2">
        <v>13</v>
      </c>
      <c r="AR35" s="1">
        <v>14</v>
      </c>
      <c r="AS35" s="2">
        <v>6</v>
      </c>
      <c r="AU35" s="2" t="s">
        <v>21</v>
      </c>
      <c r="AV35" s="1">
        <v>28.5</v>
      </c>
      <c r="AX35" s="2">
        <v>9</v>
      </c>
      <c r="AY35" s="2">
        <v>9</v>
      </c>
      <c r="AZ35" s="2">
        <v>7</v>
      </c>
      <c r="BA35" s="2">
        <v>10.5</v>
      </c>
      <c r="BC35" t="s">
        <v>234</v>
      </c>
      <c r="BD35" t="s">
        <v>235</v>
      </c>
      <c r="BE35" t="s">
        <v>236</v>
      </c>
      <c r="BG35" t="s">
        <v>238</v>
      </c>
      <c r="BH35" t="s">
        <v>248</v>
      </c>
      <c r="BJ35" s="2" t="s">
        <v>214</v>
      </c>
      <c r="BK35" s="2" t="s">
        <v>381</v>
      </c>
      <c r="BL35" s="1" t="s">
        <v>221</v>
      </c>
      <c r="BM35" s="1">
        <v>5</v>
      </c>
      <c r="BN35" s="1">
        <v>9.5</v>
      </c>
      <c r="BO35" s="1">
        <v>3</v>
      </c>
      <c r="BP35" s="1">
        <v>9.5</v>
      </c>
      <c r="BQ35" s="1">
        <v>7</v>
      </c>
      <c r="BR35" s="2" t="s">
        <v>223</v>
      </c>
      <c r="BS35" s="2">
        <v>5</v>
      </c>
      <c r="BT35" s="2">
        <v>10</v>
      </c>
      <c r="BU35" s="2">
        <v>5</v>
      </c>
      <c r="BV35" s="2">
        <v>6</v>
      </c>
      <c r="BW35" s="2">
        <v>8</v>
      </c>
      <c r="BX35" s="3" t="s">
        <v>382</v>
      </c>
      <c r="BY35" s="1" t="s">
        <v>230</v>
      </c>
    </row>
    <row r="36" spans="1:77" x14ac:dyDescent="0.25">
      <c r="A36">
        <v>35</v>
      </c>
      <c r="B36" t="s">
        <v>11</v>
      </c>
      <c r="C36">
        <v>16694</v>
      </c>
      <c r="D36" t="s">
        <v>189</v>
      </c>
      <c r="E36" s="1" t="s">
        <v>13</v>
      </c>
      <c r="G36" s="1">
        <v>9</v>
      </c>
      <c r="H36" s="2">
        <v>9</v>
      </c>
      <c r="I36" s="2">
        <f t="shared" si="11"/>
        <v>2.5</v>
      </c>
      <c r="J36" s="3">
        <f t="shared" si="12"/>
        <v>4.5</v>
      </c>
      <c r="K36" s="1">
        <v>21.5</v>
      </c>
      <c r="N36" s="1">
        <v>16.5</v>
      </c>
      <c r="O36" s="3">
        <v>16</v>
      </c>
      <c r="P36" s="2">
        <f t="shared" si="13"/>
        <v>4.5</v>
      </c>
      <c r="Q36" s="3">
        <f t="shared" si="14"/>
        <v>9.5</v>
      </c>
      <c r="R36" s="1">
        <v>32.5</v>
      </c>
      <c r="U36" s="1">
        <v>25</v>
      </c>
      <c r="V36" s="3">
        <v>20.5</v>
      </c>
      <c r="W36" s="2">
        <f t="shared" si="15"/>
        <v>6</v>
      </c>
      <c r="X36" s="3">
        <f t="shared" si="16"/>
        <v>5</v>
      </c>
      <c r="Y36" s="1">
        <v>41.5</v>
      </c>
      <c r="AB36" s="1">
        <v>9</v>
      </c>
      <c r="AC36" s="3">
        <v>7</v>
      </c>
      <c r="AD36" s="2">
        <f t="shared" si="17"/>
        <v>2</v>
      </c>
      <c r="AE36" s="3">
        <f t="shared" si="18"/>
        <v>5</v>
      </c>
      <c r="AF36" s="1">
        <v>21.5</v>
      </c>
      <c r="AI36" s="1">
        <v>8</v>
      </c>
      <c r="AJ36" s="3">
        <v>7.5</v>
      </c>
      <c r="AK36" s="2">
        <f t="shared" si="19"/>
        <v>2</v>
      </c>
      <c r="AL36" s="3">
        <f t="shared" si="20"/>
        <v>2.5</v>
      </c>
      <c r="AM36" s="1">
        <v>12</v>
      </c>
      <c r="AN36" s="1">
        <f t="shared" si="10"/>
        <v>16.5</v>
      </c>
      <c r="AP36" s="1">
        <v>6</v>
      </c>
      <c r="AQ36" s="2">
        <v>4</v>
      </c>
      <c r="AR36" s="1">
        <v>15</v>
      </c>
      <c r="AS36" s="2">
        <v>7</v>
      </c>
      <c r="AU36" s="2">
        <v>11</v>
      </c>
      <c r="AV36" s="1">
        <v>21.5</v>
      </c>
      <c r="AX36" s="2">
        <v>8.5</v>
      </c>
      <c r="AY36" s="2">
        <v>5</v>
      </c>
      <c r="AZ36" s="2">
        <v>8</v>
      </c>
      <c r="BA36" s="2">
        <v>7</v>
      </c>
      <c r="BC36" t="s">
        <v>234</v>
      </c>
      <c r="BD36" t="s">
        <v>235</v>
      </c>
      <c r="BE36" t="s">
        <v>236</v>
      </c>
      <c r="BG36" t="s">
        <v>238</v>
      </c>
      <c r="BH36" t="s">
        <v>240</v>
      </c>
      <c r="BJ36" s="2" t="s">
        <v>214</v>
      </c>
      <c r="BK36" s="2" t="s">
        <v>381</v>
      </c>
      <c r="BL36" s="1" t="s">
        <v>221</v>
      </c>
      <c r="BM36" s="1">
        <v>4</v>
      </c>
      <c r="BN36" s="1">
        <v>9</v>
      </c>
      <c r="BO36" s="1">
        <v>4</v>
      </c>
      <c r="BP36" s="1">
        <v>6</v>
      </c>
      <c r="BQ36" s="1">
        <v>5</v>
      </c>
      <c r="BR36" s="2" t="s">
        <v>223</v>
      </c>
      <c r="BS36" s="2">
        <v>4.5</v>
      </c>
      <c r="BT36" s="2">
        <v>10</v>
      </c>
      <c r="BU36" s="2">
        <v>6</v>
      </c>
      <c r="BV36" s="2">
        <v>3.5</v>
      </c>
      <c r="BW36" s="2" t="s">
        <v>21</v>
      </c>
      <c r="BX36" s="3" t="s">
        <v>382</v>
      </c>
      <c r="BY36" s="1" t="s">
        <v>230</v>
      </c>
    </row>
    <row r="37" spans="1:77" x14ac:dyDescent="0.25">
      <c r="A37">
        <v>36</v>
      </c>
      <c r="B37" t="s">
        <v>11</v>
      </c>
      <c r="C37">
        <v>17937</v>
      </c>
      <c r="D37" t="s">
        <v>194</v>
      </c>
      <c r="E37" s="1" t="s">
        <v>13</v>
      </c>
      <c r="G37" s="1">
        <v>34</v>
      </c>
      <c r="H37" s="2">
        <v>31</v>
      </c>
      <c r="I37" s="2">
        <f t="shared" si="11"/>
        <v>8.5</v>
      </c>
      <c r="J37" s="3">
        <f t="shared" si="12"/>
        <v>9.5</v>
      </c>
      <c r="K37" s="1">
        <v>64</v>
      </c>
      <c r="N37" s="1">
        <v>27.5</v>
      </c>
      <c r="O37" s="3">
        <v>33</v>
      </c>
      <c r="P37" s="2">
        <f t="shared" si="13"/>
        <v>8</v>
      </c>
      <c r="Q37" s="3">
        <f t="shared" si="14"/>
        <v>10</v>
      </c>
      <c r="R37" s="1">
        <v>64</v>
      </c>
      <c r="U37" s="1">
        <v>36.5</v>
      </c>
      <c r="V37" s="3">
        <v>33.5</v>
      </c>
      <c r="W37" s="2">
        <f t="shared" si="15"/>
        <v>9</v>
      </c>
      <c r="X37" s="3">
        <f t="shared" si="16"/>
        <v>9.5</v>
      </c>
      <c r="Y37" s="1">
        <v>75.5</v>
      </c>
      <c r="AB37" s="1">
        <v>29.5</v>
      </c>
      <c r="AC37" s="3">
        <v>35.5</v>
      </c>
      <c r="AD37" s="2">
        <f t="shared" si="17"/>
        <v>8.5</v>
      </c>
      <c r="AE37" s="3">
        <f t="shared" si="18"/>
        <v>9.5</v>
      </c>
      <c r="AF37" s="1">
        <v>65</v>
      </c>
      <c r="AI37" s="1" t="s">
        <v>20</v>
      </c>
      <c r="AJ37" s="3">
        <v>38.5</v>
      </c>
      <c r="AK37" s="2">
        <f t="shared" si="19"/>
        <v>5</v>
      </c>
      <c r="AL37" s="3">
        <f t="shared" si="20"/>
        <v>8</v>
      </c>
      <c r="AM37" s="1">
        <v>57.5</v>
      </c>
      <c r="AN37" s="1">
        <f t="shared" si="10"/>
        <v>70.5</v>
      </c>
      <c r="AP37" s="1">
        <v>19.5</v>
      </c>
      <c r="AQ37" s="2">
        <v>17.5</v>
      </c>
      <c r="AR37" s="1">
        <v>22.5</v>
      </c>
      <c r="AS37" s="2">
        <v>9</v>
      </c>
      <c r="AU37" s="2">
        <v>22</v>
      </c>
      <c r="AV37" s="1">
        <v>35.5</v>
      </c>
      <c r="AX37" s="2">
        <v>10</v>
      </c>
      <c r="AY37" s="2">
        <v>8</v>
      </c>
      <c r="AZ37" s="2">
        <v>8</v>
      </c>
      <c r="BA37" s="2">
        <v>19</v>
      </c>
      <c r="BC37" t="s">
        <v>234</v>
      </c>
      <c r="BD37" t="s">
        <v>235</v>
      </c>
      <c r="BE37" t="s">
        <v>236</v>
      </c>
      <c r="BG37" t="s">
        <v>238</v>
      </c>
      <c r="BH37" t="s">
        <v>240</v>
      </c>
      <c r="BJ37" s="2" t="s">
        <v>214</v>
      </c>
      <c r="BK37" s="2" t="s">
        <v>381</v>
      </c>
      <c r="BL37" s="1" t="s">
        <v>221</v>
      </c>
      <c r="BM37" s="1">
        <v>9</v>
      </c>
      <c r="BN37" s="1">
        <v>9.5</v>
      </c>
      <c r="BO37" s="1">
        <v>10</v>
      </c>
      <c r="BP37" s="1">
        <v>10</v>
      </c>
      <c r="BQ37" s="1">
        <v>7</v>
      </c>
      <c r="BR37" s="2" t="s">
        <v>223</v>
      </c>
      <c r="BS37" s="2">
        <v>9.5</v>
      </c>
      <c r="BT37" s="2">
        <v>10</v>
      </c>
      <c r="BU37" s="2">
        <v>9</v>
      </c>
      <c r="BV37" s="2">
        <v>9</v>
      </c>
      <c r="BW37" s="2">
        <v>9</v>
      </c>
      <c r="BX37" s="3" t="s">
        <v>382</v>
      </c>
      <c r="BY37" s="1" t="s">
        <v>230</v>
      </c>
    </row>
    <row r="38" spans="1:77" x14ac:dyDescent="0.25">
      <c r="A38">
        <v>37</v>
      </c>
      <c r="B38" t="s">
        <v>11</v>
      </c>
      <c r="C38">
        <v>16797</v>
      </c>
      <c r="D38" t="s">
        <v>199</v>
      </c>
      <c r="E38" s="1" t="s">
        <v>13</v>
      </c>
      <c r="G38" s="1">
        <v>24.5</v>
      </c>
      <c r="H38" s="2">
        <v>10</v>
      </c>
      <c r="I38" s="2">
        <f t="shared" si="11"/>
        <v>4.5</v>
      </c>
      <c r="J38" s="3">
        <f t="shared" si="12"/>
        <v>6</v>
      </c>
      <c r="K38" s="1">
        <v>27</v>
      </c>
      <c r="N38" s="1">
        <v>29</v>
      </c>
      <c r="O38" s="3">
        <v>30.5</v>
      </c>
      <c r="P38" s="2">
        <f t="shared" si="13"/>
        <v>7.5</v>
      </c>
      <c r="Q38" s="3">
        <f t="shared" si="14"/>
        <v>9.5</v>
      </c>
      <c r="R38" s="1">
        <v>32.5</v>
      </c>
      <c r="U38" s="1">
        <v>17</v>
      </c>
      <c r="V38" s="3">
        <v>14.5</v>
      </c>
      <c r="W38" s="2">
        <f t="shared" si="15"/>
        <v>4</v>
      </c>
      <c r="X38" s="3">
        <f t="shared" si="16"/>
        <v>2</v>
      </c>
      <c r="Y38" s="1">
        <v>24</v>
      </c>
      <c r="AB38" s="1">
        <v>26</v>
      </c>
      <c r="AC38" s="3">
        <v>20</v>
      </c>
      <c r="AD38" s="2">
        <f t="shared" si="17"/>
        <v>6</v>
      </c>
      <c r="AE38" s="3">
        <f t="shared" si="18"/>
        <v>9</v>
      </c>
      <c r="AF38" s="1">
        <v>47.5</v>
      </c>
      <c r="AI38" s="1">
        <v>21.5</v>
      </c>
      <c r="AJ38" s="3">
        <v>15</v>
      </c>
      <c r="AK38" s="2">
        <f t="shared" si="19"/>
        <v>5</v>
      </c>
      <c r="AL38" s="3">
        <f t="shared" si="20"/>
        <v>5</v>
      </c>
      <c r="AM38" s="1">
        <v>32.5</v>
      </c>
      <c r="AN38" s="1">
        <f t="shared" si="10"/>
        <v>42.5</v>
      </c>
      <c r="AP38" s="1">
        <v>16.5</v>
      </c>
      <c r="AQ38" s="2">
        <v>22.5</v>
      </c>
      <c r="AR38" s="1">
        <v>25.5</v>
      </c>
      <c r="AS38" s="2">
        <v>8</v>
      </c>
      <c r="AU38" s="2">
        <v>20.5</v>
      </c>
      <c r="AV38" s="1">
        <v>25.5</v>
      </c>
      <c r="AX38" s="2">
        <v>9.5</v>
      </c>
      <c r="AY38" s="2">
        <v>10</v>
      </c>
      <c r="AZ38" s="2">
        <v>8</v>
      </c>
      <c r="BA38" s="2">
        <v>16</v>
      </c>
      <c r="BC38" t="s">
        <v>234</v>
      </c>
      <c r="BD38" t="s">
        <v>235</v>
      </c>
      <c r="BE38" t="s">
        <v>236</v>
      </c>
      <c r="BG38" t="s">
        <v>238</v>
      </c>
      <c r="BH38" t="s">
        <v>240</v>
      </c>
      <c r="BJ38" s="2" t="s">
        <v>214</v>
      </c>
      <c r="BK38" s="2" t="s">
        <v>381</v>
      </c>
      <c r="BL38" s="1" t="s">
        <v>221</v>
      </c>
      <c r="BM38" s="1">
        <v>6</v>
      </c>
      <c r="BN38" s="1">
        <v>9.5</v>
      </c>
      <c r="BO38" s="1">
        <v>1</v>
      </c>
      <c r="BP38" s="1">
        <v>9.5</v>
      </c>
      <c r="BQ38" s="1">
        <v>3.5</v>
      </c>
      <c r="BR38" s="2" t="s">
        <v>223</v>
      </c>
      <c r="BS38" s="2">
        <v>5.5</v>
      </c>
      <c r="BT38" s="2">
        <v>9</v>
      </c>
      <c r="BU38" s="2">
        <v>2.5</v>
      </c>
      <c r="BV38" s="2">
        <v>8</v>
      </c>
      <c r="BW38" s="2">
        <v>6</v>
      </c>
      <c r="BX38" s="3" t="s">
        <v>382</v>
      </c>
      <c r="BY38" s="1" t="s">
        <v>230</v>
      </c>
    </row>
    <row r="39" spans="1:77" x14ac:dyDescent="0.25">
      <c r="A39">
        <v>38</v>
      </c>
      <c r="B39" t="s">
        <v>11</v>
      </c>
      <c r="C39">
        <v>17580</v>
      </c>
      <c r="D39" t="s">
        <v>204</v>
      </c>
      <c r="E39" s="1" t="s">
        <v>13</v>
      </c>
      <c r="G39" s="1">
        <v>27</v>
      </c>
      <c r="H39" s="2">
        <v>19.5</v>
      </c>
      <c r="I39" s="2">
        <f t="shared" si="11"/>
        <v>6</v>
      </c>
      <c r="J39" s="3">
        <f t="shared" si="12"/>
        <v>6</v>
      </c>
      <c r="K39" s="1">
        <v>38</v>
      </c>
      <c r="N39" s="1">
        <v>20.5</v>
      </c>
      <c r="O39" s="3">
        <v>26.5</v>
      </c>
      <c r="P39" s="2">
        <f t="shared" si="13"/>
        <v>6</v>
      </c>
      <c r="Q39" s="3">
        <f t="shared" si="14"/>
        <v>10</v>
      </c>
      <c r="R39" s="1">
        <v>56.5</v>
      </c>
      <c r="U39" s="1">
        <v>36.5</v>
      </c>
      <c r="V39" s="3">
        <v>30</v>
      </c>
      <c r="W39" s="2">
        <f t="shared" si="15"/>
        <v>8.5</v>
      </c>
      <c r="X39" s="3">
        <f t="shared" si="16"/>
        <v>6.5</v>
      </c>
      <c r="Y39" s="1">
        <v>46</v>
      </c>
      <c r="AB39" s="1">
        <v>23.5</v>
      </c>
      <c r="AC39" s="3">
        <v>32</v>
      </c>
      <c r="AD39" s="2">
        <f t="shared" si="17"/>
        <v>7</v>
      </c>
      <c r="AE39" s="3">
        <f t="shared" si="18"/>
        <v>7</v>
      </c>
      <c r="AF39" s="1">
        <v>59.5</v>
      </c>
      <c r="AI39" s="1">
        <v>22</v>
      </c>
      <c r="AJ39" s="3">
        <v>28</v>
      </c>
      <c r="AK39" s="2">
        <f t="shared" si="19"/>
        <v>6.5</v>
      </c>
      <c r="AL39" s="3">
        <f t="shared" si="20"/>
        <v>6.5</v>
      </c>
      <c r="AM39" s="1">
        <v>47</v>
      </c>
      <c r="AN39" s="1">
        <f t="shared" si="10"/>
        <v>60</v>
      </c>
      <c r="AP39" s="1" t="s">
        <v>44</v>
      </c>
      <c r="AQ39" s="2">
        <v>17</v>
      </c>
      <c r="AR39" s="1">
        <v>26</v>
      </c>
      <c r="AS39" s="2">
        <v>6</v>
      </c>
      <c r="AU39" s="2">
        <v>18.5</v>
      </c>
      <c r="AV39" s="1">
        <v>28.5</v>
      </c>
      <c r="AX39" s="2">
        <v>8</v>
      </c>
      <c r="AY39" s="2">
        <v>8</v>
      </c>
      <c r="AZ39" s="2">
        <v>9</v>
      </c>
      <c r="BA39" s="2">
        <v>14</v>
      </c>
      <c r="BC39" t="s">
        <v>234</v>
      </c>
      <c r="BD39" t="s">
        <v>235</v>
      </c>
      <c r="BE39" t="s">
        <v>236</v>
      </c>
      <c r="BG39" t="s">
        <v>238</v>
      </c>
      <c r="BH39" t="s">
        <v>242</v>
      </c>
      <c r="BJ39" s="2" t="s">
        <v>214</v>
      </c>
      <c r="BK39" s="2" t="s">
        <v>381</v>
      </c>
      <c r="BL39" s="1" t="s">
        <v>221</v>
      </c>
      <c r="BM39" s="1">
        <v>6</v>
      </c>
      <c r="BN39" s="1">
        <v>9.5</v>
      </c>
      <c r="BO39" s="1">
        <v>6.5</v>
      </c>
      <c r="BP39" s="1">
        <v>7.5</v>
      </c>
      <c r="BQ39" s="1">
        <v>6.5</v>
      </c>
      <c r="BR39" s="2" t="s">
        <v>223</v>
      </c>
      <c r="BS39" s="2">
        <v>6</v>
      </c>
      <c r="BT39" s="2">
        <v>10</v>
      </c>
      <c r="BU39" s="2">
        <v>6.5</v>
      </c>
      <c r="BV39" s="2">
        <v>6.5</v>
      </c>
      <c r="BW39" s="2">
        <v>6</v>
      </c>
      <c r="BX39" s="3" t="s">
        <v>382</v>
      </c>
      <c r="BY39" s="1" t="s">
        <v>230</v>
      </c>
    </row>
    <row r="40" spans="1:77" x14ac:dyDescent="0.25">
      <c r="A40">
        <v>39</v>
      </c>
      <c r="B40" t="s">
        <v>11</v>
      </c>
      <c r="C40">
        <v>17384</v>
      </c>
      <c r="D40" t="s">
        <v>209</v>
      </c>
      <c r="E40" s="1" t="s">
        <v>13</v>
      </c>
      <c r="G40" s="1">
        <v>32.5</v>
      </c>
      <c r="H40" s="2">
        <v>28</v>
      </c>
      <c r="I40" s="2">
        <f t="shared" si="11"/>
        <v>8</v>
      </c>
      <c r="J40" s="3">
        <f t="shared" si="12"/>
        <v>7.5</v>
      </c>
      <c r="K40" s="1">
        <v>53</v>
      </c>
      <c r="N40" s="1">
        <v>32.5</v>
      </c>
      <c r="O40" s="3">
        <v>32</v>
      </c>
      <c r="P40" s="2">
        <f t="shared" si="13"/>
        <v>8.5</v>
      </c>
      <c r="Q40" s="3">
        <f t="shared" si="14"/>
        <v>9</v>
      </c>
      <c r="R40" s="1">
        <v>69</v>
      </c>
      <c r="U40" s="1">
        <v>36</v>
      </c>
      <c r="V40" s="3">
        <v>28.5</v>
      </c>
      <c r="W40" s="2">
        <f t="shared" si="15"/>
        <v>8.5</v>
      </c>
      <c r="X40" s="3">
        <f t="shared" si="16"/>
        <v>8</v>
      </c>
      <c r="Y40" s="1">
        <v>66.5</v>
      </c>
      <c r="AB40" s="1">
        <v>26.5</v>
      </c>
      <c r="AC40" s="3">
        <v>35</v>
      </c>
      <c r="AD40" s="2">
        <f t="shared" si="17"/>
        <v>8</v>
      </c>
      <c r="AE40" s="3">
        <f t="shared" si="18"/>
        <v>9.5</v>
      </c>
      <c r="AF40" s="1">
        <v>67.5</v>
      </c>
      <c r="AI40" s="1">
        <v>27</v>
      </c>
      <c r="AJ40" s="3">
        <v>27</v>
      </c>
      <c r="AK40" s="2">
        <f t="shared" si="19"/>
        <v>7</v>
      </c>
      <c r="AL40" s="3">
        <f t="shared" si="20"/>
        <v>7.5</v>
      </c>
      <c r="AM40" s="1">
        <v>68.5</v>
      </c>
      <c r="AN40" s="1">
        <f t="shared" si="10"/>
        <v>83</v>
      </c>
      <c r="AP40" s="1">
        <v>19</v>
      </c>
      <c r="AQ40" s="2">
        <v>18.5</v>
      </c>
      <c r="AR40" s="1">
        <v>23.5</v>
      </c>
      <c r="AS40" s="2">
        <v>7</v>
      </c>
      <c r="AU40" s="2">
        <v>20</v>
      </c>
      <c r="AV40" s="1">
        <v>37.5</v>
      </c>
      <c r="AX40" s="2">
        <v>9.5</v>
      </c>
      <c r="AY40" s="2">
        <v>10</v>
      </c>
      <c r="AZ40" s="2">
        <v>8</v>
      </c>
      <c r="BA40" s="2">
        <v>18</v>
      </c>
      <c r="BC40" t="s">
        <v>234</v>
      </c>
      <c r="BD40" t="s">
        <v>235</v>
      </c>
      <c r="BE40" t="s">
        <v>236</v>
      </c>
      <c r="BG40" t="s">
        <v>238</v>
      </c>
      <c r="BH40" t="s">
        <v>242</v>
      </c>
      <c r="BJ40" s="2" t="s">
        <v>214</v>
      </c>
      <c r="BK40" s="2" t="s">
        <v>381</v>
      </c>
      <c r="BL40" s="1" t="s">
        <v>221</v>
      </c>
      <c r="BM40" s="1">
        <v>5.5</v>
      </c>
      <c r="BN40" s="1">
        <v>10</v>
      </c>
      <c r="BO40" s="1">
        <v>8</v>
      </c>
      <c r="BP40" s="1">
        <v>10</v>
      </c>
      <c r="BQ40" s="1">
        <v>6</v>
      </c>
      <c r="BR40" s="2" t="s">
        <v>223</v>
      </c>
      <c r="BS40" s="2">
        <v>9</v>
      </c>
      <c r="BT40" s="2">
        <v>8</v>
      </c>
      <c r="BU40" s="2">
        <v>8</v>
      </c>
      <c r="BV40" s="2">
        <v>9</v>
      </c>
      <c r="BW40" s="2">
        <v>9</v>
      </c>
      <c r="BX40" s="3" t="s">
        <v>382</v>
      </c>
      <c r="BY40" s="1" t="s">
        <v>230</v>
      </c>
    </row>
    <row r="41" spans="1:77" x14ac:dyDescent="0.25">
      <c r="A41">
        <v>1</v>
      </c>
      <c r="B41" t="s">
        <v>14</v>
      </c>
      <c r="C41">
        <v>16518</v>
      </c>
      <c r="D41" t="s">
        <v>15</v>
      </c>
      <c r="E41" s="1" t="s">
        <v>13</v>
      </c>
      <c r="G41" s="1">
        <v>37</v>
      </c>
      <c r="H41" s="2">
        <v>32.5</v>
      </c>
      <c r="I41" s="2">
        <f t="shared" si="11"/>
        <v>9</v>
      </c>
      <c r="J41" s="3">
        <f t="shared" si="12"/>
        <v>9</v>
      </c>
      <c r="K41" s="1">
        <v>63</v>
      </c>
      <c r="N41" s="1">
        <v>39.5</v>
      </c>
      <c r="O41" s="3">
        <v>37</v>
      </c>
      <c r="P41" s="2">
        <f t="shared" si="13"/>
        <v>10</v>
      </c>
      <c r="Q41" s="3">
        <f t="shared" si="14"/>
        <v>5</v>
      </c>
      <c r="R41" s="1">
        <v>75.5</v>
      </c>
      <c r="U41" s="1">
        <v>34.5</v>
      </c>
      <c r="V41" s="3">
        <v>38</v>
      </c>
      <c r="W41" s="2">
        <f t="shared" si="15"/>
        <v>9.5</v>
      </c>
      <c r="X41" s="3">
        <f t="shared" si="16"/>
        <v>8.5</v>
      </c>
      <c r="Y41" s="1">
        <v>75.5</v>
      </c>
      <c r="AB41" s="1">
        <v>33</v>
      </c>
      <c r="AC41" s="3">
        <v>34</v>
      </c>
      <c r="AD41" s="2">
        <f t="shared" si="17"/>
        <v>8.5</v>
      </c>
      <c r="AE41" s="3">
        <f t="shared" si="18"/>
        <v>9.5</v>
      </c>
      <c r="AF41" s="1">
        <v>72.5</v>
      </c>
      <c r="AI41" s="1">
        <v>32.5</v>
      </c>
      <c r="AJ41" s="3">
        <v>34.5</v>
      </c>
      <c r="AK41" s="2">
        <f t="shared" si="19"/>
        <v>8.5</v>
      </c>
      <c r="AL41" s="3">
        <f t="shared" si="20"/>
        <v>9</v>
      </c>
      <c r="AM41" s="1">
        <v>65</v>
      </c>
      <c r="AN41" s="1">
        <f t="shared" si="10"/>
        <v>82.5</v>
      </c>
      <c r="AP41" s="1">
        <v>22.5</v>
      </c>
      <c r="AQ41" s="2">
        <v>24.5</v>
      </c>
      <c r="AR41" s="1">
        <v>25.5</v>
      </c>
      <c r="AS41" s="2">
        <v>9</v>
      </c>
      <c r="AU41" s="2">
        <v>20.5</v>
      </c>
      <c r="AV41" s="1">
        <v>35.5</v>
      </c>
      <c r="AX41" s="2">
        <v>9.5</v>
      </c>
      <c r="AY41" s="2">
        <v>10</v>
      </c>
      <c r="AZ41" s="2">
        <v>8</v>
      </c>
      <c r="BA41" s="2">
        <v>9</v>
      </c>
      <c r="BC41" t="s">
        <v>234</v>
      </c>
      <c r="BD41" t="s">
        <v>235</v>
      </c>
      <c r="BE41" t="s">
        <v>236</v>
      </c>
      <c r="BF41" t="s">
        <v>260</v>
      </c>
      <c r="BG41" t="s">
        <v>261</v>
      </c>
      <c r="BH41" t="s">
        <v>259</v>
      </c>
      <c r="BJ41" s="2" t="s">
        <v>214</v>
      </c>
      <c r="BK41" s="2" t="s">
        <v>381</v>
      </c>
      <c r="BL41" s="1" t="s">
        <v>221</v>
      </c>
      <c r="BM41" s="1">
        <v>8</v>
      </c>
      <c r="BN41" s="1" t="s">
        <v>21</v>
      </c>
      <c r="BO41" s="1">
        <v>8</v>
      </c>
      <c r="BP41" s="1">
        <v>10</v>
      </c>
      <c r="BQ41" s="1">
        <v>8</v>
      </c>
      <c r="BR41" s="2" t="s">
        <v>223</v>
      </c>
      <c r="BS41" s="2">
        <v>9.5</v>
      </c>
      <c r="BT41" s="2">
        <v>10</v>
      </c>
      <c r="BU41" s="2">
        <v>8.5</v>
      </c>
      <c r="BV41" s="2">
        <v>8.5</v>
      </c>
      <c r="BW41" s="2">
        <v>10</v>
      </c>
      <c r="BX41" s="3" t="s">
        <v>382</v>
      </c>
      <c r="BY41" s="1" t="s">
        <v>230</v>
      </c>
    </row>
    <row r="42" spans="1:77" x14ac:dyDescent="0.25">
      <c r="A42">
        <v>2</v>
      </c>
      <c r="B42" t="s">
        <v>14</v>
      </c>
      <c r="C42">
        <v>17933</v>
      </c>
      <c r="D42" t="s">
        <v>25</v>
      </c>
      <c r="E42" s="1" t="s">
        <v>13</v>
      </c>
      <c r="G42" s="1">
        <v>4</v>
      </c>
      <c r="H42" s="2">
        <v>10.5</v>
      </c>
      <c r="I42" s="2">
        <f t="shared" si="11"/>
        <v>2</v>
      </c>
      <c r="J42" s="3">
        <f t="shared" si="12"/>
        <v>5.5</v>
      </c>
      <c r="K42" s="1">
        <v>23</v>
      </c>
      <c r="N42" s="1">
        <v>18</v>
      </c>
      <c r="O42" s="3">
        <v>22</v>
      </c>
      <c r="P42" s="2">
        <f t="shared" si="13"/>
        <v>5</v>
      </c>
      <c r="Q42" s="3">
        <f t="shared" si="14"/>
        <v>8.5</v>
      </c>
      <c r="R42" s="1">
        <v>42</v>
      </c>
      <c r="U42" s="1">
        <v>17</v>
      </c>
      <c r="V42" s="3">
        <v>17.5</v>
      </c>
      <c r="W42" s="2">
        <f t="shared" si="15"/>
        <v>4.5</v>
      </c>
      <c r="X42" s="3">
        <f t="shared" si="16"/>
        <v>7</v>
      </c>
      <c r="Y42" s="1">
        <v>33</v>
      </c>
      <c r="AB42" s="1">
        <v>7.5</v>
      </c>
      <c r="AC42" s="3">
        <v>16.5</v>
      </c>
      <c r="AD42" s="2">
        <f t="shared" si="17"/>
        <v>3</v>
      </c>
      <c r="AE42" s="3">
        <f t="shared" si="18"/>
        <v>7</v>
      </c>
      <c r="AF42" s="1">
        <v>32</v>
      </c>
      <c r="AI42" s="1">
        <v>8</v>
      </c>
      <c r="AJ42" s="3">
        <v>16.5</v>
      </c>
      <c r="AK42" s="2">
        <f t="shared" si="19"/>
        <v>3.5</v>
      </c>
      <c r="AL42" s="3">
        <f t="shared" si="20"/>
        <v>7.5</v>
      </c>
      <c r="AM42" s="1">
        <v>21.5</v>
      </c>
      <c r="AN42" s="1">
        <f t="shared" si="10"/>
        <v>32.5</v>
      </c>
      <c r="AP42" s="1">
        <v>8.5</v>
      </c>
      <c r="AQ42" s="2">
        <v>8.5</v>
      </c>
      <c r="AR42" s="1">
        <v>13</v>
      </c>
      <c r="AS42" s="2">
        <v>4</v>
      </c>
      <c r="AU42" s="2">
        <v>16.5</v>
      </c>
      <c r="AV42" s="1">
        <v>21.5</v>
      </c>
      <c r="AX42" s="2">
        <v>8</v>
      </c>
      <c r="AY42" s="2">
        <v>10</v>
      </c>
      <c r="AZ42" s="2">
        <v>8</v>
      </c>
      <c r="BA42" s="2">
        <v>4</v>
      </c>
      <c r="BC42" t="s">
        <v>234</v>
      </c>
      <c r="BD42" t="s">
        <v>235</v>
      </c>
      <c r="BE42" t="s">
        <v>236</v>
      </c>
      <c r="BF42" t="s">
        <v>263</v>
      </c>
      <c r="BG42" t="s">
        <v>264</v>
      </c>
      <c r="BH42" t="s">
        <v>262</v>
      </c>
      <c r="BJ42" s="2" t="s">
        <v>214</v>
      </c>
      <c r="BK42" s="2" t="s">
        <v>381</v>
      </c>
      <c r="BL42" s="1" t="s">
        <v>221</v>
      </c>
      <c r="BM42" s="1">
        <v>6</v>
      </c>
      <c r="BN42" s="1">
        <v>8</v>
      </c>
      <c r="BO42" s="1">
        <v>9</v>
      </c>
      <c r="BP42" s="1">
        <v>8.5</v>
      </c>
      <c r="BQ42" s="1">
        <v>6.5</v>
      </c>
      <c r="BR42" s="2" t="s">
        <v>223</v>
      </c>
      <c r="BS42" s="2">
        <v>5</v>
      </c>
      <c r="BT42" s="2">
        <v>9</v>
      </c>
      <c r="BU42" s="2">
        <v>5</v>
      </c>
      <c r="BV42" s="2">
        <v>5.5</v>
      </c>
      <c r="BW42" s="2">
        <v>8</v>
      </c>
      <c r="BX42" s="3" t="s">
        <v>382</v>
      </c>
      <c r="BY42" s="1" t="s">
        <v>230</v>
      </c>
    </row>
    <row r="43" spans="1:77" x14ac:dyDescent="0.25">
      <c r="A43">
        <v>3</v>
      </c>
      <c r="B43" t="s">
        <v>14</v>
      </c>
      <c r="C43">
        <v>17389</v>
      </c>
      <c r="D43" t="s">
        <v>30</v>
      </c>
      <c r="E43" s="1" t="s">
        <v>13</v>
      </c>
      <c r="G43" s="1">
        <v>33</v>
      </c>
      <c r="H43" s="2">
        <v>34</v>
      </c>
      <c r="I43" s="2">
        <f t="shared" si="11"/>
        <v>8.5</v>
      </c>
      <c r="J43" s="3">
        <f t="shared" si="12"/>
        <v>8</v>
      </c>
      <c r="K43" s="1">
        <v>58</v>
      </c>
      <c r="N43" s="1">
        <v>29.5</v>
      </c>
      <c r="O43" s="3">
        <v>29.5</v>
      </c>
      <c r="P43" s="2">
        <f t="shared" si="13"/>
        <v>7.5</v>
      </c>
      <c r="Q43" s="3">
        <f t="shared" si="14"/>
        <v>10</v>
      </c>
      <c r="R43" s="1">
        <v>61.5</v>
      </c>
      <c r="U43" s="1" t="s">
        <v>20</v>
      </c>
      <c r="V43" s="3">
        <v>25.5</v>
      </c>
      <c r="W43" s="2">
        <f t="shared" si="15"/>
        <v>3.5</v>
      </c>
      <c r="X43" s="3">
        <f t="shared" si="16"/>
        <v>8</v>
      </c>
      <c r="Y43" s="1">
        <v>60</v>
      </c>
      <c r="AB43" s="1">
        <v>26.5</v>
      </c>
      <c r="AC43" s="3">
        <v>31.5</v>
      </c>
      <c r="AD43" s="2">
        <f t="shared" si="17"/>
        <v>7.5</v>
      </c>
      <c r="AE43" s="3">
        <f t="shared" si="18"/>
        <v>9</v>
      </c>
      <c r="AF43" s="1">
        <v>50</v>
      </c>
      <c r="AI43" s="1" t="s">
        <v>21</v>
      </c>
      <c r="AJ43" s="3">
        <v>30</v>
      </c>
      <c r="AK43" s="2">
        <f t="shared" si="19"/>
        <v>4</v>
      </c>
      <c r="AL43" s="3">
        <f t="shared" si="20"/>
        <v>8.5</v>
      </c>
      <c r="AM43" s="1">
        <v>35.5</v>
      </c>
      <c r="AN43" s="1">
        <f t="shared" si="10"/>
        <v>48</v>
      </c>
      <c r="AP43" s="1">
        <v>22</v>
      </c>
      <c r="AQ43" s="2">
        <v>14</v>
      </c>
      <c r="AR43" s="1">
        <v>26</v>
      </c>
      <c r="AS43" s="2">
        <v>6</v>
      </c>
      <c r="AU43" s="2">
        <v>19.5</v>
      </c>
      <c r="AV43" s="1">
        <v>38</v>
      </c>
      <c r="AX43" s="2">
        <v>9</v>
      </c>
      <c r="AY43" s="2">
        <v>10</v>
      </c>
      <c r="AZ43" s="2">
        <v>8</v>
      </c>
      <c r="BA43" s="2">
        <v>9</v>
      </c>
      <c r="BC43" t="s">
        <v>234</v>
      </c>
      <c r="BD43" t="s">
        <v>235</v>
      </c>
      <c r="BE43" t="s">
        <v>236</v>
      </c>
      <c r="BF43" t="s">
        <v>265</v>
      </c>
      <c r="BG43" t="s">
        <v>264</v>
      </c>
      <c r="BH43" t="s">
        <v>242</v>
      </c>
      <c r="BJ43" s="2" t="s">
        <v>214</v>
      </c>
      <c r="BK43" s="2" t="s">
        <v>381</v>
      </c>
      <c r="BL43" s="1" t="s">
        <v>221</v>
      </c>
      <c r="BM43" s="1">
        <v>7.5</v>
      </c>
      <c r="BN43" s="1">
        <v>10</v>
      </c>
      <c r="BO43" s="1">
        <v>10</v>
      </c>
      <c r="BP43" s="1">
        <v>10</v>
      </c>
      <c r="BQ43" s="1">
        <v>7.5</v>
      </c>
      <c r="BR43" s="2" t="s">
        <v>223</v>
      </c>
      <c r="BS43" s="2">
        <v>8.5</v>
      </c>
      <c r="BT43" s="2">
        <v>10</v>
      </c>
      <c r="BU43" s="2">
        <v>6</v>
      </c>
      <c r="BV43" s="2">
        <v>8</v>
      </c>
      <c r="BW43" s="2">
        <v>9.5</v>
      </c>
      <c r="BX43" s="3" t="s">
        <v>382</v>
      </c>
      <c r="BY43" s="1" t="s">
        <v>230</v>
      </c>
    </row>
    <row r="44" spans="1:77" x14ac:dyDescent="0.25">
      <c r="A44">
        <v>4</v>
      </c>
      <c r="B44" t="s">
        <v>14</v>
      </c>
      <c r="C44">
        <v>18046</v>
      </c>
      <c r="D44" t="s">
        <v>35</v>
      </c>
      <c r="E44" s="1" t="s">
        <v>13</v>
      </c>
      <c r="G44" s="1">
        <v>20.5</v>
      </c>
      <c r="H44" s="2" t="s">
        <v>215</v>
      </c>
      <c r="I44" s="2">
        <f t="shared" si="11"/>
        <v>3</v>
      </c>
      <c r="J44" s="3">
        <f t="shared" si="12"/>
        <v>4</v>
      </c>
      <c r="K44" s="1">
        <v>41</v>
      </c>
      <c r="N44" s="1">
        <v>27</v>
      </c>
      <c r="O44" s="3">
        <v>23</v>
      </c>
      <c r="P44" s="2">
        <f t="shared" si="13"/>
        <v>6.5</v>
      </c>
      <c r="Q44" s="3">
        <f t="shared" si="14"/>
        <v>9.5</v>
      </c>
      <c r="R44" s="1">
        <v>51.5</v>
      </c>
      <c r="U44" s="1">
        <v>28.5</v>
      </c>
      <c r="V44" s="3">
        <v>24</v>
      </c>
      <c r="W44" s="2">
        <f t="shared" si="15"/>
        <v>7</v>
      </c>
      <c r="X44" s="3">
        <f t="shared" si="16"/>
        <v>7.5</v>
      </c>
      <c r="Y44" s="1">
        <v>47</v>
      </c>
      <c r="AB44" s="1">
        <v>17.5</v>
      </c>
      <c r="AC44" s="3" t="s">
        <v>21</v>
      </c>
      <c r="AD44" s="2">
        <f t="shared" si="17"/>
        <v>2.5</v>
      </c>
      <c r="AE44" s="3">
        <f t="shared" si="18"/>
        <v>8.5</v>
      </c>
      <c r="AF44" s="1">
        <v>29</v>
      </c>
      <c r="AI44" s="1">
        <v>17</v>
      </c>
      <c r="AJ44" s="3" t="s">
        <v>21</v>
      </c>
      <c r="AK44" s="2">
        <f t="shared" si="19"/>
        <v>2.5</v>
      </c>
      <c r="AL44" s="3">
        <f t="shared" si="20"/>
        <v>6.5</v>
      </c>
      <c r="AM44" s="1">
        <v>18</v>
      </c>
      <c r="AN44" s="1">
        <f t="shared" si="10"/>
        <v>27</v>
      </c>
      <c r="AP44" s="1">
        <v>8</v>
      </c>
      <c r="AQ44" s="2">
        <v>7</v>
      </c>
      <c r="AR44" s="1">
        <v>13.5</v>
      </c>
      <c r="AS44" s="2">
        <v>5</v>
      </c>
      <c r="AU44" s="2">
        <v>16</v>
      </c>
      <c r="AV44" s="1">
        <v>25.5</v>
      </c>
      <c r="AX44" s="2">
        <v>7.5</v>
      </c>
      <c r="AY44" s="2">
        <v>10</v>
      </c>
      <c r="AZ44" s="2">
        <v>8</v>
      </c>
      <c r="BA44" s="2">
        <v>5.5</v>
      </c>
      <c r="BC44" t="s">
        <v>234</v>
      </c>
      <c r="BD44" t="s">
        <v>235</v>
      </c>
      <c r="BE44" t="s">
        <v>236</v>
      </c>
      <c r="BF44" t="s">
        <v>263</v>
      </c>
      <c r="BG44" t="s">
        <v>264</v>
      </c>
      <c r="BH44" t="s">
        <v>266</v>
      </c>
      <c r="BJ44" s="2" t="s">
        <v>214</v>
      </c>
      <c r="BK44" s="2" t="s">
        <v>381</v>
      </c>
      <c r="BL44" s="1" t="s">
        <v>221</v>
      </c>
      <c r="BM44" s="1" t="s">
        <v>21</v>
      </c>
      <c r="BN44" s="1">
        <v>9</v>
      </c>
      <c r="BO44" s="1">
        <v>9</v>
      </c>
      <c r="BP44" s="1">
        <v>9.5</v>
      </c>
      <c r="BQ44" s="1">
        <v>6</v>
      </c>
      <c r="BR44" s="2" t="s">
        <v>223</v>
      </c>
      <c r="BS44" s="2">
        <v>8</v>
      </c>
      <c r="BT44" s="2">
        <v>10</v>
      </c>
      <c r="BU44" s="2">
        <v>6</v>
      </c>
      <c r="BV44" s="2">
        <v>7</v>
      </c>
      <c r="BW44" s="2">
        <v>7</v>
      </c>
      <c r="BX44" s="3" t="s">
        <v>382</v>
      </c>
      <c r="BY44" s="1" t="s">
        <v>230</v>
      </c>
    </row>
    <row r="45" spans="1:77" x14ac:dyDescent="0.25">
      <c r="A45">
        <v>5</v>
      </c>
      <c r="B45" t="s">
        <v>14</v>
      </c>
      <c r="C45">
        <v>17918</v>
      </c>
      <c r="D45" t="s">
        <v>40</v>
      </c>
      <c r="E45" s="1" t="s">
        <v>13</v>
      </c>
      <c r="G45" s="1">
        <v>33</v>
      </c>
      <c r="H45" s="2">
        <v>27.5</v>
      </c>
      <c r="I45" s="2">
        <f t="shared" si="11"/>
        <v>8</v>
      </c>
      <c r="J45" s="3">
        <f t="shared" si="12"/>
        <v>9</v>
      </c>
      <c r="K45" s="1">
        <v>60.5</v>
      </c>
      <c r="N45" s="1">
        <v>35.5</v>
      </c>
      <c r="O45" s="3">
        <v>38.5</v>
      </c>
      <c r="P45" s="2">
        <f t="shared" si="13"/>
        <v>9.5</v>
      </c>
      <c r="Q45" s="3">
        <f t="shared" si="14"/>
        <v>10</v>
      </c>
      <c r="R45" s="1">
        <v>73.5</v>
      </c>
      <c r="U45" s="1">
        <v>38</v>
      </c>
      <c r="V45" s="3">
        <v>36</v>
      </c>
      <c r="W45" s="2">
        <f t="shared" si="15"/>
        <v>9.5</v>
      </c>
      <c r="X45" s="3">
        <f t="shared" si="16"/>
        <v>7.5</v>
      </c>
      <c r="Y45" s="1">
        <v>67.5</v>
      </c>
      <c r="AB45" s="1">
        <v>34.5</v>
      </c>
      <c r="AC45" s="3">
        <v>30.5</v>
      </c>
      <c r="AD45" s="2">
        <f t="shared" si="17"/>
        <v>8.5</v>
      </c>
      <c r="AE45" s="3">
        <f t="shared" si="18"/>
        <v>9.5</v>
      </c>
      <c r="AF45" s="1">
        <v>69.5</v>
      </c>
      <c r="AI45" s="1">
        <v>37.5</v>
      </c>
      <c r="AJ45" s="3">
        <v>38</v>
      </c>
      <c r="AK45" s="2">
        <f t="shared" si="19"/>
        <v>9.5</v>
      </c>
      <c r="AL45" s="3">
        <f t="shared" si="20"/>
        <v>9.5</v>
      </c>
      <c r="AM45" s="1">
        <v>69.5</v>
      </c>
      <c r="AN45" s="1">
        <f t="shared" si="10"/>
        <v>88.5</v>
      </c>
      <c r="AP45" s="1">
        <v>20.5</v>
      </c>
      <c r="AQ45" s="2">
        <v>19.5</v>
      </c>
      <c r="AR45" s="1">
        <v>28.5</v>
      </c>
      <c r="AS45" s="2">
        <v>6</v>
      </c>
      <c r="AU45" s="2">
        <v>21.5</v>
      </c>
      <c r="AV45" s="1">
        <v>35.5</v>
      </c>
      <c r="AX45" s="2">
        <v>9</v>
      </c>
      <c r="AY45" s="2">
        <v>10</v>
      </c>
      <c r="AZ45" s="2">
        <v>8</v>
      </c>
      <c r="BA45" s="2">
        <v>7.5</v>
      </c>
      <c r="BC45" t="s">
        <v>234</v>
      </c>
      <c r="BD45" t="s">
        <v>235</v>
      </c>
      <c r="BE45" t="s">
        <v>236</v>
      </c>
      <c r="BF45" t="s">
        <v>267</v>
      </c>
      <c r="BG45" t="s">
        <v>268</v>
      </c>
      <c r="BH45" t="s">
        <v>237</v>
      </c>
      <c r="BJ45" s="2" t="s">
        <v>214</v>
      </c>
      <c r="BK45" s="2" t="s">
        <v>381</v>
      </c>
      <c r="BL45" s="1" t="s">
        <v>221</v>
      </c>
      <c r="BM45" s="1">
        <v>9</v>
      </c>
      <c r="BN45" s="1">
        <v>9.5</v>
      </c>
      <c r="BO45" s="1">
        <v>5.5</v>
      </c>
      <c r="BP45" s="1">
        <v>10</v>
      </c>
      <c r="BQ45" s="1">
        <v>8.5</v>
      </c>
      <c r="BR45" s="2" t="s">
        <v>223</v>
      </c>
      <c r="BS45" s="2">
        <v>8.5</v>
      </c>
      <c r="BT45" s="2">
        <v>10</v>
      </c>
      <c r="BU45" s="2">
        <v>9</v>
      </c>
      <c r="BV45" s="2">
        <v>8.5</v>
      </c>
      <c r="BW45" s="2">
        <v>10</v>
      </c>
      <c r="BX45" s="3" t="s">
        <v>382</v>
      </c>
      <c r="BY45" s="1" t="s">
        <v>230</v>
      </c>
    </row>
    <row r="46" spans="1:77" x14ac:dyDescent="0.25">
      <c r="A46">
        <v>6</v>
      </c>
      <c r="B46" t="s">
        <v>14</v>
      </c>
      <c r="C46">
        <v>17382</v>
      </c>
      <c r="D46" t="s">
        <v>46</v>
      </c>
      <c r="E46" s="1" t="s">
        <v>13</v>
      </c>
      <c r="G46" s="1" t="s">
        <v>20</v>
      </c>
      <c r="H46" s="2">
        <v>9.5</v>
      </c>
      <c r="I46" s="2">
        <f t="shared" si="11"/>
        <v>1.5</v>
      </c>
      <c r="J46" s="3">
        <f t="shared" si="12"/>
        <v>5.5</v>
      </c>
      <c r="K46" s="1">
        <v>1</v>
      </c>
      <c r="N46" s="1">
        <v>10</v>
      </c>
      <c r="O46" s="3">
        <v>20.5</v>
      </c>
      <c r="P46" s="2">
        <f t="shared" si="13"/>
        <v>4</v>
      </c>
      <c r="Q46" s="3">
        <f t="shared" si="14"/>
        <v>5.5</v>
      </c>
      <c r="R46" s="1">
        <v>17</v>
      </c>
      <c r="U46" s="1">
        <v>9.5</v>
      </c>
      <c r="V46" s="3">
        <v>14</v>
      </c>
      <c r="W46" s="2">
        <f t="shared" si="15"/>
        <v>3</v>
      </c>
      <c r="X46" s="3">
        <f t="shared" si="16"/>
        <v>3.5</v>
      </c>
      <c r="Y46" s="1">
        <v>35</v>
      </c>
      <c r="AB46" s="1" t="s">
        <v>20</v>
      </c>
      <c r="AC46" s="3">
        <v>18.5</v>
      </c>
      <c r="AD46" s="2">
        <f t="shared" si="17"/>
        <v>2.5</v>
      </c>
      <c r="AE46" s="3">
        <f t="shared" si="18"/>
        <v>6.5</v>
      </c>
      <c r="AF46" s="1">
        <v>47</v>
      </c>
      <c r="AI46" s="1">
        <v>16.5</v>
      </c>
      <c r="AJ46" s="3">
        <v>30</v>
      </c>
      <c r="AK46" s="2">
        <f t="shared" si="19"/>
        <v>6</v>
      </c>
      <c r="AL46" s="3">
        <f t="shared" si="20"/>
        <v>3.5</v>
      </c>
      <c r="AM46" s="1">
        <v>35.5</v>
      </c>
      <c r="AN46" s="1">
        <f t="shared" si="10"/>
        <v>45</v>
      </c>
      <c r="AP46" s="1">
        <v>2</v>
      </c>
      <c r="AQ46" s="2">
        <v>3.5</v>
      </c>
      <c r="AR46" s="1">
        <v>9</v>
      </c>
      <c r="AS46" s="2">
        <v>4</v>
      </c>
      <c r="AU46" s="2">
        <v>15.5</v>
      </c>
      <c r="AV46" s="1">
        <v>24.5</v>
      </c>
      <c r="AX46" s="2">
        <v>8</v>
      </c>
      <c r="AY46" s="2">
        <v>9.5</v>
      </c>
      <c r="AZ46" s="2">
        <v>7</v>
      </c>
      <c r="BA46" s="2">
        <v>1.5</v>
      </c>
      <c r="BC46" t="s">
        <v>234</v>
      </c>
      <c r="BD46" t="s">
        <v>235</v>
      </c>
      <c r="BE46" t="s">
        <v>236</v>
      </c>
      <c r="BF46" t="s">
        <v>263</v>
      </c>
      <c r="BG46" t="s">
        <v>261</v>
      </c>
      <c r="BH46" t="s">
        <v>269</v>
      </c>
      <c r="BJ46" s="2" t="s">
        <v>214</v>
      </c>
      <c r="BK46" s="2" t="s">
        <v>381</v>
      </c>
      <c r="BL46" s="1" t="s">
        <v>221</v>
      </c>
      <c r="BM46" s="1">
        <v>6</v>
      </c>
      <c r="BN46" s="1">
        <v>4.5</v>
      </c>
      <c r="BO46" s="1">
        <v>2.5</v>
      </c>
      <c r="BP46" s="1">
        <v>7</v>
      </c>
      <c r="BQ46" s="1" t="s">
        <v>21</v>
      </c>
      <c r="BR46" s="2" t="s">
        <v>223</v>
      </c>
      <c r="BS46" s="2">
        <v>5</v>
      </c>
      <c r="BT46" s="2">
        <v>6</v>
      </c>
      <c r="BU46" s="2">
        <v>4</v>
      </c>
      <c r="BV46" s="2">
        <v>6</v>
      </c>
      <c r="BW46" s="2">
        <v>7</v>
      </c>
      <c r="BX46" s="3" t="s">
        <v>382</v>
      </c>
      <c r="BY46" s="1" t="s">
        <v>230</v>
      </c>
    </row>
    <row r="47" spans="1:77" x14ac:dyDescent="0.25">
      <c r="A47">
        <v>7</v>
      </c>
      <c r="B47" t="s">
        <v>14</v>
      </c>
      <c r="C47">
        <v>16452</v>
      </c>
      <c r="D47" t="s">
        <v>51</v>
      </c>
      <c r="E47" s="1" t="s">
        <v>13</v>
      </c>
      <c r="G47" s="1">
        <v>9.5</v>
      </c>
      <c r="H47" s="2">
        <v>6</v>
      </c>
      <c r="I47" s="2">
        <f t="shared" si="11"/>
        <v>2</v>
      </c>
      <c r="J47" s="3">
        <f t="shared" si="12"/>
        <v>5</v>
      </c>
      <c r="K47" s="1">
        <v>7</v>
      </c>
      <c r="N47" s="1">
        <v>27</v>
      </c>
      <c r="O47" s="3">
        <v>17</v>
      </c>
      <c r="P47" s="2">
        <f t="shared" si="13"/>
        <v>5.5</v>
      </c>
      <c r="Q47" s="3">
        <f t="shared" si="14"/>
        <v>5.5</v>
      </c>
      <c r="R47" s="1">
        <v>35.5</v>
      </c>
      <c r="U47" s="1">
        <v>17.5</v>
      </c>
      <c r="V47" s="3">
        <v>12</v>
      </c>
      <c r="W47" s="2">
        <f t="shared" si="15"/>
        <v>4</v>
      </c>
      <c r="X47" s="3">
        <f t="shared" si="16"/>
        <v>3</v>
      </c>
      <c r="Y47" s="1">
        <v>5.5</v>
      </c>
      <c r="AB47" s="1">
        <v>7.5</v>
      </c>
      <c r="AC47" s="3">
        <v>4</v>
      </c>
      <c r="AD47" s="2">
        <f t="shared" si="17"/>
        <v>1.5</v>
      </c>
      <c r="AE47" s="3">
        <f t="shared" si="18"/>
        <v>3</v>
      </c>
      <c r="AF47" s="1">
        <v>11.5</v>
      </c>
      <c r="AI47" s="1">
        <v>11.5</v>
      </c>
      <c r="AJ47" s="3">
        <v>10</v>
      </c>
      <c r="AK47" s="2">
        <f t="shared" si="19"/>
        <v>3</v>
      </c>
      <c r="AL47" s="3">
        <f t="shared" si="20"/>
        <v>4</v>
      </c>
      <c r="AM47" s="1">
        <v>5</v>
      </c>
      <c r="AN47" s="1">
        <f t="shared" si="10"/>
        <v>12</v>
      </c>
      <c r="AP47" s="1">
        <v>5</v>
      </c>
      <c r="AQ47" s="2">
        <v>4</v>
      </c>
      <c r="AR47" s="1">
        <v>4.5</v>
      </c>
      <c r="AS47" s="2">
        <v>2</v>
      </c>
      <c r="AU47" s="2">
        <v>9</v>
      </c>
      <c r="AV47" s="1">
        <v>20</v>
      </c>
      <c r="AX47" s="2">
        <v>7.5</v>
      </c>
      <c r="AY47" s="2">
        <v>10</v>
      </c>
      <c r="AZ47" s="2">
        <v>7</v>
      </c>
      <c r="BA47" s="2" t="s">
        <v>20</v>
      </c>
      <c r="BC47" t="s">
        <v>234</v>
      </c>
      <c r="BD47" t="s">
        <v>235</v>
      </c>
      <c r="BE47" t="s">
        <v>236</v>
      </c>
      <c r="BF47" t="s">
        <v>263</v>
      </c>
      <c r="BG47" t="s">
        <v>261</v>
      </c>
      <c r="BH47" t="s">
        <v>262</v>
      </c>
      <c r="BJ47" s="2" t="s">
        <v>214</v>
      </c>
      <c r="BK47" s="2" t="s">
        <v>381</v>
      </c>
      <c r="BL47" s="1" t="s">
        <v>221</v>
      </c>
      <c r="BM47" s="1">
        <v>6.5</v>
      </c>
      <c r="BN47" s="1">
        <v>4.5</v>
      </c>
      <c r="BO47" s="1">
        <v>1</v>
      </c>
      <c r="BP47" s="1">
        <v>2.5</v>
      </c>
      <c r="BQ47" s="1">
        <v>4.5</v>
      </c>
      <c r="BR47" s="2" t="s">
        <v>223</v>
      </c>
      <c r="BS47" s="2">
        <v>3.5</v>
      </c>
      <c r="BT47" s="2">
        <v>6</v>
      </c>
      <c r="BU47" s="2">
        <v>5</v>
      </c>
      <c r="BV47" s="2">
        <v>3</v>
      </c>
      <c r="BW47" s="2">
        <v>3</v>
      </c>
      <c r="BX47" s="3" t="s">
        <v>382</v>
      </c>
      <c r="BY47" s="1" t="s">
        <v>230</v>
      </c>
    </row>
    <row r="48" spans="1:77" x14ac:dyDescent="0.25">
      <c r="A48">
        <v>8</v>
      </c>
      <c r="B48" t="s">
        <v>14</v>
      </c>
      <c r="C48">
        <v>16470</v>
      </c>
      <c r="D48" t="s">
        <v>56</v>
      </c>
      <c r="E48" s="1" t="s">
        <v>13</v>
      </c>
      <c r="G48" s="1">
        <v>26.5</v>
      </c>
      <c r="H48" s="2">
        <v>21</v>
      </c>
      <c r="I48" s="2">
        <f t="shared" si="11"/>
        <v>6</v>
      </c>
      <c r="J48" s="3">
        <f t="shared" si="12"/>
        <v>6.5</v>
      </c>
      <c r="K48" s="1">
        <v>38</v>
      </c>
      <c r="N48" s="1">
        <v>27</v>
      </c>
      <c r="O48" s="3">
        <v>26.5</v>
      </c>
      <c r="P48" s="2">
        <f t="shared" si="13"/>
        <v>7</v>
      </c>
      <c r="Q48" s="3">
        <f t="shared" si="14"/>
        <v>10</v>
      </c>
      <c r="R48" s="1">
        <v>54.5</v>
      </c>
      <c r="U48" s="1">
        <v>21</v>
      </c>
      <c r="V48" s="3">
        <v>15</v>
      </c>
      <c r="W48" s="2">
        <f t="shared" si="15"/>
        <v>4.5</v>
      </c>
      <c r="X48" s="3">
        <f t="shared" si="16"/>
        <v>5</v>
      </c>
      <c r="Y48" s="1">
        <v>41</v>
      </c>
      <c r="AB48" s="1">
        <v>24</v>
      </c>
      <c r="AC48" s="3">
        <v>30</v>
      </c>
      <c r="AD48" s="2">
        <f t="shared" si="17"/>
        <v>7</v>
      </c>
      <c r="AE48" s="3">
        <f t="shared" si="18"/>
        <v>8.5</v>
      </c>
      <c r="AF48" s="1">
        <v>48</v>
      </c>
      <c r="AI48" s="1">
        <v>22</v>
      </c>
      <c r="AJ48" s="3">
        <v>25</v>
      </c>
      <c r="AK48" s="2">
        <f t="shared" si="19"/>
        <v>6</v>
      </c>
      <c r="AL48" s="3">
        <f t="shared" si="20"/>
        <v>8</v>
      </c>
      <c r="AM48" s="1">
        <v>40</v>
      </c>
      <c r="AN48" s="1">
        <f t="shared" si="10"/>
        <v>54</v>
      </c>
      <c r="AP48" s="1">
        <v>14</v>
      </c>
      <c r="AQ48" s="2">
        <v>11.5</v>
      </c>
      <c r="AR48" s="1">
        <v>12</v>
      </c>
      <c r="AS48" s="2">
        <v>5</v>
      </c>
      <c r="AU48" s="2" t="s">
        <v>21</v>
      </c>
      <c r="AV48" s="1">
        <v>33</v>
      </c>
      <c r="AX48" s="2">
        <v>9</v>
      </c>
      <c r="AY48" s="2">
        <v>10</v>
      </c>
      <c r="AZ48" s="2">
        <v>8</v>
      </c>
      <c r="BA48" s="2">
        <v>7.5</v>
      </c>
      <c r="BC48" t="s">
        <v>234</v>
      </c>
      <c r="BD48" t="s">
        <v>235</v>
      </c>
      <c r="BE48" t="s">
        <v>236</v>
      </c>
      <c r="BF48" t="s">
        <v>270</v>
      </c>
      <c r="BG48" t="s">
        <v>264</v>
      </c>
      <c r="BH48" t="s">
        <v>241</v>
      </c>
      <c r="BJ48" s="2" t="s">
        <v>214</v>
      </c>
      <c r="BK48" s="2" t="s">
        <v>381</v>
      </c>
      <c r="BL48" s="1" t="s">
        <v>221</v>
      </c>
      <c r="BM48" s="1">
        <v>5</v>
      </c>
      <c r="BN48" s="1">
        <v>9.5</v>
      </c>
      <c r="BO48" s="1">
        <v>4</v>
      </c>
      <c r="BP48" s="1">
        <v>9</v>
      </c>
      <c r="BQ48" s="1">
        <v>7.5</v>
      </c>
      <c r="BR48" s="2" t="s">
        <v>223</v>
      </c>
      <c r="BS48" s="2">
        <v>8</v>
      </c>
      <c r="BT48" s="2">
        <v>10</v>
      </c>
      <c r="BU48" s="2">
        <v>6</v>
      </c>
      <c r="BV48" s="2">
        <v>7.5</v>
      </c>
      <c r="BW48" s="2">
        <v>8</v>
      </c>
      <c r="BX48" s="3" t="s">
        <v>382</v>
      </c>
      <c r="BY48" s="1" t="s">
        <v>230</v>
      </c>
    </row>
    <row r="49" spans="1:77" x14ac:dyDescent="0.25">
      <c r="A49">
        <v>9</v>
      </c>
      <c r="B49" t="s">
        <v>14</v>
      </c>
      <c r="C49">
        <v>16509</v>
      </c>
      <c r="D49" t="s">
        <v>61</v>
      </c>
      <c r="E49" s="1" t="s">
        <v>13</v>
      </c>
      <c r="G49" s="1">
        <v>32</v>
      </c>
      <c r="H49" s="2">
        <v>26.5</v>
      </c>
      <c r="I49" s="2">
        <f t="shared" si="11"/>
        <v>7.5</v>
      </c>
      <c r="J49" s="3">
        <f t="shared" si="12"/>
        <v>8.5</v>
      </c>
      <c r="K49" s="1">
        <v>49</v>
      </c>
      <c r="N49" s="1">
        <v>38.5</v>
      </c>
      <c r="O49" s="3">
        <v>38.5</v>
      </c>
      <c r="P49" s="2">
        <f t="shared" si="13"/>
        <v>10</v>
      </c>
      <c r="Q49" s="3">
        <f t="shared" si="14"/>
        <v>10</v>
      </c>
      <c r="R49" s="1">
        <v>74.5</v>
      </c>
      <c r="U49" s="1">
        <v>35</v>
      </c>
      <c r="V49" s="3">
        <v>31.5</v>
      </c>
      <c r="W49" s="2">
        <f t="shared" si="15"/>
        <v>8.5</v>
      </c>
      <c r="X49" s="3">
        <f t="shared" si="16"/>
        <v>5.5</v>
      </c>
      <c r="Y49" s="1">
        <v>61</v>
      </c>
      <c r="AB49" s="1">
        <v>26</v>
      </c>
      <c r="AC49" s="3">
        <v>29.5</v>
      </c>
      <c r="AD49" s="2">
        <f t="shared" si="17"/>
        <v>7</v>
      </c>
      <c r="AE49" s="3">
        <f t="shared" si="18"/>
        <v>9</v>
      </c>
      <c r="AF49" s="1">
        <v>60</v>
      </c>
      <c r="AI49" s="1">
        <v>33.5</v>
      </c>
      <c r="AJ49" s="3">
        <v>34.5</v>
      </c>
      <c r="AK49" s="2">
        <f t="shared" si="19"/>
        <v>8.5</v>
      </c>
      <c r="AL49" s="3">
        <f t="shared" si="20"/>
        <v>9</v>
      </c>
      <c r="AM49" s="1">
        <v>59</v>
      </c>
      <c r="AN49" s="1">
        <f t="shared" si="10"/>
        <v>76.5</v>
      </c>
      <c r="AP49" s="1">
        <v>20</v>
      </c>
      <c r="AQ49" s="2">
        <v>20</v>
      </c>
      <c r="AR49" s="1">
        <v>23.5</v>
      </c>
      <c r="AS49" s="2">
        <v>8</v>
      </c>
      <c r="AU49" s="2">
        <v>19.5</v>
      </c>
      <c r="AV49" s="1">
        <v>30.5</v>
      </c>
      <c r="AX49" s="2">
        <v>9</v>
      </c>
      <c r="AY49" s="2">
        <v>10</v>
      </c>
      <c r="AZ49" s="2">
        <v>8</v>
      </c>
      <c r="BA49" s="2">
        <v>8</v>
      </c>
      <c r="BC49" t="s">
        <v>234</v>
      </c>
      <c r="BD49" t="s">
        <v>235</v>
      </c>
      <c r="BE49" t="s">
        <v>236</v>
      </c>
      <c r="BF49" t="s">
        <v>267</v>
      </c>
      <c r="BG49" t="s">
        <v>272</v>
      </c>
      <c r="BH49" t="s">
        <v>271</v>
      </c>
      <c r="BJ49" s="2" t="s">
        <v>214</v>
      </c>
      <c r="BK49" s="2" t="s">
        <v>381</v>
      </c>
      <c r="BL49" s="1" t="s">
        <v>221</v>
      </c>
      <c r="BM49" s="1">
        <v>9</v>
      </c>
      <c r="BN49" s="1">
        <v>10</v>
      </c>
      <c r="BO49" s="1">
        <v>5</v>
      </c>
      <c r="BP49" s="1">
        <v>9.5</v>
      </c>
      <c r="BQ49" s="1">
        <v>8.5</v>
      </c>
      <c r="BR49" s="2" t="s">
        <v>223</v>
      </c>
      <c r="BS49" s="2">
        <v>7.5</v>
      </c>
      <c r="BT49" s="2">
        <v>10</v>
      </c>
      <c r="BU49" s="2">
        <v>6</v>
      </c>
      <c r="BV49" s="2">
        <v>8</v>
      </c>
      <c r="BW49" s="2">
        <v>9.5</v>
      </c>
      <c r="BX49" s="3" t="s">
        <v>382</v>
      </c>
      <c r="BY49" s="1" t="s">
        <v>230</v>
      </c>
    </row>
    <row r="50" spans="1:77" x14ac:dyDescent="0.25">
      <c r="A50">
        <v>10</v>
      </c>
      <c r="B50" t="s">
        <v>14</v>
      </c>
      <c r="C50">
        <v>16675</v>
      </c>
      <c r="D50" t="s">
        <v>66</v>
      </c>
      <c r="E50" s="1" t="s">
        <v>13</v>
      </c>
      <c r="G50" s="1">
        <v>24</v>
      </c>
      <c r="H50" s="2">
        <v>19.5</v>
      </c>
      <c r="I50" s="2">
        <f t="shared" si="11"/>
        <v>5.5</v>
      </c>
      <c r="J50" s="3">
        <f t="shared" si="12"/>
        <v>6.5</v>
      </c>
      <c r="K50" s="1">
        <v>28</v>
      </c>
      <c r="N50" s="1">
        <v>25</v>
      </c>
      <c r="O50" s="3">
        <v>21</v>
      </c>
      <c r="P50" s="2">
        <f t="shared" si="13"/>
        <v>6</v>
      </c>
      <c r="Q50" s="3">
        <f t="shared" si="14"/>
        <v>10</v>
      </c>
      <c r="R50" s="1">
        <v>41.5</v>
      </c>
      <c r="U50" s="1">
        <v>29.5</v>
      </c>
      <c r="V50" s="3">
        <v>16.5</v>
      </c>
      <c r="W50" s="2">
        <f t="shared" si="15"/>
        <v>6</v>
      </c>
      <c r="X50" s="3">
        <f t="shared" si="16"/>
        <v>3.5</v>
      </c>
      <c r="Y50" s="1">
        <v>37.5</v>
      </c>
      <c r="AB50" s="1">
        <v>7.5</v>
      </c>
      <c r="AC50" s="3">
        <v>18</v>
      </c>
      <c r="AD50" s="2">
        <f t="shared" si="17"/>
        <v>3.5</v>
      </c>
      <c r="AE50" s="3">
        <f t="shared" si="18"/>
        <v>7.5</v>
      </c>
      <c r="AF50" s="1">
        <v>29.5</v>
      </c>
      <c r="AI50" s="1">
        <v>16.5</v>
      </c>
      <c r="AJ50" s="3">
        <v>14.5</v>
      </c>
      <c r="AK50" s="2">
        <f t="shared" si="19"/>
        <v>4</v>
      </c>
      <c r="AL50" s="3">
        <f t="shared" si="20"/>
        <v>8</v>
      </c>
      <c r="AM50" s="1">
        <v>25.5</v>
      </c>
      <c r="AN50" s="1">
        <f t="shared" si="10"/>
        <v>37.5</v>
      </c>
      <c r="AP50" s="1">
        <v>6.5</v>
      </c>
      <c r="AQ50" s="2">
        <v>11</v>
      </c>
      <c r="AR50" s="1">
        <v>12.5</v>
      </c>
      <c r="AS50" s="2">
        <v>5</v>
      </c>
      <c r="AU50" s="2">
        <v>14</v>
      </c>
      <c r="AV50" s="1">
        <v>26.5</v>
      </c>
      <c r="AX50" s="2">
        <v>9</v>
      </c>
      <c r="AY50" s="2">
        <v>10</v>
      </c>
      <c r="AZ50" s="2">
        <v>8</v>
      </c>
      <c r="BA50" s="2">
        <v>3.5</v>
      </c>
      <c r="BC50" t="s">
        <v>234</v>
      </c>
      <c r="BD50" t="s">
        <v>235</v>
      </c>
      <c r="BE50" t="s">
        <v>236</v>
      </c>
      <c r="BF50" t="s">
        <v>260</v>
      </c>
      <c r="BG50" t="s">
        <v>264</v>
      </c>
      <c r="BH50" t="s">
        <v>273</v>
      </c>
      <c r="BJ50" s="2" t="s">
        <v>214</v>
      </c>
      <c r="BK50" s="2" t="s">
        <v>381</v>
      </c>
      <c r="BL50" s="1" t="s">
        <v>221</v>
      </c>
      <c r="BM50" s="1">
        <v>4.5</v>
      </c>
      <c r="BN50" s="1">
        <v>9.5</v>
      </c>
      <c r="BO50" s="1">
        <v>2</v>
      </c>
      <c r="BP50" s="1">
        <v>8.5</v>
      </c>
      <c r="BQ50" s="1">
        <v>6.5</v>
      </c>
      <c r="BR50" s="2" t="s">
        <v>223</v>
      </c>
      <c r="BS50" s="2">
        <v>8</v>
      </c>
      <c r="BT50" s="2">
        <v>10</v>
      </c>
      <c r="BU50" s="2">
        <v>4.5</v>
      </c>
      <c r="BV50" s="2">
        <v>6</v>
      </c>
      <c r="BW50" s="2">
        <v>9</v>
      </c>
      <c r="BX50" s="3" t="s">
        <v>382</v>
      </c>
      <c r="BY50" s="1" t="s">
        <v>230</v>
      </c>
    </row>
    <row r="51" spans="1:77" x14ac:dyDescent="0.25">
      <c r="A51">
        <v>11</v>
      </c>
      <c r="B51" t="s">
        <v>14</v>
      </c>
      <c r="C51">
        <v>16697</v>
      </c>
      <c r="D51" t="s">
        <v>71</v>
      </c>
      <c r="E51" s="1" t="s">
        <v>13</v>
      </c>
      <c r="G51" s="1">
        <v>35</v>
      </c>
      <c r="H51" s="2">
        <v>24.5</v>
      </c>
      <c r="I51" s="2">
        <f t="shared" si="11"/>
        <v>7.5</v>
      </c>
      <c r="J51" s="3">
        <f t="shared" si="12"/>
        <v>8</v>
      </c>
      <c r="K51" s="1">
        <v>51</v>
      </c>
      <c r="N51" s="1">
        <v>26</v>
      </c>
      <c r="O51" s="3">
        <v>25.5</v>
      </c>
      <c r="P51" s="2">
        <f t="shared" si="13"/>
        <v>6.5</v>
      </c>
      <c r="Q51" s="3">
        <f t="shared" si="14"/>
        <v>9.5</v>
      </c>
      <c r="R51" s="1">
        <v>60.5</v>
      </c>
      <c r="U51" s="1">
        <v>36</v>
      </c>
      <c r="V51" s="3">
        <v>25.5</v>
      </c>
      <c r="W51" s="2">
        <f t="shared" si="15"/>
        <v>8</v>
      </c>
      <c r="X51" s="3">
        <f t="shared" si="16"/>
        <v>8</v>
      </c>
      <c r="Y51" s="1">
        <v>64.5</v>
      </c>
      <c r="AB51" s="1">
        <v>29.5</v>
      </c>
      <c r="AC51" s="3">
        <v>22.5</v>
      </c>
      <c r="AD51" s="2">
        <f t="shared" si="17"/>
        <v>6.5</v>
      </c>
      <c r="AE51" s="3">
        <f t="shared" si="18"/>
        <v>7.5</v>
      </c>
      <c r="AF51" s="1">
        <v>54</v>
      </c>
      <c r="AI51" s="1">
        <v>29</v>
      </c>
      <c r="AJ51" s="3">
        <v>33</v>
      </c>
      <c r="AK51" s="2">
        <f t="shared" si="19"/>
        <v>8</v>
      </c>
      <c r="AL51" s="3">
        <f t="shared" si="20"/>
        <v>6.5</v>
      </c>
      <c r="AM51" s="1">
        <v>58.5</v>
      </c>
      <c r="AN51" s="1">
        <f t="shared" si="10"/>
        <v>73</v>
      </c>
      <c r="AP51" s="1">
        <v>11.5</v>
      </c>
      <c r="AQ51" s="2">
        <v>7.5</v>
      </c>
      <c r="AR51" s="1">
        <v>13</v>
      </c>
      <c r="AS51" s="2">
        <v>4</v>
      </c>
      <c r="AU51" s="2">
        <v>16</v>
      </c>
      <c r="AV51" s="1">
        <v>32</v>
      </c>
      <c r="AX51" s="2">
        <v>8.5</v>
      </c>
      <c r="AY51" s="2">
        <v>10</v>
      </c>
      <c r="AZ51" s="2">
        <v>8</v>
      </c>
      <c r="BA51" s="2">
        <v>5</v>
      </c>
      <c r="BC51" t="s">
        <v>234</v>
      </c>
      <c r="BD51" t="s">
        <v>235</v>
      </c>
      <c r="BE51" t="s">
        <v>236</v>
      </c>
      <c r="BF51" t="s">
        <v>274</v>
      </c>
      <c r="BG51" t="s">
        <v>261</v>
      </c>
      <c r="BH51" t="s">
        <v>239</v>
      </c>
      <c r="BJ51" s="2" t="s">
        <v>214</v>
      </c>
      <c r="BK51" s="2" t="s">
        <v>381</v>
      </c>
      <c r="BL51" s="1" t="s">
        <v>221</v>
      </c>
      <c r="BM51" s="1">
        <v>8.5</v>
      </c>
      <c r="BN51" s="1">
        <v>9</v>
      </c>
      <c r="BO51" s="1">
        <v>10</v>
      </c>
      <c r="BP51" s="1">
        <v>8.5</v>
      </c>
      <c r="BQ51" s="1">
        <v>5</v>
      </c>
      <c r="BR51" s="2" t="s">
        <v>223</v>
      </c>
      <c r="BS51" s="2">
        <v>7.5</v>
      </c>
      <c r="BT51" s="2">
        <v>10</v>
      </c>
      <c r="BU51" s="2">
        <v>5.5</v>
      </c>
      <c r="BV51" s="2">
        <v>6.5</v>
      </c>
      <c r="BW51" s="2">
        <v>8</v>
      </c>
      <c r="BX51" s="3" t="s">
        <v>382</v>
      </c>
      <c r="BY51" s="1" t="s">
        <v>230</v>
      </c>
    </row>
    <row r="52" spans="1:77" x14ac:dyDescent="0.25">
      <c r="A52">
        <v>12</v>
      </c>
      <c r="B52" t="s">
        <v>14</v>
      </c>
      <c r="C52">
        <v>17961</v>
      </c>
      <c r="D52" t="s">
        <v>76</v>
      </c>
      <c r="E52" s="1" t="s">
        <v>13</v>
      </c>
      <c r="G52" s="1">
        <v>28.5</v>
      </c>
      <c r="H52" s="2">
        <v>29</v>
      </c>
      <c r="I52" s="2">
        <f t="shared" si="11"/>
        <v>7.5</v>
      </c>
      <c r="J52" s="3">
        <f t="shared" si="12"/>
        <v>7</v>
      </c>
      <c r="K52" s="1">
        <v>48</v>
      </c>
      <c r="N52" s="1">
        <v>23</v>
      </c>
      <c r="O52" s="3">
        <v>22</v>
      </c>
      <c r="P52" s="2">
        <f t="shared" si="13"/>
        <v>6</v>
      </c>
      <c r="Q52" s="3">
        <f t="shared" si="14"/>
        <v>9.5</v>
      </c>
      <c r="R52" s="1">
        <v>28.5</v>
      </c>
      <c r="U52" s="1">
        <v>31.5</v>
      </c>
      <c r="V52" s="3">
        <v>17</v>
      </c>
      <c r="W52" s="2">
        <f t="shared" si="15"/>
        <v>6.5</v>
      </c>
      <c r="X52" s="3">
        <f t="shared" si="16"/>
        <v>4</v>
      </c>
      <c r="Y52" s="1">
        <v>26.5</v>
      </c>
      <c r="AB52" s="1">
        <v>12.5</v>
      </c>
      <c r="AC52" s="3">
        <v>18</v>
      </c>
      <c r="AD52" s="2">
        <f t="shared" si="17"/>
        <v>4</v>
      </c>
      <c r="AE52" s="3">
        <f t="shared" si="18"/>
        <v>7.5</v>
      </c>
      <c r="AF52" s="1">
        <v>31.5</v>
      </c>
      <c r="AI52" s="1">
        <v>12.5</v>
      </c>
      <c r="AJ52" s="3">
        <v>13</v>
      </c>
      <c r="AK52" s="2">
        <f t="shared" si="19"/>
        <v>3.5</v>
      </c>
      <c r="AL52" s="3">
        <f t="shared" si="20"/>
        <v>5.5</v>
      </c>
      <c r="AM52" s="1">
        <v>17</v>
      </c>
      <c r="AN52" s="1">
        <f t="shared" si="10"/>
        <v>26</v>
      </c>
      <c r="AP52" s="1">
        <v>5.5</v>
      </c>
      <c r="AQ52" s="2">
        <v>3.6</v>
      </c>
      <c r="AR52" s="1" t="s">
        <v>20</v>
      </c>
      <c r="AS52" s="2">
        <v>6</v>
      </c>
      <c r="AU52" s="2">
        <v>15.5</v>
      </c>
      <c r="AV52" s="1" t="s">
        <v>21</v>
      </c>
      <c r="AX52" s="2">
        <v>9</v>
      </c>
      <c r="AY52" s="2">
        <v>10</v>
      </c>
      <c r="AZ52" s="2">
        <v>8</v>
      </c>
      <c r="BA52" s="2">
        <v>3</v>
      </c>
      <c r="BC52" t="s">
        <v>234</v>
      </c>
      <c r="BD52" t="s">
        <v>235</v>
      </c>
      <c r="BE52" t="s">
        <v>236</v>
      </c>
      <c r="BF52" t="s">
        <v>263</v>
      </c>
      <c r="BG52" t="s">
        <v>264</v>
      </c>
      <c r="BH52" t="s">
        <v>275</v>
      </c>
      <c r="BJ52" s="2" t="s">
        <v>214</v>
      </c>
      <c r="BK52" s="2" t="s">
        <v>381</v>
      </c>
      <c r="BL52" s="1" t="s">
        <v>221</v>
      </c>
      <c r="BM52" s="1">
        <v>5.5</v>
      </c>
      <c r="BN52" s="1">
        <v>8.5</v>
      </c>
      <c r="BO52" s="1">
        <v>3</v>
      </c>
      <c r="BP52" s="1">
        <v>9</v>
      </c>
      <c r="BQ52" s="1">
        <v>6.5</v>
      </c>
      <c r="BR52" s="2" t="s">
        <v>223</v>
      </c>
      <c r="BS52" s="2">
        <v>8.5</v>
      </c>
      <c r="BT52" s="2">
        <v>10</v>
      </c>
      <c r="BU52" s="2">
        <v>4.5</v>
      </c>
      <c r="BV52" s="2">
        <v>6</v>
      </c>
      <c r="BW52" s="2">
        <v>4.5</v>
      </c>
      <c r="BX52" s="3" t="s">
        <v>382</v>
      </c>
      <c r="BY52" s="1" t="s">
        <v>230</v>
      </c>
    </row>
    <row r="53" spans="1:77" x14ac:dyDescent="0.25">
      <c r="A53">
        <v>13</v>
      </c>
      <c r="B53" t="s">
        <v>14</v>
      </c>
      <c r="C53">
        <v>16700</v>
      </c>
      <c r="D53" t="s">
        <v>81</v>
      </c>
      <c r="E53" s="1" t="s">
        <v>13</v>
      </c>
      <c r="G53" s="1">
        <v>15.5</v>
      </c>
      <c r="H53" s="2">
        <v>12.5</v>
      </c>
      <c r="I53" s="2">
        <f t="shared" si="11"/>
        <v>3.5</v>
      </c>
      <c r="J53" s="3">
        <f t="shared" si="12"/>
        <v>4</v>
      </c>
      <c r="K53" s="1">
        <v>17.5</v>
      </c>
      <c r="N53" s="1">
        <v>24</v>
      </c>
      <c r="O53" s="3">
        <v>21</v>
      </c>
      <c r="P53" s="2">
        <f t="shared" si="13"/>
        <v>6</v>
      </c>
      <c r="Q53" s="3">
        <f t="shared" si="14"/>
        <v>8</v>
      </c>
      <c r="R53" s="1">
        <v>31</v>
      </c>
      <c r="U53" s="1">
        <v>20</v>
      </c>
      <c r="V53" s="3">
        <v>16</v>
      </c>
      <c r="W53" s="2">
        <f t="shared" si="15"/>
        <v>4.5</v>
      </c>
      <c r="X53" s="3">
        <f t="shared" si="16"/>
        <v>3.5</v>
      </c>
      <c r="Y53" s="1">
        <v>22</v>
      </c>
      <c r="AB53" s="1">
        <v>6.5</v>
      </c>
      <c r="AC53" s="3">
        <v>9.5</v>
      </c>
      <c r="AD53" s="2">
        <f t="shared" si="17"/>
        <v>2</v>
      </c>
      <c r="AE53" s="3">
        <f t="shared" si="18"/>
        <v>7</v>
      </c>
      <c r="AF53" s="1">
        <v>26.5</v>
      </c>
      <c r="AI53" s="1">
        <v>16.5</v>
      </c>
      <c r="AJ53" s="3">
        <v>7</v>
      </c>
      <c r="AK53" s="2">
        <f t="shared" si="19"/>
        <v>3</v>
      </c>
      <c r="AL53" s="3">
        <f t="shared" si="20"/>
        <v>4</v>
      </c>
      <c r="AM53" s="1">
        <v>9.5</v>
      </c>
      <c r="AN53" s="1">
        <f t="shared" si="10"/>
        <v>16.5</v>
      </c>
      <c r="AP53" s="1">
        <v>5.5</v>
      </c>
      <c r="AQ53" s="2">
        <v>6</v>
      </c>
      <c r="AR53" s="1">
        <v>13</v>
      </c>
      <c r="AS53" s="2">
        <v>4</v>
      </c>
      <c r="AU53" s="2">
        <v>12</v>
      </c>
      <c r="AV53" s="1">
        <v>27</v>
      </c>
      <c r="AX53" s="2">
        <v>8.5</v>
      </c>
      <c r="AY53" s="2">
        <v>10</v>
      </c>
      <c r="AZ53" s="2">
        <v>8</v>
      </c>
      <c r="BA53" s="2">
        <v>4</v>
      </c>
      <c r="BC53" t="s">
        <v>234</v>
      </c>
      <c r="BD53" t="s">
        <v>235</v>
      </c>
      <c r="BE53" t="s">
        <v>236</v>
      </c>
      <c r="BF53" t="s">
        <v>263</v>
      </c>
      <c r="BG53" t="s">
        <v>264</v>
      </c>
      <c r="BH53" t="s">
        <v>276</v>
      </c>
      <c r="BJ53" s="2" t="s">
        <v>214</v>
      </c>
      <c r="BK53" s="2" t="s">
        <v>381</v>
      </c>
      <c r="BL53" s="1" t="s">
        <v>221</v>
      </c>
      <c r="BM53" s="1">
        <v>3.5</v>
      </c>
      <c r="BN53" s="1">
        <v>6.5</v>
      </c>
      <c r="BO53" s="1">
        <v>3</v>
      </c>
      <c r="BP53" s="1">
        <v>8.5</v>
      </c>
      <c r="BQ53" s="1">
        <v>5</v>
      </c>
      <c r="BR53" s="2" t="s">
        <v>223</v>
      </c>
      <c r="BS53" s="2">
        <v>4</v>
      </c>
      <c r="BT53" s="2">
        <v>9</v>
      </c>
      <c r="BU53" s="2">
        <v>4</v>
      </c>
      <c r="BV53" s="2">
        <v>5</v>
      </c>
      <c r="BW53" s="2">
        <v>3</v>
      </c>
      <c r="BX53" s="3" t="s">
        <v>382</v>
      </c>
      <c r="BY53" s="1" t="s">
        <v>230</v>
      </c>
    </row>
    <row r="54" spans="1:77" x14ac:dyDescent="0.25">
      <c r="A54">
        <v>14</v>
      </c>
      <c r="B54" t="s">
        <v>14</v>
      </c>
      <c r="C54">
        <v>17951</v>
      </c>
      <c r="D54" t="s">
        <v>86</v>
      </c>
      <c r="E54" s="1" t="s">
        <v>13</v>
      </c>
      <c r="G54" s="1">
        <v>25</v>
      </c>
      <c r="H54" s="2">
        <v>27</v>
      </c>
      <c r="I54" s="2">
        <f t="shared" si="11"/>
        <v>6.5</v>
      </c>
      <c r="J54" s="3">
        <f t="shared" si="12"/>
        <v>6.5</v>
      </c>
      <c r="K54" s="1">
        <v>35</v>
      </c>
      <c r="N54" s="1">
        <v>27</v>
      </c>
      <c r="O54" s="3">
        <v>29.5</v>
      </c>
      <c r="P54" s="2">
        <f t="shared" si="13"/>
        <v>7.5</v>
      </c>
      <c r="Q54" s="3">
        <f t="shared" si="14"/>
        <v>9.5</v>
      </c>
      <c r="R54" s="1">
        <v>55.5</v>
      </c>
      <c r="U54" s="1">
        <v>29</v>
      </c>
      <c r="V54" s="3">
        <v>14.5</v>
      </c>
      <c r="W54" s="2">
        <f t="shared" si="15"/>
        <v>5.5</v>
      </c>
      <c r="X54" s="3">
        <f t="shared" si="16"/>
        <v>4.5</v>
      </c>
      <c r="Y54" s="1">
        <v>34</v>
      </c>
      <c r="AB54" s="1">
        <v>23</v>
      </c>
      <c r="AC54" s="3">
        <v>21</v>
      </c>
      <c r="AD54" s="2">
        <f t="shared" si="17"/>
        <v>5.5</v>
      </c>
      <c r="AE54" s="3">
        <f t="shared" si="18"/>
        <v>8.5</v>
      </c>
      <c r="AF54" s="1">
        <v>51</v>
      </c>
      <c r="AI54" s="1">
        <v>13</v>
      </c>
      <c r="AJ54" s="3">
        <v>18</v>
      </c>
      <c r="AK54" s="2">
        <f t="shared" si="19"/>
        <v>4</v>
      </c>
      <c r="AL54" s="3">
        <f t="shared" si="20"/>
        <v>7</v>
      </c>
      <c r="AM54" s="1">
        <v>29</v>
      </c>
      <c r="AN54" s="1">
        <f t="shared" si="10"/>
        <v>40</v>
      </c>
      <c r="AP54" s="1">
        <v>8.5</v>
      </c>
      <c r="AQ54" s="2">
        <v>9.5</v>
      </c>
      <c r="AR54" s="1">
        <v>14</v>
      </c>
      <c r="AS54" s="2">
        <v>6</v>
      </c>
      <c r="AU54" s="2">
        <v>18</v>
      </c>
      <c r="AV54" s="1">
        <v>28</v>
      </c>
      <c r="AX54" s="2">
        <v>9</v>
      </c>
      <c r="AY54" s="2">
        <v>10</v>
      </c>
      <c r="AZ54" s="2">
        <v>8</v>
      </c>
      <c r="BA54" s="2">
        <v>5</v>
      </c>
      <c r="BC54" t="s">
        <v>234</v>
      </c>
      <c r="BD54" t="s">
        <v>235</v>
      </c>
      <c r="BE54" t="s">
        <v>236</v>
      </c>
      <c r="BF54" t="s">
        <v>263</v>
      </c>
      <c r="BG54" t="s">
        <v>261</v>
      </c>
      <c r="BH54" t="s">
        <v>277</v>
      </c>
      <c r="BJ54" s="2" t="s">
        <v>214</v>
      </c>
      <c r="BK54" s="2" t="s">
        <v>381</v>
      </c>
      <c r="BL54" s="1" t="s">
        <v>221</v>
      </c>
      <c r="BM54" s="1">
        <v>6.5</v>
      </c>
      <c r="BN54" s="1">
        <v>9</v>
      </c>
      <c r="BO54" s="1">
        <v>3</v>
      </c>
      <c r="BP54" s="1">
        <v>9.5</v>
      </c>
      <c r="BQ54" s="1">
        <v>6.5</v>
      </c>
      <c r="BR54" s="2" t="s">
        <v>223</v>
      </c>
      <c r="BS54" s="2">
        <v>6.5</v>
      </c>
      <c r="BT54" s="2">
        <v>10</v>
      </c>
      <c r="BU54" s="2">
        <v>5.5</v>
      </c>
      <c r="BV54" s="2">
        <v>7.5</v>
      </c>
      <c r="BW54" s="2">
        <v>7</v>
      </c>
      <c r="BX54" s="3" t="s">
        <v>382</v>
      </c>
      <c r="BY54" s="1" t="s">
        <v>230</v>
      </c>
    </row>
    <row r="55" spans="1:77" x14ac:dyDescent="0.25">
      <c r="A55">
        <v>15</v>
      </c>
      <c r="B55" t="s">
        <v>14</v>
      </c>
      <c r="C55">
        <v>17411</v>
      </c>
      <c r="D55" t="s">
        <v>91</v>
      </c>
      <c r="E55" s="1" t="s">
        <v>13</v>
      </c>
      <c r="G55" s="1">
        <v>32</v>
      </c>
      <c r="H55" s="2">
        <v>20.5</v>
      </c>
      <c r="I55" s="2">
        <f t="shared" si="11"/>
        <v>7</v>
      </c>
      <c r="J55" s="3">
        <f t="shared" si="12"/>
        <v>8</v>
      </c>
      <c r="K55" s="1">
        <v>45.5</v>
      </c>
      <c r="N55" s="1">
        <v>32</v>
      </c>
      <c r="O55" s="3">
        <v>34</v>
      </c>
      <c r="P55" s="2">
        <f t="shared" si="13"/>
        <v>8.5</v>
      </c>
      <c r="Q55" s="3">
        <f t="shared" si="14"/>
        <v>9</v>
      </c>
      <c r="R55" s="1">
        <v>62</v>
      </c>
      <c r="U55" s="1">
        <v>23</v>
      </c>
      <c r="V55" s="3" t="s">
        <v>21</v>
      </c>
      <c r="W55" s="2">
        <f t="shared" si="15"/>
        <v>3</v>
      </c>
      <c r="X55" s="3">
        <f t="shared" si="16"/>
        <v>7</v>
      </c>
      <c r="Y55" s="1">
        <v>51</v>
      </c>
      <c r="AB55" s="1">
        <v>32</v>
      </c>
      <c r="AC55" s="3">
        <v>28</v>
      </c>
      <c r="AD55" s="2">
        <f t="shared" si="17"/>
        <v>7.5</v>
      </c>
      <c r="AE55" s="3">
        <f t="shared" si="18"/>
        <v>6.5</v>
      </c>
      <c r="AF55" s="1">
        <v>61.5</v>
      </c>
      <c r="AI55" s="1">
        <v>36.5</v>
      </c>
      <c r="AJ55" s="3">
        <v>26</v>
      </c>
      <c r="AK55" s="2">
        <f t="shared" si="19"/>
        <v>8</v>
      </c>
      <c r="AL55" s="3">
        <f t="shared" si="20"/>
        <v>3.5</v>
      </c>
      <c r="AM55" s="1">
        <v>55</v>
      </c>
      <c r="AN55" s="1">
        <f t="shared" si="10"/>
        <v>66.5</v>
      </c>
      <c r="AP55" s="1">
        <v>11</v>
      </c>
      <c r="AQ55" s="2">
        <v>18</v>
      </c>
      <c r="AR55" s="1">
        <v>18.5</v>
      </c>
      <c r="AS55" s="2">
        <v>6</v>
      </c>
      <c r="AU55" s="2">
        <v>23.5</v>
      </c>
      <c r="AV55" s="1">
        <v>37</v>
      </c>
      <c r="AX55" s="2">
        <v>9</v>
      </c>
      <c r="AY55" s="2">
        <v>10</v>
      </c>
      <c r="AZ55" s="2">
        <v>8</v>
      </c>
      <c r="BA55" s="2">
        <v>6.5</v>
      </c>
      <c r="BC55" t="s">
        <v>234</v>
      </c>
      <c r="BD55" t="s">
        <v>235</v>
      </c>
      <c r="BE55" t="s">
        <v>236</v>
      </c>
      <c r="BF55" t="s">
        <v>263</v>
      </c>
      <c r="BG55" t="s">
        <v>261</v>
      </c>
      <c r="BH55" t="s">
        <v>278</v>
      </c>
      <c r="BJ55" s="2" t="s">
        <v>214</v>
      </c>
      <c r="BK55" s="2" t="s">
        <v>381</v>
      </c>
      <c r="BL55" s="1" t="s">
        <v>221</v>
      </c>
      <c r="BM55" s="1">
        <v>9</v>
      </c>
      <c r="BN55" s="1">
        <v>7.5</v>
      </c>
      <c r="BO55" s="1">
        <v>7</v>
      </c>
      <c r="BP55" s="1">
        <v>9.5</v>
      </c>
      <c r="BQ55" s="1">
        <v>7</v>
      </c>
      <c r="BR55" s="2" t="s">
        <v>223</v>
      </c>
      <c r="BS55" s="2">
        <v>7</v>
      </c>
      <c r="BT55" s="2">
        <v>10</v>
      </c>
      <c r="BU55" s="2">
        <v>7</v>
      </c>
      <c r="BV55" s="2">
        <v>3</v>
      </c>
      <c r="BW55" s="2" t="s">
        <v>21</v>
      </c>
      <c r="BX55" s="3" t="s">
        <v>382</v>
      </c>
      <c r="BY55" s="1" t="s">
        <v>230</v>
      </c>
    </row>
    <row r="56" spans="1:77" x14ac:dyDescent="0.25">
      <c r="A56">
        <v>16</v>
      </c>
      <c r="B56" t="s">
        <v>14</v>
      </c>
      <c r="C56">
        <v>17940</v>
      </c>
      <c r="D56" t="s">
        <v>96</v>
      </c>
      <c r="E56" s="1" t="s">
        <v>13</v>
      </c>
      <c r="G56" s="1">
        <v>24</v>
      </c>
      <c r="H56" s="2">
        <v>27</v>
      </c>
      <c r="I56" s="2">
        <f t="shared" si="11"/>
        <v>6.5</v>
      </c>
      <c r="J56" s="3">
        <f t="shared" si="12"/>
        <v>5.5</v>
      </c>
      <c r="K56" s="1">
        <v>52.5</v>
      </c>
      <c r="N56" s="1">
        <v>28.5</v>
      </c>
      <c r="O56" s="3">
        <v>23.5</v>
      </c>
      <c r="P56" s="2">
        <f t="shared" si="13"/>
        <v>6.5</v>
      </c>
      <c r="Q56" s="3">
        <f t="shared" si="14"/>
        <v>9.5</v>
      </c>
      <c r="R56" s="1">
        <v>59.5</v>
      </c>
      <c r="U56" s="1">
        <v>22.5</v>
      </c>
      <c r="V56" s="3">
        <v>25</v>
      </c>
      <c r="W56" s="2">
        <f t="shared" si="15"/>
        <v>6</v>
      </c>
      <c r="X56" s="3">
        <f t="shared" si="16"/>
        <v>2.5</v>
      </c>
      <c r="Y56" s="1">
        <v>61</v>
      </c>
      <c r="AB56" s="1">
        <v>26.5</v>
      </c>
      <c r="AC56" s="3">
        <v>34</v>
      </c>
      <c r="AD56" s="2">
        <f t="shared" si="17"/>
        <v>8</v>
      </c>
      <c r="AE56" s="3">
        <f t="shared" si="18"/>
        <v>7.5</v>
      </c>
      <c r="AF56" s="1">
        <v>57.5</v>
      </c>
      <c r="AI56" s="1">
        <v>34</v>
      </c>
      <c r="AJ56" s="3">
        <v>28</v>
      </c>
      <c r="AK56" s="2">
        <f t="shared" si="19"/>
        <v>8</v>
      </c>
      <c r="AL56" s="3">
        <f t="shared" si="20"/>
        <v>0</v>
      </c>
      <c r="AM56" s="1">
        <v>53</v>
      </c>
      <c r="AN56" s="1">
        <f t="shared" si="10"/>
        <v>61</v>
      </c>
      <c r="AP56" s="1">
        <v>17.5</v>
      </c>
      <c r="AQ56" s="2">
        <v>16.5</v>
      </c>
      <c r="AR56" s="1">
        <v>24</v>
      </c>
      <c r="AS56" s="2">
        <v>7</v>
      </c>
      <c r="AU56" s="2">
        <v>18</v>
      </c>
      <c r="AV56" s="1">
        <v>35.5</v>
      </c>
      <c r="AX56" s="2">
        <v>8</v>
      </c>
      <c r="AY56" s="2">
        <v>9.5</v>
      </c>
      <c r="AZ56" s="2">
        <v>8</v>
      </c>
      <c r="BA56" s="2">
        <v>6</v>
      </c>
      <c r="BC56" t="s">
        <v>234</v>
      </c>
      <c r="BD56" t="s">
        <v>235</v>
      </c>
      <c r="BE56" t="s">
        <v>236</v>
      </c>
      <c r="BF56" t="s">
        <v>280</v>
      </c>
      <c r="BG56" t="s">
        <v>261</v>
      </c>
      <c r="BH56" t="s">
        <v>279</v>
      </c>
      <c r="BJ56" s="2" t="s">
        <v>214</v>
      </c>
      <c r="BK56" s="2" t="s">
        <v>381</v>
      </c>
      <c r="BL56" s="1" t="s">
        <v>221</v>
      </c>
      <c r="BM56" s="1">
        <v>5.5</v>
      </c>
      <c r="BN56" s="1">
        <v>8.5</v>
      </c>
      <c r="BO56" s="1">
        <v>5</v>
      </c>
      <c r="BP56" s="1">
        <v>7.5</v>
      </c>
      <c r="BQ56" s="1" t="s">
        <v>21</v>
      </c>
      <c r="BR56" s="2" t="s">
        <v>223</v>
      </c>
      <c r="BS56" s="2">
        <v>5.5</v>
      </c>
      <c r="BT56" s="2">
        <v>10</v>
      </c>
      <c r="BU56" s="2" t="s">
        <v>20</v>
      </c>
      <c r="BV56" s="2">
        <v>7.5</v>
      </c>
      <c r="BW56" s="2" t="s">
        <v>21</v>
      </c>
      <c r="BX56" s="3" t="s">
        <v>382</v>
      </c>
      <c r="BY56" s="1" t="s">
        <v>230</v>
      </c>
    </row>
    <row r="57" spans="1:77" x14ac:dyDescent="0.25">
      <c r="A57">
        <v>17</v>
      </c>
      <c r="B57" t="s">
        <v>14</v>
      </c>
      <c r="C57">
        <v>16712</v>
      </c>
      <c r="D57" t="s">
        <v>101</v>
      </c>
      <c r="E57" s="1" t="s">
        <v>13</v>
      </c>
      <c r="G57" s="1">
        <v>20</v>
      </c>
      <c r="H57" s="2">
        <v>18.5</v>
      </c>
      <c r="I57" s="2">
        <f t="shared" si="11"/>
        <v>5</v>
      </c>
      <c r="J57" s="3">
        <f t="shared" si="12"/>
        <v>7.5</v>
      </c>
      <c r="K57" s="1">
        <v>40</v>
      </c>
      <c r="N57" s="1">
        <v>28.5</v>
      </c>
      <c r="O57" s="3">
        <v>26</v>
      </c>
      <c r="P57" s="2">
        <f t="shared" si="13"/>
        <v>7</v>
      </c>
      <c r="Q57" s="3">
        <f t="shared" si="14"/>
        <v>10</v>
      </c>
      <c r="R57" s="1">
        <v>61.5</v>
      </c>
      <c r="U57" s="1">
        <v>27</v>
      </c>
      <c r="V57" s="3">
        <v>13.5</v>
      </c>
      <c r="W57" s="2">
        <f t="shared" si="15"/>
        <v>5.5</v>
      </c>
      <c r="X57" s="3">
        <f t="shared" si="16"/>
        <v>2.5</v>
      </c>
      <c r="Y57" s="1">
        <v>40</v>
      </c>
      <c r="AB57" s="1">
        <v>18.5</v>
      </c>
      <c r="AC57" s="3">
        <v>24.5</v>
      </c>
      <c r="AD57" s="2">
        <f t="shared" si="17"/>
        <v>5.5</v>
      </c>
      <c r="AE57" s="3">
        <f t="shared" si="18"/>
        <v>7.5</v>
      </c>
      <c r="AF57" s="1">
        <v>43.5</v>
      </c>
      <c r="AI57" s="1">
        <v>23</v>
      </c>
      <c r="AJ57" s="3">
        <v>18</v>
      </c>
      <c r="AK57" s="2">
        <f t="shared" si="19"/>
        <v>5.5</v>
      </c>
      <c r="AL57" s="3">
        <f t="shared" si="20"/>
        <v>7.5</v>
      </c>
      <c r="AM57" s="1">
        <v>36</v>
      </c>
      <c r="AN57" s="1">
        <f t="shared" si="10"/>
        <v>49</v>
      </c>
      <c r="AP57" s="1">
        <v>5</v>
      </c>
      <c r="AQ57" s="2">
        <v>13</v>
      </c>
      <c r="AR57" s="1">
        <v>19.5</v>
      </c>
      <c r="AS57" s="2">
        <v>4</v>
      </c>
      <c r="AU57" s="2">
        <v>20.5</v>
      </c>
      <c r="AV57" s="1">
        <v>28</v>
      </c>
      <c r="AX57" s="2">
        <v>9.5</v>
      </c>
      <c r="AY57" s="2">
        <v>10</v>
      </c>
      <c r="AZ57" s="2">
        <v>9</v>
      </c>
      <c r="BA57" s="2">
        <v>7.5</v>
      </c>
      <c r="BC57" t="s">
        <v>234</v>
      </c>
      <c r="BD57" t="s">
        <v>235</v>
      </c>
      <c r="BE57" t="s">
        <v>236</v>
      </c>
      <c r="BF57" t="s">
        <v>282</v>
      </c>
      <c r="BG57" t="s">
        <v>261</v>
      </c>
      <c r="BH57" t="s">
        <v>281</v>
      </c>
      <c r="BJ57" s="2" t="s">
        <v>214</v>
      </c>
      <c r="BK57" s="2" t="s">
        <v>381</v>
      </c>
      <c r="BL57" s="1" t="s">
        <v>221</v>
      </c>
      <c r="BM57" s="1">
        <v>7.5</v>
      </c>
      <c r="BN57" s="1">
        <v>9.5</v>
      </c>
      <c r="BO57" s="1">
        <v>3</v>
      </c>
      <c r="BP57" s="1">
        <v>7.5</v>
      </c>
      <c r="BQ57" s="1">
        <v>7.5</v>
      </c>
      <c r="BR57" s="2" t="s">
        <v>223</v>
      </c>
      <c r="BS57" s="2">
        <v>7</v>
      </c>
      <c r="BT57" s="2">
        <v>10</v>
      </c>
      <c r="BU57" s="2">
        <v>2</v>
      </c>
      <c r="BV57" s="2">
        <v>7.5</v>
      </c>
      <c r="BW57" s="2">
        <v>7.5</v>
      </c>
      <c r="BX57" s="3" t="s">
        <v>382</v>
      </c>
      <c r="BY57" s="1" t="s">
        <v>230</v>
      </c>
    </row>
    <row r="58" spans="1:77" x14ac:dyDescent="0.25">
      <c r="A58">
        <v>18</v>
      </c>
      <c r="B58" t="s">
        <v>14</v>
      </c>
      <c r="C58">
        <v>16479</v>
      </c>
      <c r="D58" t="s">
        <v>106</v>
      </c>
      <c r="E58" s="1" t="s">
        <v>13</v>
      </c>
      <c r="G58" s="1">
        <v>26.5</v>
      </c>
      <c r="H58" s="2">
        <v>27.5</v>
      </c>
      <c r="I58" s="2">
        <f t="shared" si="11"/>
        <v>7</v>
      </c>
      <c r="J58" s="3">
        <f t="shared" si="12"/>
        <v>8.5</v>
      </c>
      <c r="K58" s="1">
        <v>46.5</v>
      </c>
      <c r="N58" s="1">
        <v>33</v>
      </c>
      <c r="O58" s="3">
        <v>36.5</v>
      </c>
      <c r="P58" s="2">
        <f t="shared" si="13"/>
        <v>9</v>
      </c>
      <c r="Q58" s="3">
        <f t="shared" si="14"/>
        <v>9.5</v>
      </c>
      <c r="R58" s="1">
        <v>61.5</v>
      </c>
      <c r="U58" s="1">
        <v>27.5</v>
      </c>
      <c r="V58" s="3">
        <v>32.5</v>
      </c>
      <c r="W58" s="2">
        <f t="shared" si="15"/>
        <v>7.5</v>
      </c>
      <c r="X58" s="3">
        <f t="shared" si="16"/>
        <v>6.5</v>
      </c>
      <c r="Y58" s="1">
        <v>66.5</v>
      </c>
      <c r="AB58" s="1">
        <v>30</v>
      </c>
      <c r="AC58" s="3">
        <v>24.5</v>
      </c>
      <c r="AD58" s="2">
        <f t="shared" si="17"/>
        <v>7</v>
      </c>
      <c r="AE58" s="3">
        <f t="shared" si="18"/>
        <v>9</v>
      </c>
      <c r="AF58" s="1">
        <v>66</v>
      </c>
      <c r="AI58" s="1">
        <v>28</v>
      </c>
      <c r="AJ58" s="3">
        <v>28.5</v>
      </c>
      <c r="AK58" s="2">
        <f t="shared" si="19"/>
        <v>7.5</v>
      </c>
      <c r="AL58" s="3">
        <f t="shared" si="20"/>
        <v>7</v>
      </c>
      <c r="AM58" s="1">
        <v>54.5</v>
      </c>
      <c r="AN58" s="1">
        <f t="shared" si="10"/>
        <v>69</v>
      </c>
      <c r="AP58" s="1">
        <v>20.5</v>
      </c>
      <c r="AQ58" s="2">
        <v>18.5</v>
      </c>
      <c r="AR58" s="1">
        <v>20.5</v>
      </c>
      <c r="AS58" s="2">
        <v>4</v>
      </c>
      <c r="AU58" s="2">
        <v>18.5</v>
      </c>
      <c r="AV58" s="1">
        <v>32</v>
      </c>
      <c r="AX58" s="2">
        <v>9</v>
      </c>
      <c r="AY58" s="2">
        <v>10</v>
      </c>
      <c r="AZ58" s="2">
        <v>8</v>
      </c>
      <c r="BA58" s="2">
        <v>4.5</v>
      </c>
      <c r="BC58" t="s">
        <v>234</v>
      </c>
      <c r="BD58" t="s">
        <v>235</v>
      </c>
      <c r="BE58" t="s">
        <v>236</v>
      </c>
      <c r="BF58" t="s">
        <v>263</v>
      </c>
      <c r="BG58" t="s">
        <v>261</v>
      </c>
      <c r="BH58" t="s">
        <v>273</v>
      </c>
      <c r="BJ58" s="2" t="s">
        <v>214</v>
      </c>
      <c r="BK58" s="2" t="s">
        <v>381</v>
      </c>
      <c r="BL58" s="1" t="s">
        <v>221</v>
      </c>
      <c r="BM58" s="1">
        <v>8.5</v>
      </c>
      <c r="BN58" s="1">
        <v>9</v>
      </c>
      <c r="BO58" s="1">
        <v>7</v>
      </c>
      <c r="BP58" s="1">
        <v>9.5</v>
      </c>
      <c r="BQ58" s="1">
        <v>6</v>
      </c>
      <c r="BR58" s="2" t="s">
        <v>223</v>
      </c>
      <c r="BS58" s="2">
        <v>8.5</v>
      </c>
      <c r="BT58" s="2">
        <v>10</v>
      </c>
      <c r="BU58" s="2">
        <v>6</v>
      </c>
      <c r="BV58" s="2">
        <v>8.5</v>
      </c>
      <c r="BW58" s="2">
        <v>7.5</v>
      </c>
      <c r="BX58" s="3" t="s">
        <v>382</v>
      </c>
      <c r="BY58" s="1" t="s">
        <v>230</v>
      </c>
    </row>
    <row r="59" spans="1:77" x14ac:dyDescent="0.25">
      <c r="A59">
        <v>19</v>
      </c>
      <c r="B59" t="s">
        <v>14</v>
      </c>
      <c r="C59">
        <v>16463</v>
      </c>
      <c r="D59" t="s">
        <v>111</v>
      </c>
      <c r="E59" s="1" t="s">
        <v>13</v>
      </c>
      <c r="G59" s="1">
        <v>37</v>
      </c>
      <c r="H59" s="2">
        <v>31.5</v>
      </c>
      <c r="I59" s="2">
        <f t="shared" si="11"/>
        <v>9</v>
      </c>
      <c r="J59" s="3">
        <f t="shared" si="12"/>
        <v>9</v>
      </c>
      <c r="K59" s="1">
        <v>53.5</v>
      </c>
      <c r="N59" s="1" t="s">
        <v>20</v>
      </c>
      <c r="O59" s="3">
        <v>38.5</v>
      </c>
      <c r="P59" s="2">
        <f t="shared" si="13"/>
        <v>5</v>
      </c>
      <c r="Q59" s="3">
        <f t="shared" si="14"/>
        <v>4.5</v>
      </c>
      <c r="R59" s="1">
        <v>71</v>
      </c>
      <c r="U59" s="1">
        <v>32</v>
      </c>
      <c r="V59" s="3">
        <v>31</v>
      </c>
      <c r="W59" s="2">
        <f t="shared" si="15"/>
        <v>8</v>
      </c>
      <c r="X59" s="3">
        <f t="shared" si="16"/>
        <v>7.5</v>
      </c>
      <c r="Y59" s="1">
        <v>65.5</v>
      </c>
      <c r="AB59" s="1" t="s">
        <v>20</v>
      </c>
      <c r="AC59" s="3">
        <v>33</v>
      </c>
      <c r="AD59" s="2">
        <f t="shared" si="17"/>
        <v>4.5</v>
      </c>
      <c r="AE59" s="3">
        <f t="shared" si="18"/>
        <v>9.5</v>
      </c>
      <c r="AF59" s="1">
        <v>73.5</v>
      </c>
      <c r="AI59" s="1">
        <v>35.5</v>
      </c>
      <c r="AJ59" s="3">
        <v>37</v>
      </c>
      <c r="AK59" s="2">
        <f t="shared" si="19"/>
        <v>9.5</v>
      </c>
      <c r="AL59" s="3">
        <f t="shared" si="20"/>
        <v>9</v>
      </c>
      <c r="AM59" s="1">
        <v>63.5</v>
      </c>
      <c r="AN59" s="1">
        <f t="shared" si="10"/>
        <v>82</v>
      </c>
      <c r="AP59" s="1">
        <v>20</v>
      </c>
      <c r="AQ59" s="2">
        <v>20.5</v>
      </c>
      <c r="AR59" s="1">
        <v>29.5</v>
      </c>
      <c r="AS59" s="2">
        <v>10</v>
      </c>
      <c r="AU59" s="2">
        <v>21.5</v>
      </c>
      <c r="AV59" s="1">
        <v>36</v>
      </c>
      <c r="AX59" s="2">
        <v>9.5</v>
      </c>
      <c r="AY59" s="2">
        <v>10</v>
      </c>
      <c r="AZ59" s="2">
        <v>8</v>
      </c>
      <c r="BA59" s="2">
        <v>9.5</v>
      </c>
      <c r="BC59" t="s">
        <v>234</v>
      </c>
      <c r="BD59" t="s">
        <v>235</v>
      </c>
      <c r="BE59" t="s">
        <v>236</v>
      </c>
      <c r="BF59" t="s">
        <v>263</v>
      </c>
      <c r="BG59" t="s">
        <v>261</v>
      </c>
      <c r="BH59" t="s">
        <v>283</v>
      </c>
      <c r="BJ59" s="2" t="s">
        <v>214</v>
      </c>
      <c r="BK59" s="2" t="s">
        <v>381</v>
      </c>
      <c r="BL59" s="1" t="s">
        <v>221</v>
      </c>
      <c r="BM59" s="1">
        <v>9</v>
      </c>
      <c r="BN59" s="1">
        <v>8.5</v>
      </c>
      <c r="BO59" s="1">
        <v>8</v>
      </c>
      <c r="BP59" s="1">
        <v>9.5</v>
      </c>
      <c r="BQ59" s="1">
        <v>8.5</v>
      </c>
      <c r="BR59" s="2" t="s">
        <v>223</v>
      </c>
      <c r="BS59" s="2">
        <v>8.5</v>
      </c>
      <c r="BT59" s="2" t="s">
        <v>21</v>
      </c>
      <c r="BU59" s="2">
        <v>6.5</v>
      </c>
      <c r="BV59" s="2">
        <v>9.5</v>
      </c>
      <c r="BW59" s="2">
        <v>9</v>
      </c>
      <c r="BX59" s="3" t="s">
        <v>382</v>
      </c>
      <c r="BY59" s="1" t="s">
        <v>230</v>
      </c>
    </row>
    <row r="60" spans="1:77" x14ac:dyDescent="0.25">
      <c r="A60">
        <v>20</v>
      </c>
      <c r="B60" t="s">
        <v>14</v>
      </c>
      <c r="C60">
        <v>18355</v>
      </c>
      <c r="D60" t="s">
        <v>116</v>
      </c>
      <c r="E60" s="1" t="s">
        <v>13</v>
      </c>
      <c r="G60" s="1">
        <v>18.5</v>
      </c>
      <c r="H60" s="2" t="s">
        <v>215</v>
      </c>
      <c r="I60" s="2">
        <f t="shared" si="11"/>
        <v>2.5</v>
      </c>
      <c r="J60" s="3">
        <f t="shared" si="12"/>
        <v>7.5</v>
      </c>
      <c r="K60" s="1">
        <v>32.5</v>
      </c>
      <c r="N60" s="1">
        <v>17.5</v>
      </c>
      <c r="O60" s="3">
        <v>15</v>
      </c>
      <c r="P60" s="2">
        <f t="shared" si="13"/>
        <v>4.5</v>
      </c>
      <c r="Q60" s="3">
        <f t="shared" si="14"/>
        <v>9</v>
      </c>
      <c r="R60" s="1">
        <v>28</v>
      </c>
      <c r="U60" s="1">
        <v>30.5</v>
      </c>
      <c r="V60" s="3">
        <v>24.5</v>
      </c>
      <c r="W60" s="2">
        <f t="shared" si="15"/>
        <v>7</v>
      </c>
      <c r="X60" s="3">
        <f t="shared" si="16"/>
        <v>2</v>
      </c>
      <c r="Y60" s="1">
        <v>50</v>
      </c>
      <c r="AB60" s="1">
        <v>21</v>
      </c>
      <c r="AC60" s="3" t="s">
        <v>21</v>
      </c>
      <c r="AD60" s="2">
        <f t="shared" si="17"/>
        <v>3</v>
      </c>
      <c r="AE60" s="3">
        <f t="shared" si="18"/>
        <v>8</v>
      </c>
      <c r="AF60" s="1">
        <v>33.5</v>
      </c>
      <c r="AI60" s="1">
        <v>26</v>
      </c>
      <c r="AJ60" s="3">
        <v>26</v>
      </c>
      <c r="AK60" s="2">
        <f t="shared" si="19"/>
        <v>6.5</v>
      </c>
      <c r="AL60" s="3">
        <f t="shared" si="20"/>
        <v>6</v>
      </c>
      <c r="AM60" s="1">
        <v>34</v>
      </c>
      <c r="AN60" s="1">
        <f t="shared" si="10"/>
        <v>46.5</v>
      </c>
      <c r="AP60" s="1">
        <v>16.5</v>
      </c>
      <c r="AQ60" s="2">
        <v>17</v>
      </c>
      <c r="AR60" s="1" t="s">
        <v>20</v>
      </c>
      <c r="AS60" s="2">
        <v>10</v>
      </c>
      <c r="AU60" s="2">
        <v>15.5</v>
      </c>
      <c r="AV60" s="1" t="s">
        <v>21</v>
      </c>
      <c r="AX60" s="2">
        <v>8.5</v>
      </c>
      <c r="AY60" s="2">
        <v>10</v>
      </c>
      <c r="AZ60" s="2">
        <v>8</v>
      </c>
      <c r="BA60" s="2" t="s">
        <v>20</v>
      </c>
      <c r="BC60" t="s">
        <v>234</v>
      </c>
      <c r="BD60" t="s">
        <v>235</v>
      </c>
      <c r="BE60" t="s">
        <v>236</v>
      </c>
      <c r="BF60" t="s">
        <v>282</v>
      </c>
      <c r="BG60" t="s">
        <v>261</v>
      </c>
      <c r="BH60" t="s">
        <v>284</v>
      </c>
      <c r="BJ60" s="2" t="s">
        <v>214</v>
      </c>
      <c r="BK60" s="2" t="s">
        <v>381</v>
      </c>
      <c r="BL60" s="1" t="s">
        <v>221</v>
      </c>
      <c r="BM60" s="1">
        <v>8.5</v>
      </c>
      <c r="BN60" s="1">
        <v>8</v>
      </c>
      <c r="BO60" s="1">
        <v>4</v>
      </c>
      <c r="BP60" s="1">
        <v>10</v>
      </c>
      <c r="BQ60" s="1">
        <v>7</v>
      </c>
      <c r="BR60" s="2" t="s">
        <v>223</v>
      </c>
      <c r="BS60" s="2">
        <v>6</v>
      </c>
      <c r="BT60" s="2">
        <v>10</v>
      </c>
      <c r="BU60" s="2" t="s">
        <v>20</v>
      </c>
      <c r="BV60" s="2">
        <v>5.5</v>
      </c>
      <c r="BW60" s="2">
        <v>4.5</v>
      </c>
      <c r="BX60" s="3" t="s">
        <v>382</v>
      </c>
      <c r="BY60" s="1" t="s">
        <v>230</v>
      </c>
    </row>
    <row r="61" spans="1:77" x14ac:dyDescent="0.25">
      <c r="A61">
        <v>21</v>
      </c>
      <c r="B61" t="s">
        <v>14</v>
      </c>
      <c r="C61">
        <v>18836</v>
      </c>
      <c r="D61" t="s">
        <v>121</v>
      </c>
      <c r="E61" s="1" t="s">
        <v>13</v>
      </c>
      <c r="G61" s="1">
        <v>20</v>
      </c>
      <c r="H61" s="2">
        <v>13.5</v>
      </c>
      <c r="I61" s="2">
        <f t="shared" si="11"/>
        <v>4.5</v>
      </c>
      <c r="J61" s="3">
        <f t="shared" si="12"/>
        <v>5</v>
      </c>
      <c r="K61" s="1">
        <v>36.5</v>
      </c>
      <c r="N61" s="1">
        <v>20.5</v>
      </c>
      <c r="O61" s="3">
        <v>22</v>
      </c>
      <c r="P61" s="2">
        <f t="shared" si="13"/>
        <v>5.5</v>
      </c>
      <c r="Q61" s="3">
        <f t="shared" si="14"/>
        <v>8.5</v>
      </c>
      <c r="R61" s="1">
        <v>35.5</v>
      </c>
      <c r="U61" s="1">
        <v>27</v>
      </c>
      <c r="V61" s="3">
        <v>27.5</v>
      </c>
      <c r="W61" s="2">
        <f t="shared" si="15"/>
        <v>7</v>
      </c>
      <c r="X61" s="3">
        <f t="shared" si="16"/>
        <v>6</v>
      </c>
      <c r="Y61" s="1">
        <v>52.5</v>
      </c>
      <c r="AB61" s="1">
        <v>17</v>
      </c>
      <c r="AC61" s="3">
        <v>21</v>
      </c>
      <c r="AD61" s="2">
        <f t="shared" si="17"/>
        <v>5</v>
      </c>
      <c r="AE61" s="3">
        <f t="shared" si="18"/>
        <v>7</v>
      </c>
      <c r="AF61" s="1">
        <v>46.5</v>
      </c>
      <c r="AI61" s="1">
        <v>21.5</v>
      </c>
      <c r="AJ61" s="3">
        <v>17.5</v>
      </c>
      <c r="AK61" s="2">
        <f t="shared" si="19"/>
        <v>5</v>
      </c>
      <c r="AL61" s="3">
        <f t="shared" si="20"/>
        <v>7.5</v>
      </c>
      <c r="AM61" s="1">
        <v>37.5</v>
      </c>
      <c r="AN61" s="1">
        <f t="shared" si="10"/>
        <v>50</v>
      </c>
      <c r="AP61" s="1">
        <v>13.5</v>
      </c>
      <c r="AQ61" s="2">
        <v>13.5</v>
      </c>
      <c r="AR61" s="1">
        <v>12.5</v>
      </c>
      <c r="AS61" s="2">
        <v>4</v>
      </c>
      <c r="AU61" s="2">
        <v>19</v>
      </c>
      <c r="AV61" s="1">
        <v>22.5</v>
      </c>
      <c r="AX61" s="2">
        <v>9.5</v>
      </c>
      <c r="AY61" s="2">
        <v>10</v>
      </c>
      <c r="AZ61" s="2">
        <v>8</v>
      </c>
      <c r="BA61" s="2">
        <v>4</v>
      </c>
      <c r="BC61" t="s">
        <v>234</v>
      </c>
      <c r="BD61" t="s">
        <v>235</v>
      </c>
      <c r="BE61" t="s">
        <v>236</v>
      </c>
      <c r="BF61" t="s">
        <v>263</v>
      </c>
      <c r="BG61" t="s">
        <v>261</v>
      </c>
      <c r="BH61" t="s">
        <v>285</v>
      </c>
      <c r="BJ61" s="2" t="s">
        <v>214</v>
      </c>
      <c r="BK61" s="2" t="s">
        <v>381</v>
      </c>
      <c r="BL61" s="1" t="s">
        <v>221</v>
      </c>
      <c r="BM61" s="1">
        <v>4.5</v>
      </c>
      <c r="BN61" s="1">
        <v>8.5</v>
      </c>
      <c r="BO61" s="1">
        <v>6</v>
      </c>
      <c r="BP61" s="1">
        <v>7.5</v>
      </c>
      <c r="BQ61" s="1">
        <v>6.5</v>
      </c>
      <c r="BR61" s="2" t="s">
        <v>223</v>
      </c>
      <c r="BS61" s="2">
        <v>5.5</v>
      </c>
      <c r="BT61" s="2">
        <v>8</v>
      </c>
      <c r="BU61" s="2">
        <v>6</v>
      </c>
      <c r="BV61" s="2">
        <v>6.5</v>
      </c>
      <c r="BW61" s="2">
        <v>8</v>
      </c>
      <c r="BX61" s="3" t="s">
        <v>382</v>
      </c>
      <c r="BY61" s="1" t="s">
        <v>230</v>
      </c>
    </row>
    <row r="62" spans="1:77" x14ac:dyDescent="0.25">
      <c r="A62">
        <v>22</v>
      </c>
      <c r="B62" t="s">
        <v>14</v>
      </c>
      <c r="C62">
        <v>16559</v>
      </c>
      <c r="D62" t="s">
        <v>126</v>
      </c>
      <c r="E62" s="1" t="s">
        <v>13</v>
      </c>
      <c r="G62" s="1" t="s">
        <v>20</v>
      </c>
      <c r="H62" s="2">
        <v>2</v>
      </c>
      <c r="I62" s="2">
        <f t="shared" si="11"/>
        <v>0.5</v>
      </c>
      <c r="J62" s="3">
        <f t="shared" si="12"/>
        <v>4</v>
      </c>
      <c r="K62" s="1">
        <v>8</v>
      </c>
      <c r="N62" s="1">
        <v>11</v>
      </c>
      <c r="O62" s="3">
        <v>14</v>
      </c>
      <c r="P62" s="2">
        <f t="shared" si="13"/>
        <v>3.5</v>
      </c>
      <c r="Q62" s="3">
        <f t="shared" si="14"/>
        <v>8.5</v>
      </c>
      <c r="R62" s="1">
        <v>15.5</v>
      </c>
      <c r="U62" s="1">
        <v>10.5</v>
      </c>
      <c r="V62" s="3">
        <v>8</v>
      </c>
      <c r="W62" s="2">
        <f t="shared" si="15"/>
        <v>2.5</v>
      </c>
      <c r="X62" s="3">
        <f t="shared" si="16"/>
        <v>2.5</v>
      </c>
      <c r="Y62" s="1">
        <v>13.5</v>
      </c>
      <c r="AB62" s="1" t="s">
        <v>20</v>
      </c>
      <c r="AC62" s="3">
        <v>3</v>
      </c>
      <c r="AD62" s="2">
        <f t="shared" si="17"/>
        <v>0.5</v>
      </c>
      <c r="AE62" s="3">
        <f t="shared" si="18"/>
        <v>5.5</v>
      </c>
      <c r="AF62" s="1">
        <v>3.5</v>
      </c>
      <c r="AI62" s="1">
        <v>4.5</v>
      </c>
      <c r="AJ62" s="3">
        <v>2</v>
      </c>
      <c r="AK62" s="2">
        <f t="shared" si="19"/>
        <v>1</v>
      </c>
      <c r="AL62" s="3">
        <f t="shared" si="20"/>
        <v>2</v>
      </c>
      <c r="AM62" s="1">
        <v>7</v>
      </c>
      <c r="AN62" s="1">
        <f t="shared" si="10"/>
        <v>10</v>
      </c>
      <c r="AP62" s="1" t="s">
        <v>20</v>
      </c>
      <c r="AQ62" s="2">
        <v>2</v>
      </c>
      <c r="AR62" s="1">
        <v>4</v>
      </c>
      <c r="AS62" s="2">
        <v>5</v>
      </c>
      <c r="AU62" s="2">
        <v>8</v>
      </c>
      <c r="AV62" s="1">
        <v>19.5</v>
      </c>
      <c r="AX62" s="2">
        <v>4</v>
      </c>
      <c r="AY62" s="2">
        <v>10</v>
      </c>
      <c r="AZ62" s="2">
        <v>8</v>
      </c>
      <c r="BA62" s="2">
        <v>0.5</v>
      </c>
      <c r="BC62" t="s">
        <v>234</v>
      </c>
      <c r="BD62" t="s">
        <v>235</v>
      </c>
      <c r="BE62" t="s">
        <v>236</v>
      </c>
      <c r="BF62" t="s">
        <v>263</v>
      </c>
      <c r="BG62" t="s">
        <v>261</v>
      </c>
      <c r="BH62" t="s">
        <v>286</v>
      </c>
      <c r="BJ62" s="2" t="s">
        <v>214</v>
      </c>
      <c r="BK62" s="2" t="s">
        <v>381</v>
      </c>
      <c r="BL62" s="1" t="s">
        <v>221</v>
      </c>
      <c r="BM62" s="1">
        <v>4.5</v>
      </c>
      <c r="BN62" s="1">
        <v>8.5</v>
      </c>
      <c r="BO62" s="1">
        <v>3</v>
      </c>
      <c r="BP62" s="1">
        <v>6.5</v>
      </c>
      <c r="BQ62" s="1">
        <v>3</v>
      </c>
      <c r="BR62" s="2" t="s">
        <v>223</v>
      </c>
      <c r="BS62" s="2">
        <v>3.5</v>
      </c>
      <c r="BT62" s="2">
        <v>8</v>
      </c>
      <c r="BU62" s="2">
        <v>2</v>
      </c>
      <c r="BV62" s="2">
        <v>4</v>
      </c>
      <c r="BW62" s="2">
        <v>1</v>
      </c>
      <c r="BX62" s="3" t="s">
        <v>382</v>
      </c>
      <c r="BY62" s="1" t="s">
        <v>230</v>
      </c>
    </row>
    <row r="63" spans="1:77" x14ac:dyDescent="0.25">
      <c r="A63">
        <v>23</v>
      </c>
      <c r="B63" t="s">
        <v>14</v>
      </c>
      <c r="C63">
        <v>16702</v>
      </c>
      <c r="D63" t="s">
        <v>130</v>
      </c>
      <c r="E63" s="1" t="s">
        <v>13</v>
      </c>
      <c r="G63" s="1">
        <v>17</v>
      </c>
      <c r="H63" s="2">
        <v>9</v>
      </c>
      <c r="I63" s="2">
        <f t="shared" si="11"/>
        <v>3.5</v>
      </c>
      <c r="J63" s="3">
        <f t="shared" si="12"/>
        <v>3.5</v>
      </c>
      <c r="K63" s="1">
        <v>18</v>
      </c>
      <c r="N63" s="1">
        <v>28.5</v>
      </c>
      <c r="O63" s="3">
        <v>29.5</v>
      </c>
      <c r="P63" s="2">
        <f t="shared" si="13"/>
        <v>7.5</v>
      </c>
      <c r="Q63" s="3">
        <f t="shared" si="14"/>
        <v>9.5</v>
      </c>
      <c r="R63" s="1">
        <v>47.5</v>
      </c>
      <c r="U63" s="1">
        <v>16</v>
      </c>
      <c r="V63" s="3">
        <v>17</v>
      </c>
      <c r="W63" s="2">
        <f t="shared" si="15"/>
        <v>4.5</v>
      </c>
      <c r="X63" s="3">
        <f t="shared" si="16"/>
        <v>2.5</v>
      </c>
      <c r="Y63" s="1">
        <v>15</v>
      </c>
      <c r="AB63" s="1">
        <v>5</v>
      </c>
      <c r="AC63" s="3">
        <v>2</v>
      </c>
      <c r="AD63" s="2">
        <f t="shared" si="17"/>
        <v>1</v>
      </c>
      <c r="AE63" s="3">
        <f t="shared" si="18"/>
        <v>6.5</v>
      </c>
      <c r="AF63" s="1">
        <v>10.5</v>
      </c>
      <c r="AI63" s="1">
        <v>11</v>
      </c>
      <c r="AJ63" s="3">
        <v>7.5</v>
      </c>
      <c r="AK63" s="2">
        <f t="shared" si="19"/>
        <v>2.5</v>
      </c>
      <c r="AL63" s="3">
        <f t="shared" si="20"/>
        <v>6.5</v>
      </c>
      <c r="AM63" s="1">
        <v>12.5</v>
      </c>
      <c r="AN63" s="1">
        <f t="shared" si="10"/>
        <v>21.5</v>
      </c>
      <c r="AP63" s="1">
        <v>9</v>
      </c>
      <c r="AQ63" s="2">
        <v>9</v>
      </c>
      <c r="AR63" s="1">
        <v>4.5</v>
      </c>
      <c r="AS63" s="2">
        <v>3</v>
      </c>
      <c r="AU63" s="2">
        <v>11</v>
      </c>
      <c r="AV63" s="1">
        <v>22</v>
      </c>
      <c r="AX63" s="2">
        <v>8</v>
      </c>
      <c r="AY63" s="2">
        <v>10</v>
      </c>
      <c r="AZ63" s="2">
        <v>8</v>
      </c>
      <c r="BA63" s="2">
        <v>2.5</v>
      </c>
      <c r="BC63" t="s">
        <v>234</v>
      </c>
      <c r="BD63" t="s">
        <v>235</v>
      </c>
      <c r="BE63" t="s">
        <v>236</v>
      </c>
      <c r="BF63" t="s">
        <v>263</v>
      </c>
      <c r="BG63" t="s">
        <v>264</v>
      </c>
      <c r="BH63" t="s">
        <v>273</v>
      </c>
      <c r="BJ63" s="2" t="s">
        <v>214</v>
      </c>
      <c r="BK63" s="2" t="s">
        <v>381</v>
      </c>
      <c r="BL63" s="1" t="s">
        <v>221</v>
      </c>
      <c r="BM63" s="1">
        <v>3.5</v>
      </c>
      <c r="BN63" s="1">
        <v>9.5</v>
      </c>
      <c r="BO63" s="1">
        <v>1</v>
      </c>
      <c r="BP63" s="1">
        <v>8.5</v>
      </c>
      <c r="BQ63" s="1">
        <v>5</v>
      </c>
      <c r="BR63" s="2" t="s">
        <v>223</v>
      </c>
      <c r="BS63" s="2">
        <v>3.5</v>
      </c>
      <c r="BT63" s="2">
        <v>9</v>
      </c>
      <c r="BU63" s="2">
        <v>4</v>
      </c>
      <c r="BV63" s="2">
        <v>4</v>
      </c>
      <c r="BW63" s="2">
        <v>8</v>
      </c>
      <c r="BX63" s="3" t="s">
        <v>382</v>
      </c>
      <c r="BY63" s="1" t="s">
        <v>230</v>
      </c>
    </row>
    <row r="64" spans="1:77" x14ac:dyDescent="0.25">
      <c r="A64">
        <v>24</v>
      </c>
      <c r="B64" t="s">
        <v>14</v>
      </c>
      <c r="C64">
        <v>16519</v>
      </c>
      <c r="D64" t="s">
        <v>135</v>
      </c>
      <c r="E64" s="1" t="s">
        <v>13</v>
      </c>
      <c r="G64" s="1">
        <v>13</v>
      </c>
      <c r="H64" s="2">
        <v>13.5</v>
      </c>
      <c r="I64" s="2">
        <f t="shared" si="11"/>
        <v>3.5</v>
      </c>
      <c r="J64" s="3">
        <f t="shared" si="12"/>
        <v>6</v>
      </c>
      <c r="K64" s="1">
        <v>23.5</v>
      </c>
      <c r="N64" s="1">
        <v>17.5</v>
      </c>
      <c r="O64" s="3">
        <v>15.5</v>
      </c>
      <c r="P64" s="2">
        <f t="shared" si="13"/>
        <v>4.5</v>
      </c>
      <c r="Q64" s="3">
        <f t="shared" si="14"/>
        <v>10</v>
      </c>
      <c r="R64" s="1">
        <v>27.5</v>
      </c>
      <c r="U64" s="1">
        <v>14</v>
      </c>
      <c r="V64" s="3">
        <v>7</v>
      </c>
      <c r="W64" s="2">
        <f t="shared" si="15"/>
        <v>3</v>
      </c>
      <c r="X64" s="3">
        <f t="shared" si="16"/>
        <v>2.5</v>
      </c>
      <c r="Y64" s="1">
        <v>14</v>
      </c>
      <c r="AB64" s="1">
        <v>15</v>
      </c>
      <c r="AC64" s="3">
        <v>24.5</v>
      </c>
      <c r="AD64" s="2">
        <f t="shared" si="17"/>
        <v>5</v>
      </c>
      <c r="AE64" s="3">
        <f t="shared" si="18"/>
        <v>9</v>
      </c>
      <c r="AF64" s="1">
        <v>41.5</v>
      </c>
      <c r="AI64" s="1">
        <v>19</v>
      </c>
      <c r="AJ64" s="3">
        <v>8.5</v>
      </c>
      <c r="AK64" s="2">
        <f t="shared" si="19"/>
        <v>3.5</v>
      </c>
      <c r="AL64" s="3">
        <f t="shared" si="20"/>
        <v>4</v>
      </c>
      <c r="AM64" s="1">
        <v>24.5</v>
      </c>
      <c r="AN64" s="1">
        <f t="shared" si="10"/>
        <v>32</v>
      </c>
      <c r="AP64" s="1">
        <v>8</v>
      </c>
      <c r="AQ64" s="2">
        <v>9</v>
      </c>
      <c r="AR64" s="1">
        <v>4</v>
      </c>
      <c r="AS64" s="2">
        <v>5</v>
      </c>
      <c r="AU64" s="2">
        <v>18</v>
      </c>
      <c r="AV64" s="1">
        <v>33.5</v>
      </c>
      <c r="AX64" s="2">
        <v>7</v>
      </c>
      <c r="AY64" s="2">
        <v>10</v>
      </c>
      <c r="AZ64" s="2">
        <v>8</v>
      </c>
      <c r="BA64" s="2">
        <v>2.5</v>
      </c>
      <c r="BC64" t="s">
        <v>234</v>
      </c>
      <c r="BD64" t="s">
        <v>235</v>
      </c>
      <c r="BE64" t="s">
        <v>236</v>
      </c>
      <c r="BF64" t="s">
        <v>282</v>
      </c>
      <c r="BG64" t="s">
        <v>261</v>
      </c>
      <c r="BH64" t="s">
        <v>281</v>
      </c>
      <c r="BJ64" s="2" t="s">
        <v>214</v>
      </c>
      <c r="BK64" s="2" t="s">
        <v>381</v>
      </c>
      <c r="BL64" s="1" t="s">
        <v>221</v>
      </c>
      <c r="BM64" s="1">
        <v>6</v>
      </c>
      <c r="BN64" s="1">
        <v>9.5</v>
      </c>
      <c r="BO64" s="1">
        <v>1</v>
      </c>
      <c r="BP64" s="1">
        <v>10</v>
      </c>
      <c r="BQ64" s="1">
        <v>2.5</v>
      </c>
      <c r="BR64" s="2" t="s">
        <v>223</v>
      </c>
      <c r="BS64" s="2">
        <v>5.5</v>
      </c>
      <c r="BT64" s="2">
        <v>10</v>
      </c>
      <c r="BU64" s="2">
        <v>4</v>
      </c>
      <c r="BV64" s="2">
        <v>8</v>
      </c>
      <c r="BW64" s="2">
        <v>5.5</v>
      </c>
      <c r="BX64" s="3" t="s">
        <v>382</v>
      </c>
      <c r="BY64" s="1" t="s">
        <v>230</v>
      </c>
    </row>
    <row r="65" spans="1:77" x14ac:dyDescent="0.25">
      <c r="A65">
        <v>25</v>
      </c>
      <c r="B65" t="s">
        <v>14</v>
      </c>
      <c r="C65">
        <v>17420</v>
      </c>
      <c r="D65" t="s">
        <v>140</v>
      </c>
      <c r="E65" s="1" t="s">
        <v>13</v>
      </c>
      <c r="G65" s="1">
        <v>18.5</v>
      </c>
      <c r="H65" s="2">
        <v>17.5</v>
      </c>
      <c r="I65" s="2">
        <f t="shared" si="11"/>
        <v>4.5</v>
      </c>
      <c r="J65" s="3">
        <f t="shared" si="12"/>
        <v>4.5</v>
      </c>
      <c r="K65" s="1">
        <v>26.5</v>
      </c>
      <c r="N65" s="1">
        <v>34</v>
      </c>
      <c r="O65" s="3">
        <v>29</v>
      </c>
      <c r="P65" s="2">
        <f t="shared" si="13"/>
        <v>8</v>
      </c>
      <c r="Q65" s="3">
        <f t="shared" si="14"/>
        <v>9.5</v>
      </c>
      <c r="R65" s="1">
        <v>48.5</v>
      </c>
      <c r="U65" s="1">
        <v>21</v>
      </c>
      <c r="V65" s="3">
        <v>19.5</v>
      </c>
      <c r="W65" s="2">
        <f t="shared" si="15"/>
        <v>5.5</v>
      </c>
      <c r="X65" s="3">
        <f t="shared" si="16"/>
        <v>3.5</v>
      </c>
      <c r="Y65" s="1">
        <v>28.5</v>
      </c>
      <c r="AB65" s="1">
        <v>16</v>
      </c>
      <c r="AC65" s="3">
        <v>16</v>
      </c>
      <c r="AD65" s="2">
        <f t="shared" si="17"/>
        <v>4</v>
      </c>
      <c r="AE65" s="3">
        <f t="shared" si="18"/>
        <v>7.5</v>
      </c>
      <c r="AF65" s="1">
        <v>25</v>
      </c>
      <c r="AI65" s="1">
        <v>16</v>
      </c>
      <c r="AJ65" s="3">
        <v>14.5</v>
      </c>
      <c r="AK65" s="2">
        <f t="shared" si="19"/>
        <v>4</v>
      </c>
      <c r="AL65" s="3">
        <f t="shared" si="20"/>
        <v>7</v>
      </c>
      <c r="AM65" s="1">
        <v>18.5</v>
      </c>
      <c r="AN65" s="1">
        <f t="shared" si="10"/>
        <v>29.5</v>
      </c>
      <c r="AP65" s="1">
        <v>14.5</v>
      </c>
      <c r="AQ65" s="2" t="s">
        <v>20</v>
      </c>
      <c r="AR65" s="1">
        <v>8</v>
      </c>
      <c r="AS65" s="2">
        <v>3</v>
      </c>
      <c r="AU65" s="2" t="s">
        <v>21</v>
      </c>
      <c r="AV65" s="1">
        <v>25</v>
      </c>
      <c r="AX65" s="2">
        <v>9</v>
      </c>
      <c r="AY65" s="2">
        <v>10</v>
      </c>
      <c r="AZ65" s="2">
        <v>8</v>
      </c>
      <c r="BA65" s="2">
        <v>2.5</v>
      </c>
      <c r="BC65" t="s">
        <v>234</v>
      </c>
      <c r="BD65" t="s">
        <v>235</v>
      </c>
      <c r="BE65" t="s">
        <v>236</v>
      </c>
      <c r="BF65" t="s">
        <v>263</v>
      </c>
      <c r="BG65" t="s">
        <v>264</v>
      </c>
      <c r="BH65" t="s">
        <v>287</v>
      </c>
      <c r="BJ65" s="2" t="s">
        <v>214</v>
      </c>
      <c r="BK65" s="2" t="s">
        <v>381</v>
      </c>
      <c r="BL65" s="1" t="s">
        <v>221</v>
      </c>
      <c r="BM65" s="1">
        <v>4.5</v>
      </c>
      <c r="BN65" s="1">
        <v>9</v>
      </c>
      <c r="BO65" s="1">
        <v>5</v>
      </c>
      <c r="BP65" s="1">
        <v>7</v>
      </c>
      <c r="BQ65" s="1">
        <v>6</v>
      </c>
      <c r="BR65" s="2" t="s">
        <v>223</v>
      </c>
      <c r="BS65" s="2">
        <v>4.5</v>
      </c>
      <c r="BT65" s="2">
        <v>10</v>
      </c>
      <c r="BU65" s="2">
        <v>2</v>
      </c>
      <c r="BV65" s="2">
        <v>7.5</v>
      </c>
      <c r="BW65" s="2">
        <v>7.5</v>
      </c>
      <c r="BX65" s="3" t="s">
        <v>382</v>
      </c>
      <c r="BY65" s="1" t="s">
        <v>230</v>
      </c>
    </row>
    <row r="66" spans="1:77" x14ac:dyDescent="0.25">
      <c r="A66">
        <v>26</v>
      </c>
      <c r="B66" t="s">
        <v>14</v>
      </c>
      <c r="C66">
        <v>16685</v>
      </c>
      <c r="D66" t="s">
        <v>145</v>
      </c>
      <c r="E66" s="1" t="s">
        <v>13</v>
      </c>
      <c r="G66" s="1">
        <v>30.5</v>
      </c>
      <c r="H66" s="2">
        <v>24.5</v>
      </c>
      <c r="I66" s="2">
        <f t="shared" ref="I66:I97" si="21">CEILING((N(G66)+N(H66))/80*10,0.5)</f>
        <v>7</v>
      </c>
      <c r="J66" s="3">
        <f t="shared" ref="J66:J97" si="22">CEILING((N(BM66)+N(BS66))/2,0.5)</f>
        <v>7.5</v>
      </c>
      <c r="K66" s="1">
        <v>51.5</v>
      </c>
      <c r="N66" s="1">
        <v>28</v>
      </c>
      <c r="O66" s="3">
        <v>29.5</v>
      </c>
      <c r="P66" s="2">
        <f t="shared" ref="P66:P97" si="23">CEILING((N(N66)+N(O66))/80*10,0.5)</f>
        <v>7.5</v>
      </c>
      <c r="Q66" s="3">
        <f t="shared" ref="Q66:Q97" si="24">CEILING((N(BN66)+N(BT66))/2,0.5)</f>
        <v>9.5</v>
      </c>
      <c r="R66" s="1">
        <v>46.5</v>
      </c>
      <c r="U66" s="1">
        <v>37.5</v>
      </c>
      <c r="V66" s="3">
        <v>29.5</v>
      </c>
      <c r="W66" s="2">
        <f t="shared" ref="W66:W97" si="25">CEILING((N(U66)+N(V66))/80*10,0.5)</f>
        <v>8.5</v>
      </c>
      <c r="X66" s="3">
        <f t="shared" ref="X66:X97" si="26">CEILING((N(BO66)+N(BU66))/2,0.5)</f>
        <v>8</v>
      </c>
      <c r="Y66" s="1">
        <v>65</v>
      </c>
      <c r="AB66" s="1">
        <v>21</v>
      </c>
      <c r="AC66" s="3">
        <v>19</v>
      </c>
      <c r="AD66" s="2">
        <f t="shared" ref="AD66:AD97" si="27">CEILING((N(AB66)+N(AC66))/80*10,0.5)</f>
        <v>5</v>
      </c>
      <c r="AE66" s="3">
        <f t="shared" ref="AE66:AE97" si="28">CEILING((N(BP66)+N(BV66))/2,0.5)</f>
        <v>8.5</v>
      </c>
      <c r="AF66" s="1">
        <v>39.5</v>
      </c>
      <c r="AI66" s="1">
        <v>20</v>
      </c>
      <c r="AJ66" s="3">
        <v>22</v>
      </c>
      <c r="AK66" s="2">
        <f t="shared" ref="AK66:AK97" si="29">CEILING((N(AI66)+N(AJ66))/80*10,0.5)</f>
        <v>5.5</v>
      </c>
      <c r="AL66" s="3">
        <f t="shared" ref="AL66:AL97" si="30">CEILING((N(BQ66)+N(BW66))/2,0.5)</f>
        <v>5.5</v>
      </c>
      <c r="AM66" s="1">
        <v>42.5</v>
      </c>
      <c r="AN66" s="1">
        <f t="shared" si="10"/>
        <v>53.5</v>
      </c>
      <c r="AP66" s="1">
        <v>18</v>
      </c>
      <c r="AQ66" s="2">
        <v>14</v>
      </c>
      <c r="AR66" s="1">
        <v>16.5</v>
      </c>
      <c r="AS66" s="2">
        <v>4</v>
      </c>
      <c r="AU66" s="2">
        <v>20</v>
      </c>
      <c r="AV66" s="1">
        <v>27</v>
      </c>
      <c r="AX66" s="2">
        <v>9</v>
      </c>
      <c r="AY66" s="2">
        <v>10</v>
      </c>
      <c r="AZ66" s="2">
        <v>8</v>
      </c>
      <c r="BA66" s="2">
        <v>5.5</v>
      </c>
      <c r="BC66" t="s">
        <v>234</v>
      </c>
      <c r="BD66" t="s">
        <v>235</v>
      </c>
      <c r="BE66" t="s">
        <v>236</v>
      </c>
      <c r="BF66" t="s">
        <v>282</v>
      </c>
      <c r="BG66" t="s">
        <v>261</v>
      </c>
      <c r="BH66" t="s">
        <v>288</v>
      </c>
      <c r="BJ66" s="2" t="s">
        <v>214</v>
      </c>
      <c r="BK66" s="2" t="s">
        <v>381</v>
      </c>
      <c r="BL66" s="1" t="s">
        <v>221</v>
      </c>
      <c r="BM66" s="1">
        <v>6</v>
      </c>
      <c r="BN66" s="1">
        <v>9</v>
      </c>
      <c r="BO66" s="1">
        <v>8</v>
      </c>
      <c r="BP66" s="1">
        <v>9.5</v>
      </c>
      <c r="BQ66" s="1">
        <v>5.5</v>
      </c>
      <c r="BR66" s="2" t="s">
        <v>223</v>
      </c>
      <c r="BS66" s="2">
        <v>8.5</v>
      </c>
      <c r="BT66" s="2">
        <v>10</v>
      </c>
      <c r="BU66" s="2">
        <v>8</v>
      </c>
      <c r="BV66" s="2">
        <v>7.5</v>
      </c>
      <c r="BW66" s="2">
        <v>5.5</v>
      </c>
      <c r="BX66" s="3" t="s">
        <v>382</v>
      </c>
      <c r="BY66" s="1" t="s">
        <v>230</v>
      </c>
    </row>
    <row r="67" spans="1:77" x14ac:dyDescent="0.25">
      <c r="A67">
        <v>27</v>
      </c>
      <c r="B67" t="s">
        <v>14</v>
      </c>
      <c r="C67">
        <v>17421</v>
      </c>
      <c r="D67" t="s">
        <v>150</v>
      </c>
      <c r="E67" s="1" t="s">
        <v>13</v>
      </c>
      <c r="G67" s="1">
        <v>17.5</v>
      </c>
      <c r="H67" s="2">
        <v>16.5</v>
      </c>
      <c r="I67" s="2">
        <f t="shared" si="21"/>
        <v>4.5</v>
      </c>
      <c r="J67" s="3">
        <f t="shared" si="22"/>
        <v>5</v>
      </c>
      <c r="K67" s="1">
        <v>22.5</v>
      </c>
      <c r="N67" s="1">
        <v>27</v>
      </c>
      <c r="O67" s="3">
        <v>24.5</v>
      </c>
      <c r="P67" s="2">
        <f t="shared" si="23"/>
        <v>6.5</v>
      </c>
      <c r="Q67" s="3">
        <f t="shared" si="24"/>
        <v>10</v>
      </c>
      <c r="R67" s="1">
        <v>46</v>
      </c>
      <c r="U67" s="1">
        <v>29.5</v>
      </c>
      <c r="V67" s="3">
        <v>19</v>
      </c>
      <c r="W67" s="2">
        <f t="shared" si="25"/>
        <v>6.5</v>
      </c>
      <c r="X67" s="3">
        <f t="shared" si="26"/>
        <v>2.5</v>
      </c>
      <c r="Y67" s="1">
        <v>38</v>
      </c>
      <c r="AB67" s="1">
        <v>12.5</v>
      </c>
      <c r="AC67" s="3">
        <v>15</v>
      </c>
      <c r="AD67" s="2">
        <f t="shared" si="27"/>
        <v>3.5</v>
      </c>
      <c r="AE67" s="3">
        <f t="shared" si="28"/>
        <v>6.5</v>
      </c>
      <c r="AF67" s="1">
        <v>26.5</v>
      </c>
      <c r="AI67" s="1">
        <v>22.5</v>
      </c>
      <c r="AJ67" s="3">
        <v>14.5</v>
      </c>
      <c r="AK67" s="2">
        <f t="shared" si="29"/>
        <v>5</v>
      </c>
      <c r="AL67" s="3">
        <f t="shared" si="30"/>
        <v>7.5</v>
      </c>
      <c r="AM67" s="1">
        <v>25.5</v>
      </c>
      <c r="AN67" s="1">
        <f t="shared" ref="AN67:AN130" si="31">AK67+AL67+AM67</f>
        <v>38</v>
      </c>
      <c r="AP67" s="1">
        <v>14.5</v>
      </c>
      <c r="AQ67" s="2" t="s">
        <v>20</v>
      </c>
      <c r="AR67" s="1">
        <v>10.5</v>
      </c>
      <c r="AS67" s="2">
        <v>5</v>
      </c>
      <c r="AU67" s="2" t="s">
        <v>21</v>
      </c>
      <c r="AV67" s="1">
        <v>24.5</v>
      </c>
      <c r="AX67" s="2">
        <v>9</v>
      </c>
      <c r="AY67" s="2">
        <v>10</v>
      </c>
      <c r="AZ67" s="2">
        <v>8</v>
      </c>
      <c r="BA67" s="2">
        <v>4</v>
      </c>
      <c r="BC67" t="s">
        <v>234</v>
      </c>
      <c r="BD67" t="s">
        <v>235</v>
      </c>
      <c r="BE67" t="s">
        <v>236</v>
      </c>
      <c r="BF67" t="s">
        <v>263</v>
      </c>
      <c r="BG67" t="s">
        <v>264</v>
      </c>
      <c r="BH67" t="s">
        <v>284</v>
      </c>
      <c r="BJ67" s="2" t="s">
        <v>214</v>
      </c>
      <c r="BK67" s="2" t="s">
        <v>381</v>
      </c>
      <c r="BL67" s="1" t="s">
        <v>221</v>
      </c>
      <c r="BM67" s="1">
        <v>6</v>
      </c>
      <c r="BN67" s="1">
        <v>9.5</v>
      </c>
      <c r="BO67" s="1">
        <v>1</v>
      </c>
      <c r="BP67" s="1">
        <v>6</v>
      </c>
      <c r="BQ67" s="1">
        <v>6</v>
      </c>
      <c r="BR67" s="2" t="s">
        <v>223</v>
      </c>
      <c r="BS67" s="2">
        <v>3.5</v>
      </c>
      <c r="BT67" s="2">
        <v>10</v>
      </c>
      <c r="BU67" s="2">
        <v>3.5</v>
      </c>
      <c r="BV67" s="2">
        <v>6.5</v>
      </c>
      <c r="BW67" s="2">
        <v>9</v>
      </c>
      <c r="BX67" s="3" t="s">
        <v>382</v>
      </c>
      <c r="BY67" s="1" t="s">
        <v>230</v>
      </c>
    </row>
    <row r="68" spans="1:77" x14ac:dyDescent="0.25">
      <c r="A68">
        <v>28</v>
      </c>
      <c r="B68" t="s">
        <v>14</v>
      </c>
      <c r="C68">
        <v>17915</v>
      </c>
      <c r="D68" t="s">
        <v>155</v>
      </c>
      <c r="E68" s="1" t="s">
        <v>13</v>
      </c>
      <c r="G68" s="1">
        <v>22</v>
      </c>
      <c r="H68" s="2">
        <v>12</v>
      </c>
      <c r="I68" s="2">
        <f t="shared" si="21"/>
        <v>4.5</v>
      </c>
      <c r="J68" s="3">
        <f t="shared" si="22"/>
        <v>7.5</v>
      </c>
      <c r="K68" s="1">
        <v>33</v>
      </c>
      <c r="N68" s="1">
        <v>24</v>
      </c>
      <c r="O68" s="3">
        <v>28</v>
      </c>
      <c r="P68" s="2">
        <f t="shared" si="23"/>
        <v>6.5</v>
      </c>
      <c r="Q68" s="3">
        <f t="shared" si="24"/>
        <v>10</v>
      </c>
      <c r="R68" s="1">
        <v>48.5</v>
      </c>
      <c r="U68" s="1">
        <v>31.5</v>
      </c>
      <c r="V68" s="3">
        <v>20.5</v>
      </c>
      <c r="W68" s="2">
        <f t="shared" si="25"/>
        <v>6.5</v>
      </c>
      <c r="X68" s="3">
        <f t="shared" si="26"/>
        <v>4.5</v>
      </c>
      <c r="Y68" s="1">
        <v>39.5</v>
      </c>
      <c r="AB68" s="1">
        <v>16</v>
      </c>
      <c r="AC68" s="3">
        <v>19</v>
      </c>
      <c r="AD68" s="2">
        <f t="shared" si="27"/>
        <v>4.5</v>
      </c>
      <c r="AE68" s="3">
        <f t="shared" si="28"/>
        <v>8</v>
      </c>
      <c r="AF68" s="1">
        <v>35</v>
      </c>
      <c r="AI68" s="1">
        <v>19.5</v>
      </c>
      <c r="AJ68" s="3">
        <v>16.5</v>
      </c>
      <c r="AK68" s="2">
        <f t="shared" si="29"/>
        <v>4.5</v>
      </c>
      <c r="AL68" s="3">
        <f t="shared" si="30"/>
        <v>6.5</v>
      </c>
      <c r="AM68" s="1">
        <v>27</v>
      </c>
      <c r="AN68" s="1">
        <f t="shared" si="31"/>
        <v>38</v>
      </c>
      <c r="AP68" s="1">
        <v>4.5</v>
      </c>
      <c r="AQ68" s="2">
        <v>7</v>
      </c>
      <c r="AR68" s="1">
        <v>9</v>
      </c>
      <c r="AS68" s="2">
        <v>3</v>
      </c>
      <c r="AU68" s="2">
        <v>17.5</v>
      </c>
      <c r="AV68" s="1">
        <v>27</v>
      </c>
      <c r="AX68" s="2">
        <v>9</v>
      </c>
      <c r="AY68" s="2">
        <v>10</v>
      </c>
      <c r="AZ68" s="2">
        <v>8</v>
      </c>
      <c r="BA68" s="2">
        <v>3.5</v>
      </c>
      <c r="BC68" t="s">
        <v>234</v>
      </c>
      <c r="BD68" t="s">
        <v>235</v>
      </c>
      <c r="BE68" t="s">
        <v>236</v>
      </c>
      <c r="BF68" t="s">
        <v>263</v>
      </c>
      <c r="BG68" t="s">
        <v>264</v>
      </c>
      <c r="BH68" t="s">
        <v>289</v>
      </c>
      <c r="BJ68" s="2" t="s">
        <v>214</v>
      </c>
      <c r="BK68" s="2" t="s">
        <v>381</v>
      </c>
      <c r="BL68" s="1" t="s">
        <v>221</v>
      </c>
      <c r="BM68" s="1">
        <v>6.5</v>
      </c>
      <c r="BN68" s="1">
        <v>9.5</v>
      </c>
      <c r="BO68" s="1">
        <v>2</v>
      </c>
      <c r="BP68" s="1">
        <v>9.5</v>
      </c>
      <c r="BQ68" s="1">
        <v>6.5</v>
      </c>
      <c r="BR68" s="2" t="s">
        <v>223</v>
      </c>
      <c r="BS68" s="2">
        <v>8</v>
      </c>
      <c r="BT68" s="2">
        <v>10</v>
      </c>
      <c r="BU68" s="2">
        <v>6.5</v>
      </c>
      <c r="BV68" s="2">
        <v>6</v>
      </c>
      <c r="BW68" s="2">
        <v>6</v>
      </c>
      <c r="BX68" s="3" t="s">
        <v>382</v>
      </c>
      <c r="BY68" s="1" t="s">
        <v>230</v>
      </c>
    </row>
    <row r="69" spans="1:77" x14ac:dyDescent="0.25">
      <c r="A69">
        <v>29</v>
      </c>
      <c r="B69" t="s">
        <v>14</v>
      </c>
      <c r="C69">
        <v>18431</v>
      </c>
      <c r="D69" t="s">
        <v>160</v>
      </c>
      <c r="E69" s="1" t="s">
        <v>13</v>
      </c>
      <c r="G69" s="1">
        <v>34.5</v>
      </c>
      <c r="H69" s="2">
        <v>32.5</v>
      </c>
      <c r="I69" s="2">
        <f t="shared" si="21"/>
        <v>8.5</v>
      </c>
      <c r="J69" s="3">
        <f t="shared" si="22"/>
        <v>9</v>
      </c>
      <c r="K69" s="1">
        <v>59</v>
      </c>
      <c r="N69" s="1">
        <v>36.5</v>
      </c>
      <c r="O69" s="3">
        <v>36.5</v>
      </c>
      <c r="P69" s="2">
        <f t="shared" si="23"/>
        <v>9.5</v>
      </c>
      <c r="Q69" s="3">
        <f t="shared" si="24"/>
        <v>10</v>
      </c>
      <c r="R69" s="1">
        <v>71.5</v>
      </c>
      <c r="U69" s="1">
        <v>38</v>
      </c>
      <c r="V69" s="3">
        <v>36</v>
      </c>
      <c r="W69" s="2">
        <f t="shared" si="25"/>
        <v>9.5</v>
      </c>
      <c r="X69" s="3">
        <f t="shared" si="26"/>
        <v>7</v>
      </c>
      <c r="Y69" s="1">
        <v>68</v>
      </c>
      <c r="AB69" s="1">
        <v>33</v>
      </c>
      <c r="AC69" s="3">
        <v>38</v>
      </c>
      <c r="AD69" s="2">
        <f t="shared" si="27"/>
        <v>9</v>
      </c>
      <c r="AE69" s="3">
        <f t="shared" si="28"/>
        <v>9.5</v>
      </c>
      <c r="AF69" s="1">
        <v>71.5</v>
      </c>
      <c r="AI69" s="1">
        <v>34.5</v>
      </c>
      <c r="AJ69" s="3">
        <v>36.5</v>
      </c>
      <c r="AK69" s="2">
        <f t="shared" si="29"/>
        <v>9</v>
      </c>
      <c r="AL69" s="3">
        <f t="shared" si="30"/>
        <v>9.5</v>
      </c>
      <c r="AM69" s="1">
        <v>70.5</v>
      </c>
      <c r="AN69" s="1">
        <f t="shared" si="31"/>
        <v>89</v>
      </c>
      <c r="AP69" s="1">
        <v>24.5</v>
      </c>
      <c r="AQ69" s="2" t="s">
        <v>215</v>
      </c>
      <c r="AR69" s="1">
        <v>22.5</v>
      </c>
      <c r="AS69" s="2">
        <v>7</v>
      </c>
      <c r="AU69" s="2" t="s">
        <v>21</v>
      </c>
      <c r="AV69" s="1">
        <v>36</v>
      </c>
      <c r="AX69" s="2">
        <v>9</v>
      </c>
      <c r="AY69" s="2">
        <v>10</v>
      </c>
      <c r="AZ69" s="2">
        <v>8</v>
      </c>
      <c r="BA69" s="2">
        <v>9</v>
      </c>
      <c r="BC69" t="s">
        <v>234</v>
      </c>
      <c r="BD69" t="s">
        <v>235</v>
      </c>
      <c r="BE69" t="s">
        <v>236</v>
      </c>
      <c r="BF69" t="s">
        <v>291</v>
      </c>
      <c r="BG69" t="s">
        <v>292</v>
      </c>
      <c r="BH69" t="s">
        <v>290</v>
      </c>
      <c r="BJ69" s="2" t="s">
        <v>214</v>
      </c>
      <c r="BK69" s="2" t="s">
        <v>381</v>
      </c>
      <c r="BL69" s="1" t="s">
        <v>221</v>
      </c>
      <c r="BM69" s="1">
        <v>9</v>
      </c>
      <c r="BN69" s="1">
        <v>9.5</v>
      </c>
      <c r="BO69" s="1">
        <v>5</v>
      </c>
      <c r="BP69" s="1">
        <v>9</v>
      </c>
      <c r="BQ69" s="1">
        <v>9.5</v>
      </c>
      <c r="BR69" s="2" t="s">
        <v>223</v>
      </c>
      <c r="BS69" s="2">
        <v>9</v>
      </c>
      <c r="BT69" s="2">
        <v>10</v>
      </c>
      <c r="BU69" s="2">
        <v>8.5</v>
      </c>
      <c r="BV69" s="2">
        <v>9.5</v>
      </c>
      <c r="BW69" s="2">
        <v>9</v>
      </c>
      <c r="BX69" s="3" t="s">
        <v>382</v>
      </c>
      <c r="BY69" s="1" t="s">
        <v>230</v>
      </c>
    </row>
    <row r="70" spans="1:77" x14ac:dyDescent="0.25">
      <c r="A70">
        <v>30</v>
      </c>
      <c r="B70" t="s">
        <v>14</v>
      </c>
      <c r="C70">
        <v>18734</v>
      </c>
      <c r="D70" t="s">
        <v>165</v>
      </c>
      <c r="E70" s="1" t="s">
        <v>13</v>
      </c>
      <c r="G70" s="1">
        <v>21</v>
      </c>
      <c r="H70" s="2">
        <v>20.5</v>
      </c>
      <c r="I70" s="2">
        <f t="shared" si="21"/>
        <v>5.5</v>
      </c>
      <c r="J70" s="3">
        <f t="shared" si="22"/>
        <v>8.5</v>
      </c>
      <c r="K70" s="1">
        <v>37.5</v>
      </c>
      <c r="N70" s="1">
        <v>9</v>
      </c>
      <c r="O70" s="3">
        <v>9</v>
      </c>
      <c r="P70" s="2">
        <f t="shared" si="23"/>
        <v>2.5</v>
      </c>
      <c r="Q70" s="3">
        <f t="shared" si="24"/>
        <v>7</v>
      </c>
      <c r="R70" s="1">
        <v>19.5</v>
      </c>
      <c r="U70" s="1">
        <v>13.5</v>
      </c>
      <c r="V70" s="3">
        <v>22</v>
      </c>
      <c r="W70" s="2">
        <f t="shared" si="25"/>
        <v>4.5</v>
      </c>
      <c r="X70" s="3">
        <f t="shared" si="26"/>
        <v>5</v>
      </c>
      <c r="Y70" s="1">
        <v>32.5</v>
      </c>
      <c r="AB70" s="1">
        <v>21</v>
      </c>
      <c r="AC70" s="3">
        <v>24.5</v>
      </c>
      <c r="AD70" s="2">
        <f t="shared" si="27"/>
        <v>6</v>
      </c>
      <c r="AE70" s="3">
        <f t="shared" si="28"/>
        <v>7.5</v>
      </c>
      <c r="AF70" s="1">
        <v>42</v>
      </c>
      <c r="AI70" s="1">
        <v>18</v>
      </c>
      <c r="AJ70" s="3">
        <v>25.5</v>
      </c>
      <c r="AK70" s="2">
        <f t="shared" si="29"/>
        <v>5.5</v>
      </c>
      <c r="AL70" s="3">
        <f t="shared" si="30"/>
        <v>7.5</v>
      </c>
      <c r="AM70" s="1">
        <v>31</v>
      </c>
      <c r="AN70" s="1">
        <f t="shared" si="31"/>
        <v>44</v>
      </c>
      <c r="AP70" s="1">
        <v>7</v>
      </c>
      <c r="AQ70" s="2">
        <v>3.5</v>
      </c>
      <c r="AR70" s="1">
        <v>4</v>
      </c>
      <c r="AS70" s="2">
        <v>6</v>
      </c>
      <c r="AU70" s="2">
        <v>21</v>
      </c>
      <c r="AV70" s="1">
        <v>31.5</v>
      </c>
      <c r="AX70" s="2">
        <v>9.5</v>
      </c>
      <c r="AY70" s="2">
        <v>9</v>
      </c>
      <c r="AZ70" s="2">
        <v>9</v>
      </c>
      <c r="BA70" s="2">
        <v>4.5</v>
      </c>
      <c r="BC70" t="s">
        <v>234</v>
      </c>
      <c r="BD70" t="s">
        <v>235</v>
      </c>
      <c r="BE70" t="s">
        <v>236</v>
      </c>
      <c r="BF70" t="s">
        <v>263</v>
      </c>
      <c r="BG70" t="s">
        <v>261</v>
      </c>
      <c r="BH70" t="s">
        <v>279</v>
      </c>
      <c r="BJ70" s="2" t="s">
        <v>214</v>
      </c>
      <c r="BK70" s="2" t="s">
        <v>381</v>
      </c>
      <c r="BL70" s="1" t="s">
        <v>221</v>
      </c>
      <c r="BM70" s="1">
        <v>7.5</v>
      </c>
      <c r="BN70" s="1">
        <v>7</v>
      </c>
      <c r="BO70" s="1">
        <v>3</v>
      </c>
      <c r="BP70" s="1">
        <v>8.5</v>
      </c>
      <c r="BQ70" s="1">
        <v>6.5</v>
      </c>
      <c r="BR70" s="2" t="s">
        <v>223</v>
      </c>
      <c r="BS70" s="2">
        <v>9</v>
      </c>
      <c r="BT70" s="2">
        <v>6.5</v>
      </c>
      <c r="BU70" s="2">
        <v>6.5</v>
      </c>
      <c r="BV70" s="2">
        <v>6.5</v>
      </c>
      <c r="BW70" s="2">
        <v>8.5</v>
      </c>
      <c r="BX70" s="3" t="s">
        <v>382</v>
      </c>
      <c r="BY70" s="1" t="s">
        <v>230</v>
      </c>
    </row>
    <row r="71" spans="1:77" x14ac:dyDescent="0.25">
      <c r="A71">
        <v>31</v>
      </c>
      <c r="B71" t="s">
        <v>14</v>
      </c>
      <c r="C71">
        <v>16493</v>
      </c>
      <c r="D71" t="s">
        <v>170</v>
      </c>
      <c r="E71" s="1" t="s">
        <v>13</v>
      </c>
      <c r="G71" s="1" t="s">
        <v>20</v>
      </c>
      <c r="H71" s="2" t="s">
        <v>219</v>
      </c>
      <c r="I71" s="2">
        <f t="shared" si="21"/>
        <v>0</v>
      </c>
      <c r="J71" s="3">
        <f t="shared" si="22"/>
        <v>7.5</v>
      </c>
      <c r="K71" s="1">
        <v>60.5</v>
      </c>
      <c r="N71" s="1">
        <v>36.5</v>
      </c>
      <c r="O71" s="3">
        <v>35</v>
      </c>
      <c r="P71" s="2">
        <f t="shared" si="23"/>
        <v>9</v>
      </c>
      <c r="Q71" s="3">
        <f t="shared" si="24"/>
        <v>10</v>
      </c>
      <c r="R71" s="1">
        <v>68.5</v>
      </c>
      <c r="U71" s="1">
        <v>33.5</v>
      </c>
      <c r="V71" s="3">
        <v>23.5</v>
      </c>
      <c r="W71" s="2">
        <f t="shared" si="25"/>
        <v>7.5</v>
      </c>
      <c r="X71" s="3">
        <f t="shared" si="26"/>
        <v>5.5</v>
      </c>
      <c r="Y71" s="1">
        <v>61.5</v>
      </c>
      <c r="AB71" s="1">
        <v>29.5</v>
      </c>
      <c r="AC71" s="3">
        <v>28.5</v>
      </c>
      <c r="AD71" s="2">
        <f t="shared" si="27"/>
        <v>7.5</v>
      </c>
      <c r="AE71" s="3">
        <f t="shared" si="28"/>
        <v>9</v>
      </c>
      <c r="AF71" s="1">
        <v>61.5</v>
      </c>
      <c r="AI71" s="1">
        <v>31.5</v>
      </c>
      <c r="AJ71" s="3">
        <v>28</v>
      </c>
      <c r="AK71" s="2">
        <f t="shared" si="29"/>
        <v>7.5</v>
      </c>
      <c r="AL71" s="3">
        <f t="shared" si="30"/>
        <v>10</v>
      </c>
      <c r="AM71" s="1">
        <v>53.5</v>
      </c>
      <c r="AN71" s="1">
        <f t="shared" si="31"/>
        <v>71</v>
      </c>
      <c r="AP71" s="1">
        <v>23</v>
      </c>
      <c r="AQ71" s="2">
        <v>16.5</v>
      </c>
      <c r="AR71" s="1">
        <v>26</v>
      </c>
      <c r="AS71" s="2">
        <v>5</v>
      </c>
      <c r="AU71" s="2">
        <v>18</v>
      </c>
      <c r="AV71" s="1">
        <v>31.5</v>
      </c>
      <c r="AX71" s="2">
        <v>9.5</v>
      </c>
      <c r="AY71" s="2">
        <v>10</v>
      </c>
      <c r="AZ71" s="2">
        <v>8</v>
      </c>
      <c r="BA71" s="2">
        <v>6.5</v>
      </c>
      <c r="BC71" t="s">
        <v>234</v>
      </c>
      <c r="BD71" t="s">
        <v>235</v>
      </c>
      <c r="BE71" t="s">
        <v>236</v>
      </c>
      <c r="BF71" t="s">
        <v>267</v>
      </c>
      <c r="BG71" t="s">
        <v>294</v>
      </c>
      <c r="BH71" t="s">
        <v>293</v>
      </c>
      <c r="BJ71" s="2" t="s">
        <v>214</v>
      </c>
      <c r="BK71" s="2" t="s">
        <v>381</v>
      </c>
      <c r="BL71" s="1" t="s">
        <v>221</v>
      </c>
      <c r="BM71" s="1">
        <v>6</v>
      </c>
      <c r="BN71" s="1">
        <v>10</v>
      </c>
      <c r="BO71" s="1">
        <v>5</v>
      </c>
      <c r="BP71" s="1">
        <v>10</v>
      </c>
      <c r="BQ71" s="1">
        <v>10</v>
      </c>
      <c r="BR71" s="2" t="s">
        <v>223</v>
      </c>
      <c r="BS71" s="2">
        <v>9</v>
      </c>
      <c r="BT71" s="2">
        <v>10</v>
      </c>
      <c r="BU71" s="2">
        <v>6</v>
      </c>
      <c r="BV71" s="2">
        <v>7.5</v>
      </c>
      <c r="BW71" s="2">
        <v>10</v>
      </c>
      <c r="BX71" s="3" t="s">
        <v>382</v>
      </c>
      <c r="BY71" s="1" t="s">
        <v>230</v>
      </c>
    </row>
    <row r="72" spans="1:77" x14ac:dyDescent="0.25">
      <c r="A72">
        <v>32</v>
      </c>
      <c r="B72" t="s">
        <v>14</v>
      </c>
      <c r="C72">
        <v>16686</v>
      </c>
      <c r="D72" t="s">
        <v>175</v>
      </c>
      <c r="E72" s="1" t="s">
        <v>13</v>
      </c>
      <c r="G72" s="1">
        <v>26.5</v>
      </c>
      <c r="H72" s="2">
        <v>24</v>
      </c>
      <c r="I72" s="2">
        <f t="shared" si="21"/>
        <v>6.5</v>
      </c>
      <c r="J72" s="3">
        <f t="shared" si="22"/>
        <v>5</v>
      </c>
      <c r="K72" s="1" t="s">
        <v>21</v>
      </c>
      <c r="N72" s="1">
        <v>35.5</v>
      </c>
      <c r="O72" s="3">
        <v>33</v>
      </c>
      <c r="P72" s="2">
        <f t="shared" si="23"/>
        <v>9</v>
      </c>
      <c r="Q72" s="3">
        <f t="shared" si="24"/>
        <v>10</v>
      </c>
      <c r="R72" s="1">
        <v>63.5</v>
      </c>
      <c r="U72" s="1">
        <v>26.5</v>
      </c>
      <c r="V72" s="3">
        <v>19.5</v>
      </c>
      <c r="W72" s="2">
        <f t="shared" si="25"/>
        <v>6</v>
      </c>
      <c r="X72" s="3">
        <f t="shared" si="26"/>
        <v>4.5</v>
      </c>
      <c r="Y72" s="1">
        <v>39.5</v>
      </c>
      <c r="AB72" s="1">
        <v>21</v>
      </c>
      <c r="AC72" s="3">
        <v>23</v>
      </c>
      <c r="AD72" s="2">
        <f t="shared" si="27"/>
        <v>5.5</v>
      </c>
      <c r="AE72" s="3">
        <f t="shared" si="28"/>
        <v>7.5</v>
      </c>
      <c r="AF72" s="1">
        <v>44.5</v>
      </c>
      <c r="AI72" s="1">
        <v>26.5</v>
      </c>
      <c r="AJ72" s="3">
        <v>19</v>
      </c>
      <c r="AK72" s="2">
        <f t="shared" si="29"/>
        <v>6</v>
      </c>
      <c r="AL72" s="3">
        <f t="shared" si="30"/>
        <v>9</v>
      </c>
      <c r="AM72" s="1">
        <v>47.5</v>
      </c>
      <c r="AN72" s="1">
        <f t="shared" si="31"/>
        <v>62.5</v>
      </c>
      <c r="AP72" s="1">
        <v>19</v>
      </c>
      <c r="AQ72" s="2">
        <v>22</v>
      </c>
      <c r="AR72" s="1">
        <v>20</v>
      </c>
      <c r="AS72" s="2">
        <v>6</v>
      </c>
      <c r="AU72" s="2">
        <v>18.5</v>
      </c>
      <c r="AV72" s="1">
        <v>29.5</v>
      </c>
      <c r="AX72" s="2">
        <v>7.5</v>
      </c>
      <c r="AY72" s="2">
        <v>10</v>
      </c>
      <c r="AZ72" s="2">
        <v>8</v>
      </c>
      <c r="BA72" s="2">
        <v>8.5</v>
      </c>
      <c r="BC72" t="s">
        <v>234</v>
      </c>
      <c r="BD72" t="s">
        <v>235</v>
      </c>
      <c r="BE72" t="s">
        <v>236</v>
      </c>
      <c r="BF72" t="s">
        <v>295</v>
      </c>
      <c r="BG72" t="s">
        <v>264</v>
      </c>
      <c r="BH72">
        <v>77.5</v>
      </c>
      <c r="BJ72" s="2" t="s">
        <v>214</v>
      </c>
      <c r="BK72" s="2" t="s">
        <v>381</v>
      </c>
      <c r="BL72" s="1" t="s">
        <v>221</v>
      </c>
      <c r="BM72" s="1">
        <v>6</v>
      </c>
      <c r="BN72" s="1">
        <v>9.5</v>
      </c>
      <c r="BO72" s="1">
        <v>4</v>
      </c>
      <c r="BP72" s="1">
        <v>7.5</v>
      </c>
      <c r="BQ72" s="1">
        <v>8</v>
      </c>
      <c r="BR72" s="2" t="s">
        <v>223</v>
      </c>
      <c r="BS72" s="2">
        <v>4</v>
      </c>
      <c r="BT72" s="2">
        <v>10</v>
      </c>
      <c r="BU72" s="2">
        <v>4.5</v>
      </c>
      <c r="BV72" s="2">
        <v>7.5</v>
      </c>
      <c r="BW72" s="2">
        <v>9.5</v>
      </c>
      <c r="BX72" s="3" t="s">
        <v>382</v>
      </c>
      <c r="BY72" s="1" t="s">
        <v>230</v>
      </c>
    </row>
    <row r="73" spans="1:77" x14ac:dyDescent="0.25">
      <c r="A73">
        <v>33</v>
      </c>
      <c r="B73" t="s">
        <v>14</v>
      </c>
      <c r="C73">
        <v>16512</v>
      </c>
      <c r="D73" t="s">
        <v>180</v>
      </c>
      <c r="E73" s="1" t="s">
        <v>13</v>
      </c>
      <c r="G73" s="1">
        <v>32</v>
      </c>
      <c r="H73" s="2">
        <v>32</v>
      </c>
      <c r="I73" s="2">
        <f t="shared" si="21"/>
        <v>8</v>
      </c>
      <c r="J73" s="3">
        <f t="shared" si="22"/>
        <v>9.5</v>
      </c>
      <c r="K73" s="1">
        <v>57.5</v>
      </c>
      <c r="N73" s="1">
        <v>36</v>
      </c>
      <c r="O73" s="3">
        <v>37.5</v>
      </c>
      <c r="P73" s="2">
        <f t="shared" si="23"/>
        <v>9.5</v>
      </c>
      <c r="Q73" s="3">
        <f t="shared" si="24"/>
        <v>10</v>
      </c>
      <c r="R73" s="1">
        <v>72.5</v>
      </c>
      <c r="U73" s="1">
        <v>38</v>
      </c>
      <c r="V73" s="3">
        <v>38</v>
      </c>
      <c r="W73" s="2">
        <f t="shared" si="25"/>
        <v>9.5</v>
      </c>
      <c r="X73" s="3">
        <f t="shared" si="26"/>
        <v>9</v>
      </c>
      <c r="Y73" s="1">
        <v>77</v>
      </c>
      <c r="AB73" s="1">
        <v>33.5</v>
      </c>
      <c r="AC73" s="3">
        <v>38.5</v>
      </c>
      <c r="AD73" s="2">
        <f t="shared" si="27"/>
        <v>9</v>
      </c>
      <c r="AE73" s="3">
        <f t="shared" si="28"/>
        <v>9.5</v>
      </c>
      <c r="AF73" s="1">
        <v>67</v>
      </c>
      <c r="AI73" s="1">
        <v>39.5</v>
      </c>
      <c r="AJ73" s="3">
        <v>34.5</v>
      </c>
      <c r="AK73" s="2">
        <f t="shared" si="29"/>
        <v>9.5</v>
      </c>
      <c r="AL73" s="3">
        <f t="shared" si="30"/>
        <v>9.5</v>
      </c>
      <c r="AM73" s="1">
        <v>66.5</v>
      </c>
      <c r="AN73" s="1">
        <f t="shared" si="31"/>
        <v>85.5</v>
      </c>
      <c r="AP73" s="1">
        <v>21</v>
      </c>
      <c r="AQ73" s="2">
        <v>19</v>
      </c>
      <c r="AR73" s="1">
        <v>27</v>
      </c>
      <c r="AS73" s="2">
        <v>7</v>
      </c>
      <c r="AU73" s="2">
        <v>25</v>
      </c>
      <c r="AV73" s="1">
        <v>39</v>
      </c>
      <c r="AX73" s="2">
        <v>8.5</v>
      </c>
      <c r="AY73" s="2">
        <v>10</v>
      </c>
      <c r="AZ73" s="2">
        <v>8</v>
      </c>
      <c r="BA73" s="2">
        <v>9</v>
      </c>
      <c r="BC73" t="s">
        <v>234</v>
      </c>
      <c r="BD73" t="s">
        <v>235</v>
      </c>
      <c r="BE73" t="s">
        <v>236</v>
      </c>
      <c r="BF73" t="s">
        <v>296</v>
      </c>
      <c r="BG73" t="s">
        <v>297</v>
      </c>
      <c r="BH73" t="s">
        <v>273</v>
      </c>
      <c r="BJ73" s="2" t="s">
        <v>214</v>
      </c>
      <c r="BK73" s="2" t="s">
        <v>381</v>
      </c>
      <c r="BL73" s="1" t="s">
        <v>221</v>
      </c>
      <c r="BM73" s="1">
        <v>10</v>
      </c>
      <c r="BN73" s="1">
        <v>9.5</v>
      </c>
      <c r="BO73" s="1">
        <v>9</v>
      </c>
      <c r="BP73" s="1">
        <v>10</v>
      </c>
      <c r="BQ73" s="1">
        <v>9</v>
      </c>
      <c r="BR73" s="2" t="s">
        <v>223</v>
      </c>
      <c r="BS73" s="2">
        <v>9</v>
      </c>
      <c r="BT73" s="2">
        <v>10</v>
      </c>
      <c r="BU73" s="2">
        <v>9</v>
      </c>
      <c r="BV73" s="2">
        <v>9</v>
      </c>
      <c r="BW73" s="2">
        <v>10</v>
      </c>
      <c r="BX73" s="3" t="s">
        <v>382</v>
      </c>
      <c r="BY73" s="1" t="s">
        <v>230</v>
      </c>
    </row>
    <row r="74" spans="1:77" x14ac:dyDescent="0.25">
      <c r="A74">
        <v>34</v>
      </c>
      <c r="B74" t="s">
        <v>14</v>
      </c>
      <c r="C74">
        <v>18368</v>
      </c>
      <c r="D74" t="s">
        <v>185</v>
      </c>
      <c r="E74" s="1" t="s">
        <v>13</v>
      </c>
      <c r="G74" s="1">
        <v>22.5</v>
      </c>
      <c r="H74" s="2">
        <v>19.5</v>
      </c>
      <c r="I74" s="2">
        <f t="shared" si="21"/>
        <v>5.5</v>
      </c>
      <c r="J74" s="3">
        <f t="shared" si="22"/>
        <v>4.5</v>
      </c>
      <c r="K74" s="1">
        <v>26.5</v>
      </c>
      <c r="N74" s="1">
        <v>20.5</v>
      </c>
      <c r="O74" s="3">
        <v>21</v>
      </c>
      <c r="P74" s="2">
        <f t="shared" si="23"/>
        <v>5.5</v>
      </c>
      <c r="Q74" s="3">
        <f t="shared" si="24"/>
        <v>8</v>
      </c>
      <c r="R74" s="1">
        <v>49</v>
      </c>
      <c r="U74" s="1">
        <v>26</v>
      </c>
      <c r="V74" s="3">
        <v>21.5</v>
      </c>
      <c r="W74" s="2">
        <f t="shared" si="25"/>
        <v>6</v>
      </c>
      <c r="X74" s="3">
        <f t="shared" si="26"/>
        <v>5.5</v>
      </c>
      <c r="Y74" s="1">
        <v>46</v>
      </c>
      <c r="AB74" s="1">
        <v>17</v>
      </c>
      <c r="AC74" s="3">
        <v>21</v>
      </c>
      <c r="AD74" s="2">
        <f t="shared" si="27"/>
        <v>5</v>
      </c>
      <c r="AE74" s="3">
        <f t="shared" si="28"/>
        <v>8.5</v>
      </c>
      <c r="AF74" s="1">
        <v>45.5</v>
      </c>
      <c r="AI74" s="1">
        <v>28.5</v>
      </c>
      <c r="AJ74" s="3">
        <v>25.5</v>
      </c>
      <c r="AK74" s="2">
        <f t="shared" si="29"/>
        <v>7</v>
      </c>
      <c r="AL74" s="3">
        <f t="shared" si="30"/>
        <v>8</v>
      </c>
      <c r="AM74" s="1">
        <v>34.5</v>
      </c>
      <c r="AN74" s="1">
        <f t="shared" si="31"/>
        <v>49.5</v>
      </c>
      <c r="AP74" s="1">
        <v>4</v>
      </c>
      <c r="AQ74" s="2">
        <v>6</v>
      </c>
      <c r="AR74" s="1">
        <v>15</v>
      </c>
      <c r="AS74" s="2">
        <v>4</v>
      </c>
      <c r="AU74" s="2">
        <v>16</v>
      </c>
      <c r="AV74" s="1">
        <v>33.5</v>
      </c>
      <c r="AX74" s="2">
        <v>8</v>
      </c>
      <c r="AY74" s="2">
        <v>10</v>
      </c>
      <c r="AZ74" s="2">
        <v>8</v>
      </c>
      <c r="BA74" s="2">
        <v>6</v>
      </c>
      <c r="BC74" t="s">
        <v>234</v>
      </c>
      <c r="BD74" t="s">
        <v>235</v>
      </c>
      <c r="BE74" t="s">
        <v>236</v>
      </c>
      <c r="BF74" t="s">
        <v>270</v>
      </c>
      <c r="BG74" t="s">
        <v>264</v>
      </c>
      <c r="BH74" t="s">
        <v>273</v>
      </c>
      <c r="BJ74" s="2" t="s">
        <v>214</v>
      </c>
      <c r="BK74" s="2" t="s">
        <v>381</v>
      </c>
      <c r="BL74" s="1" t="s">
        <v>221</v>
      </c>
      <c r="BM74" s="1">
        <v>5</v>
      </c>
      <c r="BN74" s="1">
        <v>7</v>
      </c>
      <c r="BO74" s="1">
        <v>5.5</v>
      </c>
      <c r="BP74" s="1">
        <v>9</v>
      </c>
      <c r="BQ74" s="1">
        <v>7</v>
      </c>
      <c r="BR74" s="2" t="s">
        <v>223</v>
      </c>
      <c r="BS74" s="2">
        <v>3.5</v>
      </c>
      <c r="BT74" s="2">
        <v>9</v>
      </c>
      <c r="BU74" s="2">
        <v>5.5</v>
      </c>
      <c r="BV74" s="2">
        <v>7.5</v>
      </c>
      <c r="BW74" s="2">
        <v>9</v>
      </c>
      <c r="BX74" s="3" t="s">
        <v>382</v>
      </c>
      <c r="BY74" s="1" t="s">
        <v>230</v>
      </c>
    </row>
    <row r="75" spans="1:77" x14ac:dyDescent="0.25">
      <c r="A75">
        <v>35</v>
      </c>
      <c r="B75" t="s">
        <v>14</v>
      </c>
      <c r="C75">
        <v>16704</v>
      </c>
      <c r="D75" t="s">
        <v>190</v>
      </c>
      <c r="E75" s="1" t="s">
        <v>13</v>
      </c>
      <c r="G75" s="1">
        <v>6.5</v>
      </c>
      <c r="H75" s="2">
        <v>6</v>
      </c>
      <c r="I75" s="2">
        <f t="shared" si="21"/>
        <v>2</v>
      </c>
      <c r="J75" s="3">
        <f t="shared" si="22"/>
        <v>2</v>
      </c>
      <c r="K75" s="1">
        <v>15.5</v>
      </c>
      <c r="N75" s="1">
        <v>3</v>
      </c>
      <c r="O75" s="3">
        <v>13.5</v>
      </c>
      <c r="P75" s="2">
        <f t="shared" si="23"/>
        <v>2.5</v>
      </c>
      <c r="Q75" s="3">
        <f t="shared" si="24"/>
        <v>4</v>
      </c>
      <c r="R75" s="1">
        <v>23.5</v>
      </c>
      <c r="U75" s="1">
        <v>8</v>
      </c>
      <c r="V75" s="3">
        <v>8.5</v>
      </c>
      <c r="W75" s="2">
        <f t="shared" si="25"/>
        <v>2.5</v>
      </c>
      <c r="X75" s="3">
        <f t="shared" si="26"/>
        <v>3</v>
      </c>
      <c r="Y75" s="1">
        <v>8.5</v>
      </c>
      <c r="AB75" s="1">
        <v>5.5</v>
      </c>
      <c r="AC75" s="3">
        <v>5</v>
      </c>
      <c r="AD75" s="2">
        <f t="shared" si="27"/>
        <v>1.5</v>
      </c>
      <c r="AE75" s="3">
        <f t="shared" si="28"/>
        <v>7</v>
      </c>
      <c r="AF75" s="1">
        <v>12</v>
      </c>
      <c r="AI75" s="1">
        <v>3</v>
      </c>
      <c r="AJ75" s="3">
        <v>6.5</v>
      </c>
      <c r="AK75" s="2">
        <f t="shared" si="29"/>
        <v>1.5</v>
      </c>
      <c r="AL75" s="3">
        <f t="shared" si="30"/>
        <v>4.5</v>
      </c>
      <c r="AM75" s="1">
        <v>9.5</v>
      </c>
      <c r="AN75" s="1">
        <f t="shared" si="31"/>
        <v>15.5</v>
      </c>
      <c r="AP75" s="1">
        <v>6</v>
      </c>
      <c r="AQ75" s="2">
        <v>4</v>
      </c>
      <c r="AR75" s="1">
        <v>7</v>
      </c>
      <c r="AS75" s="2">
        <v>4</v>
      </c>
      <c r="AU75" s="2">
        <v>12.5</v>
      </c>
      <c r="AV75" s="1">
        <v>27.5</v>
      </c>
      <c r="AX75" s="2">
        <v>8</v>
      </c>
      <c r="AY75" s="2">
        <v>10</v>
      </c>
      <c r="AZ75" s="2">
        <v>8</v>
      </c>
      <c r="BA75" s="2">
        <v>2.5</v>
      </c>
      <c r="BC75" t="s">
        <v>234</v>
      </c>
      <c r="BD75" t="s">
        <v>235</v>
      </c>
      <c r="BE75" t="s">
        <v>236</v>
      </c>
      <c r="BG75" t="s">
        <v>264</v>
      </c>
      <c r="BH75" t="s">
        <v>298</v>
      </c>
      <c r="BJ75" s="2" t="s">
        <v>214</v>
      </c>
      <c r="BK75" s="2" t="s">
        <v>381</v>
      </c>
      <c r="BL75" s="1" t="s">
        <v>221</v>
      </c>
      <c r="BM75" s="1">
        <v>4</v>
      </c>
      <c r="BN75" s="1">
        <v>8</v>
      </c>
      <c r="BO75" s="1">
        <v>2</v>
      </c>
      <c r="BP75" s="1">
        <v>7</v>
      </c>
      <c r="BQ75" s="1">
        <v>3.5</v>
      </c>
      <c r="BR75" s="2" t="s">
        <v>223</v>
      </c>
      <c r="BS75" s="2" t="s">
        <v>21</v>
      </c>
      <c r="BT75" s="2" t="s">
        <v>21</v>
      </c>
      <c r="BU75" s="2">
        <v>3.5</v>
      </c>
      <c r="BV75" s="2">
        <v>6.5</v>
      </c>
      <c r="BW75" s="2">
        <v>5</v>
      </c>
      <c r="BX75" s="3" t="s">
        <v>382</v>
      </c>
      <c r="BY75" s="1" t="s">
        <v>230</v>
      </c>
    </row>
    <row r="76" spans="1:77" x14ac:dyDescent="0.25">
      <c r="A76">
        <v>36</v>
      </c>
      <c r="B76" t="s">
        <v>14</v>
      </c>
      <c r="C76">
        <v>16545</v>
      </c>
      <c r="D76" t="s">
        <v>195</v>
      </c>
      <c r="E76" s="1" t="s">
        <v>13</v>
      </c>
      <c r="G76" s="1">
        <v>27</v>
      </c>
      <c r="H76" s="2">
        <v>22.5</v>
      </c>
      <c r="I76" s="2">
        <f t="shared" si="21"/>
        <v>6.5</v>
      </c>
      <c r="J76" s="3">
        <f t="shared" si="22"/>
        <v>6</v>
      </c>
      <c r="K76" s="1">
        <v>35</v>
      </c>
      <c r="N76" s="1">
        <v>24.5</v>
      </c>
      <c r="O76" s="3">
        <v>32.5</v>
      </c>
      <c r="P76" s="2">
        <f t="shared" si="23"/>
        <v>7.5</v>
      </c>
      <c r="Q76" s="3">
        <f t="shared" si="24"/>
        <v>9.5</v>
      </c>
      <c r="R76" s="1">
        <v>54</v>
      </c>
      <c r="U76" s="1">
        <v>27</v>
      </c>
      <c r="V76" s="3">
        <v>27.5</v>
      </c>
      <c r="W76" s="2">
        <f t="shared" si="25"/>
        <v>7</v>
      </c>
      <c r="X76" s="3">
        <f t="shared" si="26"/>
        <v>6.5</v>
      </c>
      <c r="Y76" s="1">
        <v>54.5</v>
      </c>
      <c r="AB76" s="1">
        <v>26.5</v>
      </c>
      <c r="AC76" s="3">
        <v>26</v>
      </c>
      <c r="AD76" s="2">
        <f t="shared" si="27"/>
        <v>7</v>
      </c>
      <c r="AE76" s="3">
        <f t="shared" si="28"/>
        <v>7.5</v>
      </c>
      <c r="AF76" s="1">
        <v>54.5</v>
      </c>
      <c r="AI76" s="1">
        <v>29</v>
      </c>
      <c r="AJ76" s="3">
        <v>26.5</v>
      </c>
      <c r="AK76" s="2">
        <f t="shared" si="29"/>
        <v>7</v>
      </c>
      <c r="AL76" s="3">
        <f t="shared" si="30"/>
        <v>8.5</v>
      </c>
      <c r="AM76" s="1">
        <v>48</v>
      </c>
      <c r="AN76" s="1">
        <f t="shared" si="31"/>
        <v>63.5</v>
      </c>
      <c r="AP76" s="1">
        <v>10.5</v>
      </c>
      <c r="AQ76" s="2">
        <v>17.5</v>
      </c>
      <c r="AR76" s="1">
        <v>17.5</v>
      </c>
      <c r="AS76" s="2">
        <v>4</v>
      </c>
      <c r="AU76" s="2">
        <v>23.5</v>
      </c>
      <c r="AV76" s="1">
        <v>34.5</v>
      </c>
      <c r="AX76" s="2">
        <v>9</v>
      </c>
      <c r="AY76" s="2">
        <v>10</v>
      </c>
      <c r="AZ76" s="2">
        <v>8</v>
      </c>
      <c r="BA76" s="2">
        <v>5.5</v>
      </c>
      <c r="BC76" t="s">
        <v>234</v>
      </c>
      <c r="BD76" t="s">
        <v>235</v>
      </c>
      <c r="BE76" t="s">
        <v>236</v>
      </c>
      <c r="BF76" t="s">
        <v>299</v>
      </c>
      <c r="BG76" t="s">
        <v>261</v>
      </c>
      <c r="BH76" t="s">
        <v>276</v>
      </c>
      <c r="BJ76" s="2" t="s">
        <v>214</v>
      </c>
      <c r="BK76" s="2" t="s">
        <v>381</v>
      </c>
      <c r="BL76" s="1" t="s">
        <v>221</v>
      </c>
      <c r="BM76" s="1">
        <v>5</v>
      </c>
      <c r="BN76" s="1">
        <v>8.5</v>
      </c>
      <c r="BO76" s="1">
        <v>6</v>
      </c>
      <c r="BP76" s="1">
        <v>6.5</v>
      </c>
      <c r="BQ76" s="1">
        <v>8</v>
      </c>
      <c r="BR76" s="2" t="s">
        <v>223</v>
      </c>
      <c r="BS76" s="2">
        <v>6.5</v>
      </c>
      <c r="BT76" s="2">
        <v>10</v>
      </c>
      <c r="BU76" s="2">
        <v>7</v>
      </c>
      <c r="BV76" s="2">
        <v>8</v>
      </c>
      <c r="BW76" s="2">
        <v>9</v>
      </c>
      <c r="BX76" s="3" t="s">
        <v>382</v>
      </c>
      <c r="BY76" s="1" t="s">
        <v>230</v>
      </c>
    </row>
    <row r="77" spans="1:77" x14ac:dyDescent="0.25">
      <c r="A77">
        <v>37</v>
      </c>
      <c r="B77" t="s">
        <v>14</v>
      </c>
      <c r="C77">
        <v>17615</v>
      </c>
      <c r="D77" t="s">
        <v>200</v>
      </c>
      <c r="E77" s="1" t="s">
        <v>13</v>
      </c>
      <c r="G77" s="1">
        <v>33.5</v>
      </c>
      <c r="H77" s="2">
        <v>31.5</v>
      </c>
      <c r="I77" s="2">
        <f t="shared" si="21"/>
        <v>8.5</v>
      </c>
      <c r="J77" s="3">
        <f t="shared" si="22"/>
        <v>9.5</v>
      </c>
      <c r="K77" s="1">
        <v>49.5</v>
      </c>
      <c r="N77" s="1">
        <v>19.5</v>
      </c>
      <c r="O77" s="3">
        <v>25</v>
      </c>
      <c r="P77" s="2">
        <f t="shared" si="23"/>
        <v>6</v>
      </c>
      <c r="Q77" s="3">
        <f t="shared" si="24"/>
        <v>7</v>
      </c>
      <c r="R77" s="1">
        <v>32</v>
      </c>
      <c r="U77" s="1">
        <v>38</v>
      </c>
      <c r="V77" s="3">
        <v>25.5</v>
      </c>
      <c r="W77" s="2">
        <f t="shared" si="25"/>
        <v>8</v>
      </c>
      <c r="X77" s="3">
        <f t="shared" si="26"/>
        <v>4.5</v>
      </c>
      <c r="Y77" s="1">
        <v>65.5</v>
      </c>
      <c r="AB77" s="1">
        <v>30</v>
      </c>
      <c r="AC77" s="3">
        <v>33.5</v>
      </c>
      <c r="AD77" s="2">
        <f t="shared" si="27"/>
        <v>8</v>
      </c>
      <c r="AE77" s="3">
        <f t="shared" si="28"/>
        <v>8</v>
      </c>
      <c r="AF77" s="1">
        <v>60.5</v>
      </c>
      <c r="AI77" s="1">
        <v>24.5</v>
      </c>
      <c r="AJ77" s="3">
        <v>22</v>
      </c>
      <c r="AK77" s="2">
        <f t="shared" si="29"/>
        <v>6</v>
      </c>
      <c r="AL77" s="3">
        <f t="shared" si="30"/>
        <v>7.5</v>
      </c>
      <c r="AM77" s="1">
        <v>49.5</v>
      </c>
      <c r="AN77" s="1">
        <f t="shared" si="31"/>
        <v>63</v>
      </c>
      <c r="AP77" s="1">
        <v>7</v>
      </c>
      <c r="AQ77" s="2">
        <v>7</v>
      </c>
      <c r="AR77" s="1">
        <v>9</v>
      </c>
      <c r="AS77" s="2">
        <v>6</v>
      </c>
      <c r="AU77" s="2">
        <v>19</v>
      </c>
      <c r="AV77" s="1">
        <v>33.5</v>
      </c>
      <c r="AX77" s="2">
        <v>9.5</v>
      </c>
      <c r="AY77" s="2">
        <v>9.5</v>
      </c>
      <c r="AZ77" s="2">
        <v>8</v>
      </c>
      <c r="BA77" s="2">
        <v>7.5</v>
      </c>
      <c r="BC77" t="s">
        <v>234</v>
      </c>
      <c r="BD77" t="s">
        <v>235</v>
      </c>
      <c r="BE77" t="s">
        <v>236</v>
      </c>
      <c r="BF77" t="s">
        <v>299</v>
      </c>
      <c r="BG77" t="s">
        <v>261</v>
      </c>
      <c r="BH77" t="s">
        <v>300</v>
      </c>
      <c r="BJ77" s="2" t="s">
        <v>214</v>
      </c>
      <c r="BK77" s="2" t="s">
        <v>381</v>
      </c>
      <c r="BL77" s="1" t="s">
        <v>221</v>
      </c>
      <c r="BM77" s="1">
        <v>9</v>
      </c>
      <c r="BN77" s="1">
        <v>6</v>
      </c>
      <c r="BO77" s="1">
        <v>9</v>
      </c>
      <c r="BP77" s="1">
        <v>8.5</v>
      </c>
      <c r="BQ77" s="1">
        <v>6</v>
      </c>
      <c r="BR77" s="2" t="s">
        <v>223</v>
      </c>
      <c r="BS77" s="2">
        <v>9.5</v>
      </c>
      <c r="BT77" s="2">
        <v>8</v>
      </c>
      <c r="BU77" s="2" t="s">
        <v>20</v>
      </c>
      <c r="BV77" s="2">
        <v>7.5</v>
      </c>
      <c r="BW77" s="2">
        <v>8.5</v>
      </c>
      <c r="BX77" s="3" t="s">
        <v>382</v>
      </c>
      <c r="BY77" s="1" t="s">
        <v>230</v>
      </c>
    </row>
    <row r="78" spans="1:77" x14ac:dyDescent="0.25">
      <c r="A78">
        <v>38</v>
      </c>
      <c r="B78" t="s">
        <v>14</v>
      </c>
      <c r="C78">
        <v>16703</v>
      </c>
      <c r="D78" t="s">
        <v>205</v>
      </c>
      <c r="E78" s="1" t="s">
        <v>13</v>
      </c>
      <c r="G78" s="1">
        <v>11</v>
      </c>
      <c r="H78" s="2">
        <v>8.5</v>
      </c>
      <c r="I78" s="2">
        <f t="shared" si="21"/>
        <v>2.5</v>
      </c>
      <c r="J78" s="3">
        <f t="shared" si="22"/>
        <v>5.5</v>
      </c>
      <c r="K78" s="1">
        <v>23</v>
      </c>
      <c r="N78" s="1">
        <v>17.5</v>
      </c>
      <c r="O78" s="3">
        <v>25</v>
      </c>
      <c r="P78" s="2">
        <f t="shared" si="23"/>
        <v>5.5</v>
      </c>
      <c r="Q78" s="3">
        <f t="shared" si="24"/>
        <v>9</v>
      </c>
      <c r="R78" s="1">
        <v>40.5</v>
      </c>
      <c r="U78" s="1">
        <v>10</v>
      </c>
      <c r="V78" s="3">
        <v>10</v>
      </c>
      <c r="W78" s="2">
        <f t="shared" si="25"/>
        <v>2.5</v>
      </c>
      <c r="X78" s="3">
        <f t="shared" si="26"/>
        <v>4</v>
      </c>
      <c r="Y78" s="1">
        <v>23.5</v>
      </c>
      <c r="AB78" s="1">
        <v>6.5</v>
      </c>
      <c r="AC78" s="3">
        <v>7</v>
      </c>
      <c r="AD78" s="2">
        <f t="shared" si="27"/>
        <v>2</v>
      </c>
      <c r="AE78" s="3">
        <f t="shared" si="28"/>
        <v>7</v>
      </c>
      <c r="AF78" s="1">
        <v>20</v>
      </c>
      <c r="AI78" s="1">
        <v>8</v>
      </c>
      <c r="AJ78" s="3">
        <v>4</v>
      </c>
      <c r="AK78" s="2">
        <f t="shared" si="29"/>
        <v>1.5</v>
      </c>
      <c r="AL78" s="3">
        <f t="shared" si="30"/>
        <v>6</v>
      </c>
      <c r="AM78" s="1">
        <v>11</v>
      </c>
      <c r="AN78" s="1">
        <f t="shared" si="31"/>
        <v>18.5</v>
      </c>
      <c r="AP78" s="1">
        <v>4</v>
      </c>
      <c r="AQ78" s="2">
        <v>9</v>
      </c>
      <c r="AR78" s="1">
        <v>9.5</v>
      </c>
      <c r="AS78" s="2">
        <v>4</v>
      </c>
      <c r="AU78" s="2">
        <v>14.5</v>
      </c>
      <c r="AV78" s="1">
        <v>25</v>
      </c>
      <c r="AX78" s="2">
        <v>7</v>
      </c>
      <c r="AY78" s="2">
        <v>10</v>
      </c>
      <c r="AZ78" s="2">
        <v>8</v>
      </c>
      <c r="BA78" s="2">
        <v>2.5</v>
      </c>
      <c r="BC78" t="s">
        <v>234</v>
      </c>
      <c r="BD78" t="s">
        <v>235</v>
      </c>
      <c r="BE78" t="s">
        <v>236</v>
      </c>
      <c r="BF78" t="s">
        <v>263</v>
      </c>
      <c r="BG78" t="s">
        <v>264</v>
      </c>
      <c r="BH78" t="s">
        <v>281</v>
      </c>
      <c r="BJ78" s="2" t="s">
        <v>214</v>
      </c>
      <c r="BK78" s="2" t="s">
        <v>381</v>
      </c>
      <c r="BL78" s="1" t="s">
        <v>221</v>
      </c>
      <c r="BM78" s="1">
        <v>5</v>
      </c>
      <c r="BN78" s="1">
        <v>8</v>
      </c>
      <c r="BO78" s="1">
        <v>4</v>
      </c>
      <c r="BP78" s="1">
        <v>9</v>
      </c>
      <c r="BQ78" s="1">
        <v>4.5</v>
      </c>
      <c r="BR78" s="2" t="s">
        <v>223</v>
      </c>
      <c r="BS78" s="2">
        <v>5.5</v>
      </c>
      <c r="BT78" s="2">
        <v>10</v>
      </c>
      <c r="BU78" s="2">
        <v>4</v>
      </c>
      <c r="BV78" s="2">
        <v>5</v>
      </c>
      <c r="BW78" s="2">
        <v>7.5</v>
      </c>
      <c r="BX78" s="3" t="s">
        <v>382</v>
      </c>
      <c r="BY78" s="1" t="s">
        <v>230</v>
      </c>
    </row>
    <row r="79" spans="1:77" x14ac:dyDescent="0.25">
      <c r="A79">
        <v>39</v>
      </c>
      <c r="B79" t="s">
        <v>14</v>
      </c>
      <c r="C79">
        <v>18733</v>
      </c>
      <c r="D79" t="s">
        <v>210</v>
      </c>
      <c r="E79" s="1" t="s">
        <v>13</v>
      </c>
      <c r="G79" s="1">
        <v>18.5</v>
      </c>
      <c r="H79" s="2">
        <v>14</v>
      </c>
      <c r="I79" s="2">
        <f t="shared" si="21"/>
        <v>4.5</v>
      </c>
      <c r="J79" s="3">
        <f t="shared" si="22"/>
        <v>6.5</v>
      </c>
      <c r="K79" s="1">
        <v>23</v>
      </c>
      <c r="N79" s="1">
        <v>14</v>
      </c>
      <c r="O79" s="3">
        <v>14</v>
      </c>
      <c r="P79" s="2">
        <f t="shared" si="23"/>
        <v>3.5</v>
      </c>
      <c r="Q79" s="3">
        <f t="shared" si="24"/>
        <v>8.5</v>
      </c>
      <c r="R79" s="1">
        <v>17.5</v>
      </c>
      <c r="U79" s="1">
        <v>13.5</v>
      </c>
      <c r="V79" s="3">
        <v>18</v>
      </c>
      <c r="W79" s="2">
        <f t="shared" si="25"/>
        <v>4</v>
      </c>
      <c r="X79" s="3">
        <f t="shared" si="26"/>
        <v>3.5</v>
      </c>
      <c r="Y79" s="1">
        <v>21.5</v>
      </c>
      <c r="AB79" s="1">
        <v>14.5</v>
      </c>
      <c r="AC79" s="3">
        <v>20</v>
      </c>
      <c r="AD79" s="2">
        <f t="shared" si="27"/>
        <v>4.5</v>
      </c>
      <c r="AE79" s="3">
        <f t="shared" si="28"/>
        <v>7</v>
      </c>
      <c r="AF79" s="1">
        <v>33.5</v>
      </c>
      <c r="AI79" s="1">
        <v>14</v>
      </c>
      <c r="AJ79" s="3">
        <v>18.5</v>
      </c>
      <c r="AK79" s="2">
        <f t="shared" si="29"/>
        <v>4.5</v>
      </c>
      <c r="AL79" s="3">
        <f t="shared" si="30"/>
        <v>7</v>
      </c>
      <c r="AM79" s="1">
        <v>29.5</v>
      </c>
      <c r="AN79" s="1">
        <f t="shared" si="31"/>
        <v>41</v>
      </c>
      <c r="AP79" s="1">
        <v>2</v>
      </c>
      <c r="AQ79" s="2">
        <v>3</v>
      </c>
      <c r="AR79" s="1">
        <v>9.5</v>
      </c>
      <c r="AS79" s="2">
        <v>5</v>
      </c>
      <c r="AU79" s="2">
        <v>21</v>
      </c>
      <c r="AV79" s="1">
        <v>26.5</v>
      </c>
      <c r="AX79" s="2">
        <v>9.5</v>
      </c>
      <c r="AY79" s="2">
        <v>10</v>
      </c>
      <c r="AZ79" s="2">
        <v>8</v>
      </c>
      <c r="BA79" s="2">
        <v>2.5</v>
      </c>
      <c r="BC79" t="s">
        <v>234</v>
      </c>
      <c r="BD79" t="s">
        <v>235</v>
      </c>
      <c r="BE79" t="s">
        <v>236</v>
      </c>
      <c r="BF79" t="s">
        <v>263</v>
      </c>
      <c r="BG79" t="s">
        <v>261</v>
      </c>
      <c r="BH79" t="s">
        <v>301</v>
      </c>
      <c r="BJ79" s="2" t="s">
        <v>214</v>
      </c>
      <c r="BK79" s="2" t="s">
        <v>381</v>
      </c>
      <c r="BL79" s="1" t="s">
        <v>221</v>
      </c>
      <c r="BM79" s="1">
        <v>5.5</v>
      </c>
      <c r="BN79" s="1">
        <v>8.5</v>
      </c>
      <c r="BO79" s="1">
        <v>3</v>
      </c>
      <c r="BP79" s="1">
        <v>7.5</v>
      </c>
      <c r="BQ79" s="1">
        <v>6</v>
      </c>
      <c r="BR79" s="2" t="s">
        <v>223</v>
      </c>
      <c r="BS79" s="2">
        <v>7.5</v>
      </c>
      <c r="BT79" s="2">
        <v>8</v>
      </c>
      <c r="BU79" s="2">
        <v>3.5</v>
      </c>
      <c r="BV79" s="2">
        <v>6.5</v>
      </c>
      <c r="BW79" s="2">
        <v>8</v>
      </c>
      <c r="BX79" s="3" t="s">
        <v>382</v>
      </c>
      <c r="BY79" s="1" t="s">
        <v>230</v>
      </c>
    </row>
    <row r="80" spans="1:77" x14ac:dyDescent="0.25">
      <c r="A80">
        <v>1</v>
      </c>
      <c r="B80" t="s">
        <v>16</v>
      </c>
      <c r="C80">
        <v>16442</v>
      </c>
      <c r="D80" t="s">
        <v>17</v>
      </c>
      <c r="E80" s="1" t="s">
        <v>13</v>
      </c>
      <c r="G80" s="1">
        <v>29</v>
      </c>
      <c r="H80" s="2">
        <v>27.5</v>
      </c>
      <c r="I80" s="2">
        <f t="shared" si="21"/>
        <v>7.5</v>
      </c>
      <c r="J80" s="3">
        <f t="shared" si="22"/>
        <v>8.5</v>
      </c>
      <c r="K80" s="1">
        <v>48</v>
      </c>
      <c r="N80" s="1">
        <v>38</v>
      </c>
      <c r="O80" s="3">
        <v>37</v>
      </c>
      <c r="P80" s="2">
        <f t="shared" si="23"/>
        <v>9.5</v>
      </c>
      <c r="Q80" s="3">
        <f t="shared" si="24"/>
        <v>10</v>
      </c>
      <c r="R80" s="1">
        <v>72</v>
      </c>
      <c r="U80" s="1">
        <v>32</v>
      </c>
      <c r="V80" s="3">
        <v>32</v>
      </c>
      <c r="W80" s="2">
        <f t="shared" si="25"/>
        <v>8</v>
      </c>
      <c r="X80" s="3">
        <f t="shared" si="26"/>
        <v>7.5</v>
      </c>
      <c r="Y80" s="1">
        <v>62</v>
      </c>
      <c r="AB80" s="1">
        <v>35.5</v>
      </c>
      <c r="AC80" s="3">
        <v>31.5</v>
      </c>
      <c r="AD80" s="2">
        <f t="shared" si="27"/>
        <v>8.5</v>
      </c>
      <c r="AE80" s="3">
        <f t="shared" si="28"/>
        <v>9.5</v>
      </c>
      <c r="AF80" s="1">
        <v>68.5</v>
      </c>
      <c r="AI80" s="1">
        <v>31</v>
      </c>
      <c r="AJ80" s="3">
        <v>30.5</v>
      </c>
      <c r="AK80" s="2">
        <f t="shared" si="29"/>
        <v>8</v>
      </c>
      <c r="AL80" s="3">
        <f t="shared" si="30"/>
        <v>9.5</v>
      </c>
      <c r="AM80" s="1">
        <v>63.5</v>
      </c>
      <c r="AN80" s="1">
        <f t="shared" si="31"/>
        <v>81</v>
      </c>
      <c r="AP80" s="1">
        <v>17</v>
      </c>
      <c r="AQ80" s="2">
        <v>19</v>
      </c>
      <c r="AR80" s="1">
        <v>27</v>
      </c>
      <c r="AS80" s="2">
        <v>6</v>
      </c>
      <c r="AU80" s="2">
        <v>18.5</v>
      </c>
      <c r="AV80" s="1">
        <v>35.5</v>
      </c>
      <c r="AX80" s="2">
        <v>7.5</v>
      </c>
      <c r="AY80" s="2">
        <v>10</v>
      </c>
      <c r="AZ80" s="2">
        <v>7</v>
      </c>
      <c r="BA80" s="2">
        <v>9</v>
      </c>
      <c r="BC80" t="s">
        <v>234</v>
      </c>
      <c r="BD80" t="s">
        <v>235</v>
      </c>
      <c r="BE80" t="s">
        <v>236</v>
      </c>
      <c r="BF80" t="s">
        <v>302</v>
      </c>
      <c r="BG80" t="s">
        <v>303</v>
      </c>
      <c r="BH80" t="s">
        <v>247</v>
      </c>
      <c r="BJ80" s="2" t="s">
        <v>214</v>
      </c>
      <c r="BK80" s="2" t="s">
        <v>381</v>
      </c>
      <c r="BL80" s="1" t="s">
        <v>221</v>
      </c>
      <c r="BM80" s="1">
        <v>8.5</v>
      </c>
      <c r="BN80" s="1">
        <v>10</v>
      </c>
      <c r="BO80" s="1">
        <v>8</v>
      </c>
      <c r="BP80" s="1">
        <v>10</v>
      </c>
      <c r="BQ80" s="1">
        <v>9</v>
      </c>
      <c r="BR80" s="2" t="s">
        <v>223</v>
      </c>
      <c r="BS80" s="2">
        <v>8.5</v>
      </c>
      <c r="BT80" s="2">
        <v>10</v>
      </c>
      <c r="BU80" s="2">
        <v>6.5</v>
      </c>
      <c r="BV80" s="2">
        <v>8.5</v>
      </c>
      <c r="BW80" s="2">
        <v>10</v>
      </c>
      <c r="BX80" s="3" t="s">
        <v>382</v>
      </c>
      <c r="BY80" s="1" t="s">
        <v>230</v>
      </c>
    </row>
    <row r="81" spans="1:77" x14ac:dyDescent="0.25">
      <c r="A81">
        <v>2</v>
      </c>
      <c r="B81" t="s">
        <v>16</v>
      </c>
      <c r="C81">
        <v>16558</v>
      </c>
      <c r="D81" t="s">
        <v>26</v>
      </c>
      <c r="E81" s="1" t="s">
        <v>13</v>
      </c>
      <c r="G81" s="1" t="s">
        <v>20</v>
      </c>
      <c r="H81" s="2">
        <v>33</v>
      </c>
      <c r="I81" s="2">
        <f t="shared" si="21"/>
        <v>4.5</v>
      </c>
      <c r="J81" s="3">
        <f t="shared" si="22"/>
        <v>8</v>
      </c>
      <c r="K81" s="1">
        <v>60.5</v>
      </c>
      <c r="N81" s="1">
        <v>36.5</v>
      </c>
      <c r="O81" s="3">
        <v>37</v>
      </c>
      <c r="P81" s="2">
        <f t="shared" si="23"/>
        <v>9.5</v>
      </c>
      <c r="Q81" s="3">
        <f t="shared" si="24"/>
        <v>10</v>
      </c>
      <c r="R81" s="1">
        <v>72</v>
      </c>
      <c r="U81" s="1">
        <v>28.5</v>
      </c>
      <c r="V81" s="3">
        <v>28.5</v>
      </c>
      <c r="W81" s="2">
        <f t="shared" si="25"/>
        <v>7.5</v>
      </c>
      <c r="X81" s="3">
        <f t="shared" si="26"/>
        <v>9</v>
      </c>
      <c r="Y81" s="1">
        <v>68</v>
      </c>
      <c r="AB81" s="1">
        <v>27</v>
      </c>
      <c r="AC81" s="3">
        <v>40</v>
      </c>
      <c r="AD81" s="2">
        <f t="shared" si="27"/>
        <v>8.5</v>
      </c>
      <c r="AE81" s="3">
        <f t="shared" si="28"/>
        <v>9.5</v>
      </c>
      <c r="AF81" s="1">
        <v>70</v>
      </c>
      <c r="AI81" s="1">
        <v>34.5</v>
      </c>
      <c r="AJ81" s="3">
        <v>31</v>
      </c>
      <c r="AK81" s="2">
        <f t="shared" si="29"/>
        <v>8.5</v>
      </c>
      <c r="AL81" s="3">
        <f t="shared" si="30"/>
        <v>8</v>
      </c>
      <c r="AM81" s="1">
        <v>66</v>
      </c>
      <c r="AN81" s="1">
        <f t="shared" si="31"/>
        <v>82.5</v>
      </c>
      <c r="AP81" s="1">
        <v>20</v>
      </c>
      <c r="AQ81" s="2">
        <v>24</v>
      </c>
      <c r="AR81" s="1">
        <v>24</v>
      </c>
      <c r="AS81" s="2">
        <v>7</v>
      </c>
      <c r="AU81" s="2">
        <v>21.5</v>
      </c>
      <c r="AV81" s="1">
        <v>36.5</v>
      </c>
      <c r="AX81" s="2">
        <v>8.5</v>
      </c>
      <c r="AY81" s="2">
        <v>10</v>
      </c>
      <c r="AZ81" s="2">
        <v>7</v>
      </c>
      <c r="BA81" s="2">
        <v>9</v>
      </c>
      <c r="BC81" t="s">
        <v>234</v>
      </c>
      <c r="BD81" t="s">
        <v>235</v>
      </c>
      <c r="BE81" t="s">
        <v>236</v>
      </c>
      <c r="BG81" t="s">
        <v>303</v>
      </c>
      <c r="BH81" t="s">
        <v>246</v>
      </c>
      <c r="BJ81" s="2" t="s">
        <v>214</v>
      </c>
      <c r="BK81" s="2" t="s">
        <v>381</v>
      </c>
      <c r="BL81" s="1" t="s">
        <v>221</v>
      </c>
      <c r="BM81" s="1">
        <v>6</v>
      </c>
      <c r="BN81" s="1">
        <v>9.5</v>
      </c>
      <c r="BO81" s="1">
        <v>9</v>
      </c>
      <c r="BP81" s="1">
        <v>10</v>
      </c>
      <c r="BQ81" s="1">
        <v>7</v>
      </c>
      <c r="BR81" s="2" t="s">
        <v>223</v>
      </c>
      <c r="BS81" s="2">
        <v>9.5</v>
      </c>
      <c r="BT81" s="2">
        <v>10</v>
      </c>
      <c r="BU81" s="2">
        <v>8.5</v>
      </c>
      <c r="BV81" s="2">
        <v>8.5</v>
      </c>
      <c r="BW81" s="2">
        <v>9</v>
      </c>
      <c r="BX81" s="3" t="s">
        <v>382</v>
      </c>
      <c r="BY81" s="1" t="s">
        <v>230</v>
      </c>
    </row>
    <row r="82" spans="1:77" x14ac:dyDescent="0.25">
      <c r="A82">
        <v>3</v>
      </c>
      <c r="B82" t="s">
        <v>16</v>
      </c>
      <c r="C82">
        <v>17378</v>
      </c>
      <c r="D82" t="s">
        <v>31</v>
      </c>
      <c r="E82" s="1" t="s">
        <v>13</v>
      </c>
      <c r="G82" s="1">
        <v>16.5</v>
      </c>
      <c r="H82" s="2">
        <v>15</v>
      </c>
      <c r="I82" s="2">
        <f t="shared" si="21"/>
        <v>4</v>
      </c>
      <c r="J82" s="3">
        <f t="shared" si="22"/>
        <v>6.5</v>
      </c>
      <c r="K82" s="1">
        <v>29.5</v>
      </c>
      <c r="N82" s="1">
        <v>20</v>
      </c>
      <c r="O82" s="3">
        <v>22</v>
      </c>
      <c r="P82" s="2">
        <f t="shared" si="23"/>
        <v>5.5</v>
      </c>
      <c r="Q82" s="3">
        <f t="shared" si="24"/>
        <v>8</v>
      </c>
      <c r="R82" s="1">
        <v>24.5</v>
      </c>
      <c r="U82" s="1">
        <v>28</v>
      </c>
      <c r="V82" s="3">
        <v>23</v>
      </c>
      <c r="W82" s="2">
        <f t="shared" si="25"/>
        <v>6.5</v>
      </c>
      <c r="X82" s="3">
        <f t="shared" si="26"/>
        <v>4</v>
      </c>
      <c r="Y82" s="1">
        <v>44</v>
      </c>
      <c r="AB82" s="1">
        <v>23</v>
      </c>
      <c r="AC82" s="3">
        <v>18.5</v>
      </c>
      <c r="AD82" s="2">
        <f t="shared" si="27"/>
        <v>5.5</v>
      </c>
      <c r="AE82" s="3">
        <f t="shared" si="28"/>
        <v>8.5</v>
      </c>
      <c r="AF82" s="1">
        <v>28.5</v>
      </c>
      <c r="AI82" s="1">
        <v>19.5</v>
      </c>
      <c r="AJ82" s="3">
        <v>16</v>
      </c>
      <c r="AK82" s="2">
        <f t="shared" si="29"/>
        <v>4.5</v>
      </c>
      <c r="AL82" s="3">
        <f t="shared" si="30"/>
        <v>5</v>
      </c>
      <c r="AM82" s="1">
        <v>27</v>
      </c>
      <c r="AN82" s="1">
        <f t="shared" si="31"/>
        <v>36.5</v>
      </c>
      <c r="AP82" s="1">
        <v>9</v>
      </c>
      <c r="AQ82" s="2">
        <v>11</v>
      </c>
      <c r="AR82" s="1">
        <v>14</v>
      </c>
      <c r="AS82" s="2">
        <v>4</v>
      </c>
      <c r="AU82" s="2">
        <v>17.5</v>
      </c>
      <c r="AV82" s="1">
        <v>27</v>
      </c>
      <c r="AX82" s="2">
        <v>6</v>
      </c>
      <c r="AY82" s="2">
        <v>9.5</v>
      </c>
      <c r="AZ82" s="2">
        <v>7</v>
      </c>
      <c r="BA82" s="2">
        <v>5</v>
      </c>
      <c r="BC82" t="s">
        <v>234</v>
      </c>
      <c r="BD82" t="s">
        <v>235</v>
      </c>
      <c r="BE82" t="s">
        <v>236</v>
      </c>
      <c r="BG82" t="s">
        <v>303</v>
      </c>
      <c r="BH82" t="s">
        <v>241</v>
      </c>
      <c r="BJ82" s="2" t="s">
        <v>214</v>
      </c>
      <c r="BK82" s="2" t="s">
        <v>381</v>
      </c>
      <c r="BL82" s="1" t="s">
        <v>221</v>
      </c>
      <c r="BM82" s="1">
        <v>6.5</v>
      </c>
      <c r="BN82" s="1">
        <v>6.5</v>
      </c>
      <c r="BO82" s="1">
        <v>2.5</v>
      </c>
      <c r="BP82" s="1">
        <v>9</v>
      </c>
      <c r="BQ82" s="1">
        <v>7</v>
      </c>
      <c r="BR82" s="2" t="s">
        <v>223</v>
      </c>
      <c r="BS82" s="2">
        <v>6.5</v>
      </c>
      <c r="BT82" s="2">
        <v>9</v>
      </c>
      <c r="BU82" s="2">
        <v>5.5</v>
      </c>
      <c r="BV82" s="2">
        <v>7.5</v>
      </c>
      <c r="BW82" s="2">
        <v>3</v>
      </c>
      <c r="BX82" s="3" t="s">
        <v>382</v>
      </c>
      <c r="BY82" s="1" t="s">
        <v>230</v>
      </c>
    </row>
    <row r="83" spans="1:77" x14ac:dyDescent="0.25">
      <c r="A83">
        <v>4</v>
      </c>
      <c r="B83" t="s">
        <v>16</v>
      </c>
      <c r="C83">
        <v>16713</v>
      </c>
      <c r="D83" t="s">
        <v>36</v>
      </c>
      <c r="E83" s="1" t="s">
        <v>13</v>
      </c>
      <c r="G83" s="1">
        <v>7.5</v>
      </c>
      <c r="H83" s="2">
        <v>12</v>
      </c>
      <c r="I83" s="2">
        <f t="shared" si="21"/>
        <v>2.5</v>
      </c>
      <c r="J83" s="3">
        <f t="shared" si="22"/>
        <v>3.5</v>
      </c>
      <c r="K83" s="1">
        <v>20</v>
      </c>
      <c r="N83" s="1">
        <v>20</v>
      </c>
      <c r="O83" s="3">
        <v>25</v>
      </c>
      <c r="P83" s="2">
        <f t="shared" si="23"/>
        <v>6</v>
      </c>
      <c r="Q83" s="3">
        <f t="shared" si="24"/>
        <v>8.5</v>
      </c>
      <c r="R83" s="1">
        <v>34.5</v>
      </c>
      <c r="U83" s="1">
        <v>20.5</v>
      </c>
      <c r="V83" s="3">
        <v>11</v>
      </c>
      <c r="W83" s="2">
        <f t="shared" si="25"/>
        <v>4</v>
      </c>
      <c r="X83" s="3">
        <f t="shared" si="26"/>
        <v>2</v>
      </c>
      <c r="Y83" s="1">
        <v>26.5</v>
      </c>
      <c r="AB83" s="1">
        <v>4</v>
      </c>
      <c r="AC83" s="3">
        <v>12.5</v>
      </c>
      <c r="AD83" s="2">
        <f t="shared" si="27"/>
        <v>2.5</v>
      </c>
      <c r="AE83" s="3">
        <f t="shared" si="28"/>
        <v>6</v>
      </c>
      <c r="AF83" s="1">
        <v>33</v>
      </c>
      <c r="AI83" s="1">
        <v>14</v>
      </c>
      <c r="AJ83" s="3">
        <v>6.5</v>
      </c>
      <c r="AK83" s="2">
        <f t="shared" si="29"/>
        <v>3</v>
      </c>
      <c r="AL83" s="3">
        <f t="shared" si="30"/>
        <v>6.5</v>
      </c>
      <c r="AM83" s="1">
        <v>27</v>
      </c>
      <c r="AN83" s="1">
        <f t="shared" si="31"/>
        <v>36.5</v>
      </c>
      <c r="AP83" s="1">
        <v>5</v>
      </c>
      <c r="AQ83" s="2">
        <v>7.5</v>
      </c>
      <c r="AR83" s="1">
        <v>11.5</v>
      </c>
      <c r="AS83" s="2">
        <v>5</v>
      </c>
      <c r="AU83" s="2">
        <v>8.5</v>
      </c>
      <c r="AV83" s="1">
        <v>24.5</v>
      </c>
      <c r="AX83" s="2">
        <v>5.5</v>
      </c>
      <c r="AY83" s="2">
        <v>10</v>
      </c>
      <c r="AZ83" s="2">
        <v>7</v>
      </c>
      <c r="BA83" s="2">
        <v>6</v>
      </c>
      <c r="BC83" t="s">
        <v>234</v>
      </c>
      <c r="BD83" t="s">
        <v>235</v>
      </c>
      <c r="BE83" t="s">
        <v>236</v>
      </c>
      <c r="BG83" t="s">
        <v>303</v>
      </c>
      <c r="BH83" t="s">
        <v>304</v>
      </c>
      <c r="BJ83" s="2" t="s">
        <v>214</v>
      </c>
      <c r="BK83" s="2" t="s">
        <v>381</v>
      </c>
      <c r="BL83" s="1" t="s">
        <v>221</v>
      </c>
      <c r="BM83" s="1">
        <v>3</v>
      </c>
      <c r="BN83" s="1">
        <v>7</v>
      </c>
      <c r="BO83" s="1">
        <v>4</v>
      </c>
      <c r="BP83" s="1">
        <v>9.5</v>
      </c>
      <c r="BQ83" s="1">
        <v>5.5</v>
      </c>
      <c r="BR83" s="2" t="s">
        <v>223</v>
      </c>
      <c r="BS83" s="2">
        <v>4</v>
      </c>
      <c r="BT83" s="2">
        <v>10</v>
      </c>
      <c r="BU83" s="2" t="s">
        <v>20</v>
      </c>
      <c r="BV83" s="2">
        <v>2</v>
      </c>
      <c r="BW83" s="2">
        <v>7</v>
      </c>
      <c r="BX83" s="3" t="s">
        <v>382</v>
      </c>
      <c r="BY83" s="1" t="s">
        <v>230</v>
      </c>
    </row>
    <row r="84" spans="1:77" x14ac:dyDescent="0.25">
      <c r="A84">
        <v>5</v>
      </c>
      <c r="B84" t="s">
        <v>16</v>
      </c>
      <c r="C84">
        <v>16679</v>
      </c>
      <c r="D84" t="s">
        <v>41</v>
      </c>
      <c r="E84" s="1" t="s">
        <v>13</v>
      </c>
      <c r="G84" s="1">
        <v>8</v>
      </c>
      <c r="H84" s="2">
        <v>7.5</v>
      </c>
      <c r="I84" s="2">
        <f t="shared" si="21"/>
        <v>2</v>
      </c>
      <c r="J84" s="3">
        <f t="shared" si="22"/>
        <v>3.5</v>
      </c>
      <c r="K84" s="1">
        <v>14</v>
      </c>
      <c r="N84" s="1">
        <v>28</v>
      </c>
      <c r="O84" s="3">
        <v>29</v>
      </c>
      <c r="P84" s="2">
        <f t="shared" si="23"/>
        <v>7.5</v>
      </c>
      <c r="Q84" s="3">
        <f t="shared" si="24"/>
        <v>8.5</v>
      </c>
      <c r="R84" s="1">
        <v>63.5</v>
      </c>
      <c r="U84" s="1">
        <v>29</v>
      </c>
      <c r="V84" s="3">
        <v>19.5</v>
      </c>
      <c r="W84" s="2">
        <f t="shared" si="25"/>
        <v>6.5</v>
      </c>
      <c r="X84" s="3">
        <f t="shared" si="26"/>
        <v>3.5</v>
      </c>
      <c r="Y84" s="1">
        <v>41</v>
      </c>
      <c r="AB84" s="1">
        <v>8</v>
      </c>
      <c r="AC84" s="3">
        <v>12</v>
      </c>
      <c r="AD84" s="2">
        <f t="shared" si="27"/>
        <v>2.5</v>
      </c>
      <c r="AE84" s="3">
        <f t="shared" si="28"/>
        <v>6.5</v>
      </c>
      <c r="AF84" s="1">
        <v>36</v>
      </c>
      <c r="AI84" s="1">
        <v>17</v>
      </c>
      <c r="AJ84" s="3">
        <v>13.5</v>
      </c>
      <c r="AK84" s="2">
        <f t="shared" si="29"/>
        <v>4</v>
      </c>
      <c r="AL84" s="3">
        <f t="shared" si="30"/>
        <v>3</v>
      </c>
      <c r="AM84" s="1">
        <v>39</v>
      </c>
      <c r="AN84" s="1">
        <f t="shared" si="31"/>
        <v>46</v>
      </c>
      <c r="AP84" s="1">
        <v>11</v>
      </c>
      <c r="AQ84" s="2">
        <v>9.5</v>
      </c>
      <c r="AR84" s="1">
        <v>20.5</v>
      </c>
      <c r="AS84" s="2">
        <v>5</v>
      </c>
      <c r="AU84" s="2">
        <v>10</v>
      </c>
      <c r="AV84" s="1">
        <v>31</v>
      </c>
      <c r="AX84" s="2">
        <v>6.5</v>
      </c>
      <c r="AY84" s="2">
        <v>10</v>
      </c>
      <c r="AZ84" s="2">
        <v>7</v>
      </c>
      <c r="BA84" s="2" t="s">
        <v>231</v>
      </c>
      <c r="BC84" t="s">
        <v>234</v>
      </c>
      <c r="BD84" t="s">
        <v>235</v>
      </c>
      <c r="BE84" t="s">
        <v>236</v>
      </c>
      <c r="BG84" t="s">
        <v>303</v>
      </c>
      <c r="BH84" t="s">
        <v>237</v>
      </c>
      <c r="BJ84" s="2" t="s">
        <v>214</v>
      </c>
      <c r="BK84" s="2" t="s">
        <v>381</v>
      </c>
      <c r="BL84" s="1" t="s">
        <v>221</v>
      </c>
      <c r="BM84" s="1">
        <v>2</v>
      </c>
      <c r="BN84" s="1">
        <v>9</v>
      </c>
      <c r="BO84" s="1">
        <v>2</v>
      </c>
      <c r="BP84" s="1">
        <v>7.5</v>
      </c>
      <c r="BQ84" s="1">
        <v>4.5</v>
      </c>
      <c r="BR84" s="2" t="s">
        <v>223</v>
      </c>
      <c r="BS84" s="2">
        <v>5</v>
      </c>
      <c r="BT84" s="2">
        <v>8</v>
      </c>
      <c r="BU84" s="2">
        <v>5</v>
      </c>
      <c r="BV84" s="2">
        <v>5</v>
      </c>
      <c r="BW84" s="2">
        <v>1.5</v>
      </c>
      <c r="BX84" s="3" t="s">
        <v>382</v>
      </c>
      <c r="BY84" s="1" t="s">
        <v>230</v>
      </c>
    </row>
    <row r="85" spans="1:77" x14ac:dyDescent="0.25">
      <c r="A85">
        <v>6</v>
      </c>
      <c r="B85" t="s">
        <v>16</v>
      </c>
      <c r="C85">
        <v>17578</v>
      </c>
      <c r="D85" t="s">
        <v>47</v>
      </c>
      <c r="E85" s="1" t="s">
        <v>13</v>
      </c>
      <c r="G85" s="1">
        <v>18.5</v>
      </c>
      <c r="H85" s="2">
        <v>16.5</v>
      </c>
      <c r="I85" s="2">
        <f t="shared" si="21"/>
        <v>4.5</v>
      </c>
      <c r="J85" s="3">
        <f t="shared" si="22"/>
        <v>4.5</v>
      </c>
      <c r="K85" s="1">
        <v>29.5</v>
      </c>
      <c r="N85" s="1">
        <v>28</v>
      </c>
      <c r="O85" s="3">
        <v>36</v>
      </c>
      <c r="P85" s="2">
        <f t="shared" si="23"/>
        <v>8</v>
      </c>
      <c r="Q85" s="3">
        <f t="shared" si="24"/>
        <v>8.5</v>
      </c>
      <c r="R85" s="1">
        <v>57.5</v>
      </c>
      <c r="U85" s="1">
        <v>13.5</v>
      </c>
      <c r="V85" s="3">
        <v>13.5</v>
      </c>
      <c r="W85" s="2">
        <f t="shared" si="25"/>
        <v>3.5</v>
      </c>
      <c r="X85" s="3">
        <f t="shared" si="26"/>
        <v>4</v>
      </c>
      <c r="Y85" s="1">
        <v>16</v>
      </c>
      <c r="AB85" s="1">
        <v>16.5</v>
      </c>
      <c r="AC85" s="3">
        <v>16.5</v>
      </c>
      <c r="AD85" s="2">
        <f t="shared" si="27"/>
        <v>4.5</v>
      </c>
      <c r="AE85" s="3">
        <f t="shared" si="28"/>
        <v>7</v>
      </c>
      <c r="AF85" s="1">
        <v>30.5</v>
      </c>
      <c r="AI85" s="1">
        <v>14</v>
      </c>
      <c r="AJ85" s="3">
        <v>19</v>
      </c>
      <c r="AK85" s="2">
        <f t="shared" si="29"/>
        <v>4.5</v>
      </c>
      <c r="AL85" s="3">
        <f t="shared" si="30"/>
        <v>5</v>
      </c>
      <c r="AM85" s="1">
        <v>34</v>
      </c>
      <c r="AN85" s="1">
        <f t="shared" si="31"/>
        <v>43.5</v>
      </c>
      <c r="AP85" s="1">
        <v>15</v>
      </c>
      <c r="AQ85" s="2">
        <v>10</v>
      </c>
      <c r="AR85" s="1">
        <v>21.5</v>
      </c>
      <c r="AS85" s="2">
        <v>6</v>
      </c>
      <c r="AU85" s="2">
        <v>16</v>
      </c>
      <c r="AV85" s="1">
        <v>24.5</v>
      </c>
      <c r="AX85" s="2">
        <v>6</v>
      </c>
      <c r="AY85" s="2">
        <v>10</v>
      </c>
      <c r="AZ85" s="2">
        <v>7</v>
      </c>
      <c r="BA85" s="2">
        <v>8.5</v>
      </c>
      <c r="BC85" t="s">
        <v>234</v>
      </c>
      <c r="BD85" t="s">
        <v>235</v>
      </c>
      <c r="BE85" t="s">
        <v>236</v>
      </c>
      <c r="BG85" t="s">
        <v>303</v>
      </c>
      <c r="BH85" t="s">
        <v>247</v>
      </c>
      <c r="BJ85" s="2" t="s">
        <v>214</v>
      </c>
      <c r="BK85" s="2" t="s">
        <v>381</v>
      </c>
      <c r="BL85" s="1" t="s">
        <v>221</v>
      </c>
      <c r="BM85" s="1">
        <v>3.5</v>
      </c>
      <c r="BN85" s="1">
        <v>7.5</v>
      </c>
      <c r="BO85" s="1">
        <v>4.5</v>
      </c>
      <c r="BP85" s="1">
        <v>7</v>
      </c>
      <c r="BQ85" s="1">
        <v>5.5</v>
      </c>
      <c r="BR85" s="2" t="s">
        <v>223</v>
      </c>
      <c r="BS85" s="2">
        <v>5</v>
      </c>
      <c r="BT85" s="2">
        <v>9</v>
      </c>
      <c r="BU85" s="2">
        <v>3</v>
      </c>
      <c r="BV85" s="2">
        <v>6.5</v>
      </c>
      <c r="BW85" s="2">
        <v>4.5</v>
      </c>
      <c r="BX85" s="3" t="s">
        <v>382</v>
      </c>
      <c r="BY85" s="1" t="s">
        <v>230</v>
      </c>
    </row>
    <row r="86" spans="1:77" x14ac:dyDescent="0.25">
      <c r="A86">
        <v>7</v>
      </c>
      <c r="B86" t="s">
        <v>16</v>
      </c>
      <c r="C86">
        <v>16680</v>
      </c>
      <c r="D86" t="s">
        <v>52</v>
      </c>
      <c r="E86" s="1" t="s">
        <v>13</v>
      </c>
      <c r="G86" s="1">
        <v>18</v>
      </c>
      <c r="H86" s="2">
        <v>13.5</v>
      </c>
      <c r="I86" s="2">
        <f t="shared" si="21"/>
        <v>4</v>
      </c>
      <c r="J86" s="3">
        <f t="shared" si="22"/>
        <v>6</v>
      </c>
      <c r="K86" s="1">
        <v>30.5</v>
      </c>
      <c r="N86" s="1">
        <v>20</v>
      </c>
      <c r="O86" s="3">
        <v>25.5</v>
      </c>
      <c r="P86" s="2">
        <f t="shared" si="23"/>
        <v>6</v>
      </c>
      <c r="Q86" s="3">
        <f t="shared" si="24"/>
        <v>6.5</v>
      </c>
      <c r="R86" s="1">
        <v>14</v>
      </c>
      <c r="U86" s="1">
        <v>9</v>
      </c>
      <c r="V86" s="3">
        <v>13.5</v>
      </c>
      <c r="W86" s="2">
        <f t="shared" si="25"/>
        <v>3</v>
      </c>
      <c r="X86" s="3">
        <f t="shared" si="26"/>
        <v>4</v>
      </c>
      <c r="Y86" s="1">
        <v>22.5</v>
      </c>
      <c r="AB86" s="1">
        <v>16.5</v>
      </c>
      <c r="AC86" s="3">
        <v>23</v>
      </c>
      <c r="AD86" s="2">
        <f t="shared" si="27"/>
        <v>5</v>
      </c>
      <c r="AE86" s="3">
        <f t="shared" si="28"/>
        <v>4.5</v>
      </c>
      <c r="AF86" s="1">
        <v>36.5</v>
      </c>
      <c r="AI86" s="1">
        <v>20.5</v>
      </c>
      <c r="AJ86" s="3">
        <v>7.5</v>
      </c>
      <c r="AK86" s="2">
        <f t="shared" si="29"/>
        <v>3.5</v>
      </c>
      <c r="AL86" s="3">
        <f t="shared" si="30"/>
        <v>6</v>
      </c>
      <c r="AM86" s="1">
        <v>14</v>
      </c>
      <c r="AN86" s="1">
        <f t="shared" si="31"/>
        <v>23.5</v>
      </c>
      <c r="AP86" s="1">
        <v>8</v>
      </c>
      <c r="AQ86" s="2">
        <v>10.5</v>
      </c>
      <c r="AR86" s="1">
        <v>8.5</v>
      </c>
      <c r="AS86" s="2">
        <v>6</v>
      </c>
      <c r="AU86" s="2">
        <v>15</v>
      </c>
      <c r="AV86" s="1">
        <v>24.5</v>
      </c>
      <c r="AX86" s="2">
        <v>8</v>
      </c>
      <c r="AY86" s="2">
        <v>9.5</v>
      </c>
      <c r="AZ86" s="2">
        <v>7</v>
      </c>
      <c r="BA86" s="2">
        <v>6</v>
      </c>
      <c r="BC86" t="s">
        <v>234</v>
      </c>
      <c r="BD86" t="s">
        <v>235</v>
      </c>
      <c r="BE86" t="s">
        <v>236</v>
      </c>
      <c r="BG86" t="s">
        <v>303</v>
      </c>
      <c r="BH86" t="s">
        <v>255</v>
      </c>
      <c r="BJ86" s="2" t="s">
        <v>214</v>
      </c>
      <c r="BK86" s="2" t="s">
        <v>381</v>
      </c>
      <c r="BL86" s="1" t="s">
        <v>221</v>
      </c>
      <c r="BM86" s="1">
        <v>5</v>
      </c>
      <c r="BN86" s="1">
        <v>7</v>
      </c>
      <c r="BO86" s="1">
        <v>5</v>
      </c>
      <c r="BP86" s="1">
        <v>1.5</v>
      </c>
      <c r="BQ86" s="1">
        <v>6</v>
      </c>
      <c r="BR86" s="2" t="s">
        <v>223</v>
      </c>
      <c r="BS86" s="2">
        <v>6.5</v>
      </c>
      <c r="BT86" s="2">
        <v>6</v>
      </c>
      <c r="BU86" s="2">
        <v>3</v>
      </c>
      <c r="BV86" s="2">
        <v>7</v>
      </c>
      <c r="BW86" s="2">
        <v>5.5</v>
      </c>
      <c r="BX86" s="3" t="s">
        <v>382</v>
      </c>
      <c r="BY86" s="1" t="s">
        <v>230</v>
      </c>
    </row>
    <row r="87" spans="1:77" x14ac:dyDescent="0.25">
      <c r="A87">
        <v>8</v>
      </c>
      <c r="B87" t="s">
        <v>16</v>
      </c>
      <c r="C87">
        <v>16468</v>
      </c>
      <c r="D87" t="s">
        <v>57</v>
      </c>
      <c r="E87" s="1" t="s">
        <v>13</v>
      </c>
      <c r="G87" s="1">
        <v>7</v>
      </c>
      <c r="H87" s="2">
        <v>2</v>
      </c>
      <c r="I87" s="2">
        <f t="shared" si="21"/>
        <v>1.5</v>
      </c>
      <c r="J87" s="3">
        <f t="shared" si="22"/>
        <v>3</v>
      </c>
      <c r="K87" s="1">
        <v>5.5</v>
      </c>
      <c r="N87" s="1">
        <v>5</v>
      </c>
      <c r="O87" s="3">
        <v>13</v>
      </c>
      <c r="P87" s="2">
        <f t="shared" si="23"/>
        <v>2.5</v>
      </c>
      <c r="Q87" s="3">
        <f t="shared" si="24"/>
        <v>5</v>
      </c>
      <c r="R87" s="1">
        <v>7.5</v>
      </c>
      <c r="U87" s="1">
        <v>8</v>
      </c>
      <c r="V87" s="3">
        <v>3.5</v>
      </c>
      <c r="W87" s="2">
        <f t="shared" si="25"/>
        <v>1.5</v>
      </c>
      <c r="X87" s="3">
        <f t="shared" si="26"/>
        <v>1.5</v>
      </c>
      <c r="Y87" s="1">
        <v>8.5</v>
      </c>
      <c r="AB87" s="1">
        <v>0.5</v>
      </c>
      <c r="AC87" s="3">
        <v>2</v>
      </c>
      <c r="AD87" s="2">
        <f t="shared" si="27"/>
        <v>0.5</v>
      </c>
      <c r="AE87" s="3">
        <f t="shared" si="28"/>
        <v>3</v>
      </c>
      <c r="AF87" s="1">
        <v>6.5</v>
      </c>
      <c r="AI87" s="1">
        <v>2</v>
      </c>
      <c r="AJ87" s="3" t="s">
        <v>21</v>
      </c>
      <c r="AK87" s="2">
        <f t="shared" si="29"/>
        <v>0.5</v>
      </c>
      <c r="AL87" s="3">
        <f t="shared" si="30"/>
        <v>1</v>
      </c>
      <c r="AM87" s="1">
        <v>5</v>
      </c>
      <c r="AN87" s="1">
        <f t="shared" si="31"/>
        <v>6.5</v>
      </c>
      <c r="AP87" s="1">
        <v>1</v>
      </c>
      <c r="AQ87" s="2">
        <v>6</v>
      </c>
      <c r="AR87" s="1" t="s">
        <v>20</v>
      </c>
      <c r="AS87" s="2">
        <v>5</v>
      </c>
      <c r="AU87" s="2">
        <v>10.5</v>
      </c>
      <c r="AV87" s="1" t="s">
        <v>44</v>
      </c>
      <c r="AX87" s="2">
        <v>1</v>
      </c>
      <c r="AY87" s="2">
        <v>7</v>
      </c>
      <c r="AZ87" s="2">
        <v>6</v>
      </c>
      <c r="BA87" s="2" t="s">
        <v>20</v>
      </c>
      <c r="BC87" t="s">
        <v>234</v>
      </c>
      <c r="BD87" t="s">
        <v>235</v>
      </c>
      <c r="BE87" t="s">
        <v>236</v>
      </c>
      <c r="BG87" t="s">
        <v>303</v>
      </c>
      <c r="BH87" t="s">
        <v>305</v>
      </c>
      <c r="BJ87" s="2" t="s">
        <v>214</v>
      </c>
      <c r="BK87" s="2" t="s">
        <v>381</v>
      </c>
      <c r="BL87" s="1" t="s">
        <v>221</v>
      </c>
      <c r="BM87" s="1">
        <v>2</v>
      </c>
      <c r="BN87" s="1">
        <v>5</v>
      </c>
      <c r="BO87" s="1">
        <v>1</v>
      </c>
      <c r="BP87" s="1">
        <v>2.5</v>
      </c>
      <c r="BQ87" s="1">
        <v>1</v>
      </c>
      <c r="BR87" s="2" t="s">
        <v>223</v>
      </c>
      <c r="BS87" s="2">
        <v>3.5</v>
      </c>
      <c r="BT87" s="2">
        <v>5</v>
      </c>
      <c r="BU87" s="2">
        <v>2</v>
      </c>
      <c r="BV87" s="2">
        <v>3</v>
      </c>
      <c r="BW87" s="2">
        <v>0.5</v>
      </c>
      <c r="BX87" s="3" t="s">
        <v>382</v>
      </c>
      <c r="BY87" s="1" t="s">
        <v>230</v>
      </c>
    </row>
    <row r="88" spans="1:77" x14ac:dyDescent="0.25">
      <c r="A88">
        <v>9</v>
      </c>
      <c r="B88" t="s">
        <v>16</v>
      </c>
      <c r="C88">
        <v>16714</v>
      </c>
      <c r="D88" t="s">
        <v>62</v>
      </c>
      <c r="E88" s="1" t="s">
        <v>13</v>
      </c>
      <c r="G88" s="1" t="s">
        <v>20</v>
      </c>
      <c r="H88" s="2">
        <v>3.5</v>
      </c>
      <c r="I88" s="2">
        <f t="shared" si="21"/>
        <v>0.5</v>
      </c>
      <c r="J88" s="3">
        <f t="shared" si="22"/>
        <v>1.5</v>
      </c>
      <c r="K88" s="1">
        <v>6</v>
      </c>
      <c r="N88" s="1">
        <v>8</v>
      </c>
      <c r="O88" s="3">
        <v>8</v>
      </c>
      <c r="P88" s="2">
        <f t="shared" si="23"/>
        <v>2</v>
      </c>
      <c r="Q88" s="3">
        <f t="shared" si="24"/>
        <v>6</v>
      </c>
      <c r="R88" s="1">
        <v>15</v>
      </c>
      <c r="U88" s="1">
        <v>2</v>
      </c>
      <c r="V88" s="3">
        <v>3</v>
      </c>
      <c r="W88" s="2">
        <f t="shared" si="25"/>
        <v>1</v>
      </c>
      <c r="X88" s="3">
        <f t="shared" si="26"/>
        <v>1.5</v>
      </c>
      <c r="Y88" s="1">
        <v>2.5</v>
      </c>
      <c r="AB88" s="1" t="s">
        <v>44</v>
      </c>
      <c r="AC88" s="3">
        <v>0.5</v>
      </c>
      <c r="AD88" s="2">
        <f t="shared" si="27"/>
        <v>0.5</v>
      </c>
      <c r="AE88" s="3">
        <f t="shared" si="28"/>
        <v>1</v>
      </c>
      <c r="AF88" s="1">
        <v>1</v>
      </c>
      <c r="AI88" s="1">
        <v>0.5</v>
      </c>
      <c r="AJ88" s="3">
        <v>3.5</v>
      </c>
      <c r="AK88" s="2">
        <f t="shared" si="29"/>
        <v>0.5</v>
      </c>
      <c r="AL88" s="3">
        <f t="shared" si="30"/>
        <v>1</v>
      </c>
      <c r="AM88" s="1">
        <v>3</v>
      </c>
      <c r="AN88" s="1">
        <f t="shared" si="31"/>
        <v>4.5</v>
      </c>
      <c r="AP88" s="1">
        <v>3</v>
      </c>
      <c r="AQ88" s="2">
        <v>4</v>
      </c>
      <c r="AR88" s="1">
        <v>3</v>
      </c>
      <c r="AS88" s="2">
        <v>1</v>
      </c>
      <c r="AU88" s="2">
        <v>9</v>
      </c>
      <c r="AV88" s="1">
        <v>18</v>
      </c>
      <c r="AX88" s="2">
        <v>1</v>
      </c>
      <c r="AY88" s="2">
        <v>9.5</v>
      </c>
      <c r="AZ88" s="2">
        <v>7</v>
      </c>
      <c r="BA88" s="2">
        <v>0</v>
      </c>
      <c r="BC88" t="s">
        <v>234</v>
      </c>
      <c r="BD88" t="s">
        <v>235</v>
      </c>
      <c r="BE88" t="s">
        <v>236</v>
      </c>
      <c r="BG88" t="s">
        <v>303</v>
      </c>
      <c r="BH88" t="s">
        <v>248</v>
      </c>
      <c r="BJ88" s="2" t="s">
        <v>214</v>
      </c>
      <c r="BK88" s="2" t="s">
        <v>381</v>
      </c>
      <c r="BL88" s="1" t="s">
        <v>221</v>
      </c>
      <c r="BM88" s="1">
        <v>2</v>
      </c>
      <c r="BN88" s="1">
        <v>5</v>
      </c>
      <c r="BO88" s="1">
        <v>1.5</v>
      </c>
      <c r="BP88" s="1">
        <v>2</v>
      </c>
      <c r="BQ88" s="1">
        <v>0.5</v>
      </c>
      <c r="BR88" s="2" t="s">
        <v>223</v>
      </c>
      <c r="BS88" s="2">
        <v>1</v>
      </c>
      <c r="BT88" s="2">
        <v>7</v>
      </c>
      <c r="BU88" s="2">
        <v>1.5</v>
      </c>
      <c r="BV88" s="2">
        <v>0</v>
      </c>
      <c r="BW88" s="2">
        <v>1</v>
      </c>
      <c r="BX88" s="3" t="s">
        <v>382</v>
      </c>
      <c r="BY88" s="1" t="s">
        <v>230</v>
      </c>
    </row>
    <row r="89" spans="1:77" x14ac:dyDescent="0.25">
      <c r="A89">
        <v>10</v>
      </c>
      <c r="B89" t="s">
        <v>16</v>
      </c>
      <c r="C89">
        <v>16522</v>
      </c>
      <c r="D89" t="s">
        <v>67</v>
      </c>
      <c r="E89" s="1" t="s">
        <v>13</v>
      </c>
      <c r="G89" s="1">
        <v>31</v>
      </c>
      <c r="H89" s="2">
        <v>26.5</v>
      </c>
      <c r="I89" s="2">
        <f t="shared" si="21"/>
        <v>7.5</v>
      </c>
      <c r="J89" s="3">
        <f t="shared" si="22"/>
        <v>9</v>
      </c>
      <c r="K89" s="1">
        <v>43.5</v>
      </c>
      <c r="N89" s="1">
        <v>33.5</v>
      </c>
      <c r="O89" s="3">
        <v>33</v>
      </c>
      <c r="P89" s="2">
        <f t="shared" si="23"/>
        <v>8.5</v>
      </c>
      <c r="Q89" s="3">
        <f t="shared" si="24"/>
        <v>10</v>
      </c>
      <c r="R89" s="1">
        <v>65</v>
      </c>
      <c r="U89" s="1">
        <v>34.5</v>
      </c>
      <c r="V89" s="3">
        <v>20.5</v>
      </c>
      <c r="W89" s="2">
        <f t="shared" si="25"/>
        <v>7</v>
      </c>
      <c r="X89" s="3">
        <f t="shared" si="26"/>
        <v>6.5</v>
      </c>
      <c r="Y89" s="1">
        <v>60.5</v>
      </c>
      <c r="AB89" s="1">
        <v>27.5</v>
      </c>
      <c r="AC89" s="3">
        <v>30.5</v>
      </c>
      <c r="AD89" s="2">
        <f t="shared" si="27"/>
        <v>7.5</v>
      </c>
      <c r="AE89" s="3">
        <f t="shared" si="28"/>
        <v>9</v>
      </c>
      <c r="AF89" s="1">
        <v>61.5</v>
      </c>
      <c r="AI89" s="1">
        <v>31.5</v>
      </c>
      <c r="AJ89" s="3">
        <v>30.5</v>
      </c>
      <c r="AK89" s="2">
        <f t="shared" si="29"/>
        <v>8</v>
      </c>
      <c r="AL89" s="3">
        <f t="shared" si="30"/>
        <v>7.5</v>
      </c>
      <c r="AM89" s="1">
        <v>51</v>
      </c>
      <c r="AN89" s="1">
        <f t="shared" si="31"/>
        <v>66.5</v>
      </c>
      <c r="AP89" s="1">
        <v>15.5</v>
      </c>
      <c r="AQ89" s="2">
        <v>20</v>
      </c>
      <c r="AR89" s="1">
        <v>21</v>
      </c>
      <c r="AS89" s="2">
        <v>5</v>
      </c>
      <c r="AU89" s="2">
        <v>16.5</v>
      </c>
      <c r="AV89" s="1">
        <v>32.5</v>
      </c>
      <c r="AX89" s="2">
        <v>8.5</v>
      </c>
      <c r="AY89" s="2">
        <v>10</v>
      </c>
      <c r="AZ89" s="2">
        <v>7</v>
      </c>
      <c r="BA89" s="2">
        <v>8</v>
      </c>
      <c r="BC89" t="s">
        <v>234</v>
      </c>
      <c r="BD89" t="s">
        <v>235</v>
      </c>
      <c r="BE89" t="s">
        <v>236</v>
      </c>
      <c r="BF89" t="s">
        <v>306</v>
      </c>
      <c r="BG89" t="s">
        <v>303</v>
      </c>
      <c r="BH89" t="s">
        <v>237</v>
      </c>
      <c r="BJ89" s="2" t="s">
        <v>214</v>
      </c>
      <c r="BK89" s="2" t="s">
        <v>381</v>
      </c>
      <c r="BL89" s="1" t="s">
        <v>221</v>
      </c>
      <c r="BM89" s="1">
        <v>9</v>
      </c>
      <c r="BN89" s="1">
        <v>9.5</v>
      </c>
      <c r="BO89" s="1">
        <v>7.5</v>
      </c>
      <c r="BP89" s="1">
        <v>9.5</v>
      </c>
      <c r="BQ89" s="1">
        <v>7</v>
      </c>
      <c r="BR89" s="2" t="s">
        <v>223</v>
      </c>
      <c r="BS89" s="2">
        <v>8.5</v>
      </c>
      <c r="BT89" s="2">
        <v>10</v>
      </c>
      <c r="BU89" s="2">
        <v>5.5</v>
      </c>
      <c r="BV89" s="2">
        <v>8</v>
      </c>
      <c r="BW89" s="2">
        <v>7.5</v>
      </c>
      <c r="BX89" s="3" t="s">
        <v>382</v>
      </c>
      <c r="BY89" s="1" t="s">
        <v>230</v>
      </c>
    </row>
    <row r="90" spans="1:77" x14ac:dyDescent="0.25">
      <c r="A90">
        <v>11</v>
      </c>
      <c r="B90" t="s">
        <v>16</v>
      </c>
      <c r="C90">
        <v>16489</v>
      </c>
      <c r="D90" t="s">
        <v>72</v>
      </c>
      <c r="E90" s="1" t="s">
        <v>13</v>
      </c>
      <c r="G90" s="1">
        <v>11</v>
      </c>
      <c r="H90" s="2">
        <v>2.5</v>
      </c>
      <c r="I90" s="2">
        <f t="shared" si="21"/>
        <v>2</v>
      </c>
      <c r="J90" s="3">
        <f t="shared" si="22"/>
        <v>5</v>
      </c>
      <c r="K90" s="1">
        <v>11.5</v>
      </c>
      <c r="N90" s="1">
        <v>10</v>
      </c>
      <c r="O90" s="3">
        <v>14</v>
      </c>
      <c r="P90" s="2">
        <f t="shared" si="23"/>
        <v>3</v>
      </c>
      <c r="Q90" s="3">
        <f t="shared" si="24"/>
        <v>5</v>
      </c>
      <c r="R90" s="1">
        <v>11.5</v>
      </c>
      <c r="U90" s="1">
        <v>6.5</v>
      </c>
      <c r="V90" s="3">
        <v>4</v>
      </c>
      <c r="W90" s="2">
        <f t="shared" si="25"/>
        <v>1.5</v>
      </c>
      <c r="X90" s="3">
        <f t="shared" si="26"/>
        <v>2</v>
      </c>
      <c r="Y90" s="1">
        <v>12.5</v>
      </c>
      <c r="AB90" s="1">
        <v>7.5</v>
      </c>
      <c r="AC90" s="3">
        <v>8</v>
      </c>
      <c r="AD90" s="2">
        <f t="shared" si="27"/>
        <v>2</v>
      </c>
      <c r="AE90" s="3">
        <f t="shared" si="28"/>
        <v>6.5</v>
      </c>
      <c r="AF90" s="1">
        <v>18.5</v>
      </c>
      <c r="AI90" s="1">
        <v>7</v>
      </c>
      <c r="AJ90" s="3">
        <v>4.5</v>
      </c>
      <c r="AK90" s="2">
        <f t="shared" si="29"/>
        <v>1.5</v>
      </c>
      <c r="AL90" s="3">
        <f t="shared" si="30"/>
        <v>5.5</v>
      </c>
      <c r="AM90" s="1">
        <v>12</v>
      </c>
      <c r="AN90" s="1">
        <f t="shared" si="31"/>
        <v>19</v>
      </c>
      <c r="AP90" s="1">
        <v>5.5</v>
      </c>
      <c r="AQ90" s="2">
        <v>5</v>
      </c>
      <c r="AR90" s="1">
        <v>8</v>
      </c>
      <c r="AS90" s="2">
        <v>6</v>
      </c>
      <c r="AU90" s="2">
        <v>14.5</v>
      </c>
      <c r="AV90" s="1">
        <v>19</v>
      </c>
      <c r="AX90" s="2">
        <v>5</v>
      </c>
      <c r="AY90" s="2">
        <v>10</v>
      </c>
      <c r="AZ90" s="2">
        <v>7</v>
      </c>
      <c r="BA90" s="2">
        <v>4</v>
      </c>
      <c r="BC90" t="s">
        <v>234</v>
      </c>
      <c r="BD90" t="s">
        <v>235</v>
      </c>
      <c r="BE90" t="s">
        <v>236</v>
      </c>
      <c r="BG90" t="s">
        <v>303</v>
      </c>
      <c r="BH90" t="s">
        <v>246</v>
      </c>
      <c r="BJ90" s="2" t="s">
        <v>214</v>
      </c>
      <c r="BK90" s="2" t="s">
        <v>381</v>
      </c>
      <c r="BL90" s="1" t="s">
        <v>221</v>
      </c>
      <c r="BM90" s="1">
        <v>5.5</v>
      </c>
      <c r="BN90" s="1">
        <v>5</v>
      </c>
      <c r="BO90" s="1">
        <v>3</v>
      </c>
      <c r="BP90" s="1">
        <v>8</v>
      </c>
      <c r="BQ90" s="1">
        <v>6.5</v>
      </c>
      <c r="BR90" s="2" t="s">
        <v>223</v>
      </c>
      <c r="BS90" s="2">
        <v>4.5</v>
      </c>
      <c r="BT90" s="2">
        <v>5</v>
      </c>
      <c r="BU90" s="2">
        <v>1</v>
      </c>
      <c r="BV90" s="2">
        <v>5</v>
      </c>
      <c r="BW90" s="2">
        <v>4</v>
      </c>
      <c r="BX90" s="3" t="s">
        <v>382</v>
      </c>
      <c r="BY90" s="1" t="s">
        <v>230</v>
      </c>
    </row>
    <row r="91" spans="1:77" x14ac:dyDescent="0.25">
      <c r="A91">
        <v>12</v>
      </c>
      <c r="B91" t="s">
        <v>16</v>
      </c>
      <c r="C91">
        <v>16688</v>
      </c>
      <c r="D91" t="s">
        <v>77</v>
      </c>
      <c r="E91" s="1" t="s">
        <v>13</v>
      </c>
      <c r="G91" s="1">
        <v>9.5</v>
      </c>
      <c r="H91" s="2">
        <v>13.5</v>
      </c>
      <c r="I91" s="2">
        <f t="shared" si="21"/>
        <v>3</v>
      </c>
      <c r="J91" s="3">
        <f t="shared" si="22"/>
        <v>5.5</v>
      </c>
      <c r="K91" s="1">
        <v>14.5</v>
      </c>
      <c r="N91" s="1">
        <v>17.5</v>
      </c>
      <c r="O91" s="3">
        <v>20.5</v>
      </c>
      <c r="P91" s="2">
        <f t="shared" si="23"/>
        <v>5</v>
      </c>
      <c r="Q91" s="3">
        <f t="shared" si="24"/>
        <v>9</v>
      </c>
      <c r="R91" s="1">
        <v>31.5</v>
      </c>
      <c r="U91" s="1">
        <v>20</v>
      </c>
      <c r="V91" s="3">
        <v>16</v>
      </c>
      <c r="W91" s="2">
        <f t="shared" si="25"/>
        <v>4.5</v>
      </c>
      <c r="X91" s="3">
        <f t="shared" si="26"/>
        <v>7.5</v>
      </c>
      <c r="Y91" s="1">
        <v>29.5</v>
      </c>
      <c r="AB91" s="1">
        <v>7</v>
      </c>
      <c r="AC91" s="3">
        <v>12.5</v>
      </c>
      <c r="AD91" s="2">
        <f t="shared" si="27"/>
        <v>2.5</v>
      </c>
      <c r="AE91" s="3">
        <f t="shared" si="28"/>
        <v>8</v>
      </c>
      <c r="AF91" s="1">
        <v>25</v>
      </c>
      <c r="AI91" s="1">
        <v>14</v>
      </c>
      <c r="AJ91" s="3">
        <v>7</v>
      </c>
      <c r="AK91" s="2">
        <f t="shared" si="29"/>
        <v>3</v>
      </c>
      <c r="AL91" s="3">
        <f t="shared" si="30"/>
        <v>5</v>
      </c>
      <c r="AM91" s="1">
        <v>12.5</v>
      </c>
      <c r="AN91" s="1">
        <f t="shared" si="31"/>
        <v>20.5</v>
      </c>
      <c r="AP91" s="1">
        <v>15.5</v>
      </c>
      <c r="AQ91" s="2">
        <v>18</v>
      </c>
      <c r="AR91" s="1">
        <v>16</v>
      </c>
      <c r="AS91" s="2">
        <v>9</v>
      </c>
      <c r="AU91" s="2">
        <v>14</v>
      </c>
      <c r="AV91" s="1">
        <v>24.5</v>
      </c>
      <c r="AX91" s="2">
        <v>1</v>
      </c>
      <c r="AY91" s="2">
        <v>10</v>
      </c>
      <c r="AZ91" s="2">
        <v>6</v>
      </c>
      <c r="BA91" s="2">
        <v>6</v>
      </c>
      <c r="BC91" t="s">
        <v>234</v>
      </c>
      <c r="BD91" t="s">
        <v>235</v>
      </c>
      <c r="BE91" t="s">
        <v>236</v>
      </c>
      <c r="BF91" t="s">
        <v>307</v>
      </c>
      <c r="BG91" t="s">
        <v>303</v>
      </c>
      <c r="BH91" t="s">
        <v>244</v>
      </c>
      <c r="BJ91" s="2" t="s">
        <v>214</v>
      </c>
      <c r="BK91" s="2" t="s">
        <v>381</v>
      </c>
      <c r="BL91" s="1" t="s">
        <v>221</v>
      </c>
      <c r="BM91" s="1">
        <v>4.5</v>
      </c>
      <c r="BN91" s="1">
        <v>7.5</v>
      </c>
      <c r="BO91" s="1">
        <v>7</v>
      </c>
      <c r="BP91" s="1">
        <v>10</v>
      </c>
      <c r="BQ91" s="1">
        <v>2</v>
      </c>
      <c r="BR91" s="2" t="s">
        <v>223</v>
      </c>
      <c r="BS91" s="2">
        <v>6.5</v>
      </c>
      <c r="BT91" s="2">
        <v>10</v>
      </c>
      <c r="BU91" s="2">
        <v>7.5</v>
      </c>
      <c r="BV91" s="2">
        <v>6</v>
      </c>
      <c r="BW91" s="2">
        <v>7.5</v>
      </c>
      <c r="BX91" s="3" t="s">
        <v>382</v>
      </c>
      <c r="BY91" s="1" t="s">
        <v>230</v>
      </c>
    </row>
    <row r="92" spans="1:77" x14ac:dyDescent="0.25">
      <c r="A92">
        <v>13</v>
      </c>
      <c r="B92" t="s">
        <v>16</v>
      </c>
      <c r="C92">
        <v>16541</v>
      </c>
      <c r="D92" t="s">
        <v>82</v>
      </c>
      <c r="E92" s="1" t="s">
        <v>13</v>
      </c>
      <c r="G92" s="1">
        <v>22</v>
      </c>
      <c r="H92" s="2">
        <v>21</v>
      </c>
      <c r="I92" s="2">
        <f t="shared" si="21"/>
        <v>5.5</v>
      </c>
      <c r="J92" s="3">
        <f t="shared" si="22"/>
        <v>7</v>
      </c>
      <c r="K92" s="1">
        <v>31</v>
      </c>
      <c r="N92" s="1">
        <v>30.5</v>
      </c>
      <c r="O92" s="3">
        <v>30</v>
      </c>
      <c r="P92" s="2">
        <f t="shared" si="23"/>
        <v>8</v>
      </c>
      <c r="Q92" s="3">
        <f t="shared" si="24"/>
        <v>8</v>
      </c>
      <c r="R92" s="1">
        <v>61.5</v>
      </c>
      <c r="U92" s="1">
        <v>22.5</v>
      </c>
      <c r="V92" s="3">
        <v>13.5</v>
      </c>
      <c r="W92" s="2">
        <f t="shared" si="25"/>
        <v>4.5</v>
      </c>
      <c r="X92" s="3">
        <f t="shared" si="26"/>
        <v>6</v>
      </c>
      <c r="Y92" s="1">
        <v>39</v>
      </c>
      <c r="AB92" s="1">
        <v>16.5</v>
      </c>
      <c r="AC92" s="3">
        <v>18.5</v>
      </c>
      <c r="AD92" s="2">
        <f t="shared" si="27"/>
        <v>4.5</v>
      </c>
      <c r="AE92" s="3">
        <f t="shared" si="28"/>
        <v>8</v>
      </c>
      <c r="AF92" s="1">
        <v>38.5</v>
      </c>
      <c r="AI92" s="1">
        <v>25.5</v>
      </c>
      <c r="AJ92" s="3">
        <v>16.5</v>
      </c>
      <c r="AK92" s="2">
        <f t="shared" si="29"/>
        <v>5.5</v>
      </c>
      <c r="AL92" s="3">
        <f t="shared" si="30"/>
        <v>6.5</v>
      </c>
      <c r="AM92" s="1">
        <v>28</v>
      </c>
      <c r="AN92" s="1">
        <f t="shared" si="31"/>
        <v>40</v>
      </c>
      <c r="AP92" s="1">
        <v>20.5</v>
      </c>
      <c r="AQ92" s="2">
        <v>19.5</v>
      </c>
      <c r="AR92" s="1">
        <v>20</v>
      </c>
      <c r="AS92" s="2">
        <v>6</v>
      </c>
      <c r="AU92" s="2">
        <v>21.5</v>
      </c>
      <c r="AV92" s="1">
        <v>27.5</v>
      </c>
      <c r="AX92" s="2">
        <v>8</v>
      </c>
      <c r="AY92" s="2">
        <v>10</v>
      </c>
      <c r="AZ92" s="2">
        <v>7</v>
      </c>
      <c r="BA92" s="2">
        <v>7</v>
      </c>
      <c r="BC92" t="s">
        <v>234</v>
      </c>
      <c r="BD92" t="s">
        <v>235</v>
      </c>
      <c r="BE92" t="s">
        <v>236</v>
      </c>
      <c r="BF92" t="s">
        <v>308</v>
      </c>
      <c r="BG92" t="s">
        <v>309</v>
      </c>
      <c r="BH92" t="s">
        <v>241</v>
      </c>
      <c r="BJ92" s="2" t="s">
        <v>214</v>
      </c>
      <c r="BK92" s="2" t="s">
        <v>381</v>
      </c>
      <c r="BL92" s="1" t="s">
        <v>221</v>
      </c>
      <c r="BM92" s="1">
        <v>7.5</v>
      </c>
      <c r="BN92" s="1">
        <v>7.5</v>
      </c>
      <c r="BO92" s="1">
        <v>7</v>
      </c>
      <c r="BP92" s="1">
        <v>9</v>
      </c>
      <c r="BQ92" s="1">
        <v>7</v>
      </c>
      <c r="BR92" s="2" t="s">
        <v>223</v>
      </c>
      <c r="BS92" s="2">
        <v>6</v>
      </c>
      <c r="BT92" s="2">
        <v>8</v>
      </c>
      <c r="BU92" s="2">
        <v>4.5</v>
      </c>
      <c r="BV92" s="2">
        <v>7</v>
      </c>
      <c r="BW92" s="2">
        <v>6</v>
      </c>
      <c r="BX92" s="3" t="s">
        <v>382</v>
      </c>
      <c r="BY92" s="1" t="s">
        <v>230</v>
      </c>
    </row>
    <row r="93" spans="1:77" x14ac:dyDescent="0.25">
      <c r="A93">
        <v>14</v>
      </c>
      <c r="B93" t="s">
        <v>16</v>
      </c>
      <c r="C93">
        <v>18452</v>
      </c>
      <c r="D93" t="s">
        <v>87</v>
      </c>
      <c r="E93" s="1" t="s">
        <v>13</v>
      </c>
      <c r="G93" s="1">
        <v>32.5</v>
      </c>
      <c r="H93" s="2">
        <v>24</v>
      </c>
      <c r="I93" s="2">
        <f t="shared" si="21"/>
        <v>7.5</v>
      </c>
      <c r="J93" s="3">
        <f t="shared" si="22"/>
        <v>7</v>
      </c>
      <c r="K93" s="1">
        <v>53</v>
      </c>
      <c r="N93" s="1">
        <v>31.5</v>
      </c>
      <c r="O93" s="3">
        <v>31</v>
      </c>
      <c r="P93" s="2">
        <f t="shared" si="23"/>
        <v>8</v>
      </c>
      <c r="Q93" s="3">
        <f t="shared" si="24"/>
        <v>10</v>
      </c>
      <c r="R93" s="1">
        <v>59.5</v>
      </c>
      <c r="U93" s="1">
        <v>28</v>
      </c>
      <c r="V93" s="3">
        <v>22</v>
      </c>
      <c r="W93" s="2">
        <f t="shared" si="25"/>
        <v>6.5</v>
      </c>
      <c r="X93" s="3">
        <f t="shared" si="26"/>
        <v>6</v>
      </c>
      <c r="Y93" s="1">
        <v>56</v>
      </c>
      <c r="AB93" s="1">
        <v>30.5</v>
      </c>
      <c r="AC93" s="3">
        <v>34</v>
      </c>
      <c r="AD93" s="2">
        <f t="shared" si="27"/>
        <v>8.5</v>
      </c>
      <c r="AE93" s="3">
        <f t="shared" si="28"/>
        <v>9.5</v>
      </c>
      <c r="AF93" s="1">
        <v>61.5</v>
      </c>
      <c r="AI93" s="1">
        <v>24</v>
      </c>
      <c r="AJ93" s="3">
        <v>26</v>
      </c>
      <c r="AK93" s="2">
        <f t="shared" si="29"/>
        <v>6.5</v>
      </c>
      <c r="AL93" s="3">
        <f t="shared" si="30"/>
        <v>7.5</v>
      </c>
      <c r="AM93" s="1">
        <v>47</v>
      </c>
      <c r="AN93" s="1">
        <f t="shared" si="31"/>
        <v>61</v>
      </c>
      <c r="AP93" s="1">
        <v>22</v>
      </c>
      <c r="AQ93" s="2">
        <v>18</v>
      </c>
      <c r="AR93" s="1">
        <v>24.5</v>
      </c>
      <c r="AS93" s="2">
        <v>8</v>
      </c>
      <c r="AU93" s="2">
        <v>18.5</v>
      </c>
      <c r="AV93" s="1">
        <v>31</v>
      </c>
      <c r="AX93" s="2">
        <v>8.5</v>
      </c>
      <c r="AY93" s="2">
        <v>10</v>
      </c>
      <c r="AZ93" s="2">
        <v>8</v>
      </c>
      <c r="BA93" s="2">
        <v>8.5</v>
      </c>
      <c r="BC93" t="s">
        <v>234</v>
      </c>
      <c r="BD93" t="s">
        <v>235</v>
      </c>
      <c r="BE93" t="s">
        <v>236</v>
      </c>
      <c r="BF93" t="s">
        <v>311</v>
      </c>
      <c r="BG93" t="s">
        <v>303</v>
      </c>
      <c r="BH93" t="s">
        <v>310</v>
      </c>
      <c r="BJ93" s="2" t="s">
        <v>214</v>
      </c>
      <c r="BK93" s="2" t="s">
        <v>381</v>
      </c>
      <c r="BL93" s="1" t="s">
        <v>221</v>
      </c>
      <c r="BM93" s="1">
        <v>6.5</v>
      </c>
      <c r="BN93" s="1">
        <v>9.5</v>
      </c>
      <c r="BO93" s="1">
        <v>6</v>
      </c>
      <c r="BP93" s="1">
        <v>10</v>
      </c>
      <c r="BQ93" s="1">
        <v>6</v>
      </c>
      <c r="BR93" s="2" t="s">
        <v>223</v>
      </c>
      <c r="BS93" s="2">
        <v>7.5</v>
      </c>
      <c r="BT93" s="2">
        <v>10</v>
      </c>
      <c r="BU93" s="2">
        <v>5.5</v>
      </c>
      <c r="BV93" s="2">
        <v>9</v>
      </c>
      <c r="BW93" s="2">
        <v>9</v>
      </c>
      <c r="BX93" s="3" t="s">
        <v>382</v>
      </c>
      <c r="BY93" s="1" t="s">
        <v>230</v>
      </c>
    </row>
    <row r="94" spans="1:77" x14ac:dyDescent="0.25">
      <c r="A94">
        <v>15</v>
      </c>
      <c r="B94" t="s">
        <v>16</v>
      </c>
      <c r="C94">
        <v>17577</v>
      </c>
      <c r="D94" t="s">
        <v>92</v>
      </c>
      <c r="E94" s="1" t="s">
        <v>13</v>
      </c>
      <c r="G94" s="1">
        <v>20</v>
      </c>
      <c r="H94" s="2">
        <v>22</v>
      </c>
      <c r="I94" s="2">
        <f t="shared" si="21"/>
        <v>5.5</v>
      </c>
      <c r="J94" s="3">
        <f t="shared" si="22"/>
        <v>7</v>
      </c>
      <c r="K94" s="1">
        <v>39.5</v>
      </c>
      <c r="N94" s="1">
        <v>27</v>
      </c>
      <c r="O94" s="3">
        <v>28</v>
      </c>
      <c r="P94" s="2">
        <f t="shared" si="23"/>
        <v>7</v>
      </c>
      <c r="Q94" s="3">
        <f t="shared" si="24"/>
        <v>9</v>
      </c>
      <c r="R94" s="1">
        <v>56.5</v>
      </c>
      <c r="U94" s="1">
        <v>22</v>
      </c>
      <c r="V94" s="3">
        <v>18</v>
      </c>
      <c r="W94" s="2">
        <f t="shared" si="25"/>
        <v>5</v>
      </c>
      <c r="X94" s="3">
        <f t="shared" si="26"/>
        <v>1</v>
      </c>
      <c r="Y94" s="1">
        <v>43.5</v>
      </c>
      <c r="AB94" s="1">
        <v>7</v>
      </c>
      <c r="AC94" s="3">
        <v>8.5</v>
      </c>
      <c r="AD94" s="2">
        <f t="shared" si="27"/>
        <v>2</v>
      </c>
      <c r="AE94" s="3">
        <f t="shared" si="28"/>
        <v>7</v>
      </c>
      <c r="AF94" s="1">
        <v>41.5</v>
      </c>
      <c r="AI94" s="1">
        <v>14.5</v>
      </c>
      <c r="AJ94" s="3">
        <v>16.5</v>
      </c>
      <c r="AK94" s="2">
        <f t="shared" si="29"/>
        <v>4</v>
      </c>
      <c r="AL94" s="3">
        <f t="shared" si="30"/>
        <v>5.5</v>
      </c>
      <c r="AM94" s="1">
        <v>38.5</v>
      </c>
      <c r="AN94" s="1">
        <f t="shared" si="31"/>
        <v>48</v>
      </c>
      <c r="AP94" s="1">
        <v>8</v>
      </c>
      <c r="AQ94" s="2">
        <v>10</v>
      </c>
      <c r="AR94" s="1">
        <v>12</v>
      </c>
      <c r="AS94" s="2">
        <v>5</v>
      </c>
      <c r="AU94" s="2">
        <v>13.5</v>
      </c>
      <c r="AV94" s="1">
        <v>25.5</v>
      </c>
      <c r="AX94" s="2">
        <v>7</v>
      </c>
      <c r="AY94" s="2">
        <v>10</v>
      </c>
      <c r="AZ94" s="2">
        <v>7</v>
      </c>
      <c r="BA94" s="2">
        <v>8</v>
      </c>
      <c r="BC94" t="s">
        <v>234</v>
      </c>
      <c r="BD94" t="s">
        <v>235</v>
      </c>
      <c r="BE94" t="s">
        <v>236</v>
      </c>
      <c r="BF94" t="s">
        <v>312</v>
      </c>
      <c r="BG94" t="s">
        <v>303</v>
      </c>
      <c r="BH94" t="s">
        <v>241</v>
      </c>
      <c r="BJ94" s="2" t="s">
        <v>214</v>
      </c>
      <c r="BK94" s="2" t="s">
        <v>381</v>
      </c>
      <c r="BL94" s="1" t="s">
        <v>221</v>
      </c>
      <c r="BM94" s="1">
        <v>6.6</v>
      </c>
      <c r="BN94" s="1">
        <v>8</v>
      </c>
      <c r="BO94" s="1">
        <v>2</v>
      </c>
      <c r="BP94" s="1">
        <v>7.5</v>
      </c>
      <c r="BQ94" s="1">
        <v>5.5</v>
      </c>
      <c r="BR94" s="2" t="s">
        <v>223</v>
      </c>
      <c r="BS94" s="2">
        <v>6.5</v>
      </c>
      <c r="BT94" s="2">
        <v>10</v>
      </c>
      <c r="BU94" s="2" t="s">
        <v>20</v>
      </c>
      <c r="BV94" s="2">
        <v>6</v>
      </c>
      <c r="BW94" s="2">
        <v>5</v>
      </c>
      <c r="BX94" s="3" t="s">
        <v>382</v>
      </c>
      <c r="BY94" s="1" t="s">
        <v>230</v>
      </c>
    </row>
    <row r="95" spans="1:77" x14ac:dyDescent="0.25">
      <c r="A95">
        <v>16</v>
      </c>
      <c r="B95" t="s">
        <v>16</v>
      </c>
      <c r="C95">
        <v>17702</v>
      </c>
      <c r="D95" t="s">
        <v>97</v>
      </c>
      <c r="E95" s="1" t="s">
        <v>13</v>
      </c>
      <c r="G95" s="1">
        <v>5</v>
      </c>
      <c r="H95" s="2">
        <v>7.5</v>
      </c>
      <c r="I95" s="2">
        <f t="shared" si="21"/>
        <v>2</v>
      </c>
      <c r="J95" s="3">
        <f t="shared" si="22"/>
        <v>2</v>
      </c>
      <c r="K95" s="1">
        <v>23</v>
      </c>
      <c r="N95" s="1">
        <v>23</v>
      </c>
      <c r="O95" s="3">
        <v>29</v>
      </c>
      <c r="P95" s="2">
        <f t="shared" si="23"/>
        <v>6.5</v>
      </c>
      <c r="Q95" s="3">
        <f t="shared" si="24"/>
        <v>10</v>
      </c>
      <c r="R95" s="1">
        <v>57</v>
      </c>
      <c r="U95" s="1">
        <v>14</v>
      </c>
      <c r="V95" s="3">
        <v>14</v>
      </c>
      <c r="W95" s="2">
        <f t="shared" si="25"/>
        <v>3.5</v>
      </c>
      <c r="X95" s="3">
        <f t="shared" si="26"/>
        <v>3</v>
      </c>
      <c r="Y95" s="1">
        <v>31</v>
      </c>
      <c r="AB95" s="1">
        <v>8.5</v>
      </c>
      <c r="AC95" s="3">
        <v>11</v>
      </c>
      <c r="AD95" s="2">
        <f t="shared" si="27"/>
        <v>2.5</v>
      </c>
      <c r="AE95" s="3">
        <f t="shared" si="28"/>
        <v>7.5</v>
      </c>
      <c r="AF95" s="1">
        <v>25</v>
      </c>
      <c r="AI95" s="1">
        <v>9.5</v>
      </c>
      <c r="AJ95" s="3" t="s">
        <v>21</v>
      </c>
      <c r="AK95" s="2">
        <f t="shared" si="29"/>
        <v>1.5</v>
      </c>
      <c r="AL95" s="3">
        <f t="shared" si="30"/>
        <v>5</v>
      </c>
      <c r="AM95" s="1">
        <v>23.5</v>
      </c>
      <c r="AN95" s="1">
        <f t="shared" si="31"/>
        <v>30</v>
      </c>
      <c r="AP95" s="1">
        <v>11</v>
      </c>
      <c r="AQ95" s="2">
        <v>10</v>
      </c>
      <c r="AR95" s="1">
        <v>20.5</v>
      </c>
      <c r="AS95" s="2">
        <v>7</v>
      </c>
      <c r="AU95" s="2">
        <v>11</v>
      </c>
      <c r="AV95" s="1">
        <v>22</v>
      </c>
      <c r="AX95" s="2">
        <v>7</v>
      </c>
      <c r="AY95" s="2">
        <v>10</v>
      </c>
      <c r="AZ95" s="2">
        <v>7</v>
      </c>
      <c r="BA95" s="2">
        <v>6</v>
      </c>
      <c r="BC95" t="s">
        <v>234</v>
      </c>
      <c r="BD95" t="s">
        <v>235</v>
      </c>
      <c r="BE95" t="s">
        <v>236</v>
      </c>
      <c r="BG95" t="s">
        <v>313</v>
      </c>
      <c r="BH95" t="s">
        <v>239</v>
      </c>
      <c r="BJ95" s="2" t="s">
        <v>214</v>
      </c>
      <c r="BK95" s="2" t="s">
        <v>381</v>
      </c>
      <c r="BL95" s="1" t="s">
        <v>221</v>
      </c>
      <c r="BM95" s="1">
        <v>1</v>
      </c>
      <c r="BN95" s="1">
        <v>9.5</v>
      </c>
      <c r="BO95" s="1">
        <v>2</v>
      </c>
      <c r="BP95" s="1">
        <v>9</v>
      </c>
      <c r="BQ95" s="1">
        <v>4</v>
      </c>
      <c r="BR95" s="2" t="s">
        <v>223</v>
      </c>
      <c r="BS95" s="2">
        <v>3</v>
      </c>
      <c r="BT95" s="2">
        <v>10</v>
      </c>
      <c r="BU95" s="2">
        <v>3.5</v>
      </c>
      <c r="BV95" s="2">
        <v>5.5</v>
      </c>
      <c r="BW95" s="2">
        <v>6</v>
      </c>
      <c r="BX95" s="3" t="s">
        <v>382</v>
      </c>
      <c r="BY95" s="1" t="s">
        <v>230</v>
      </c>
    </row>
    <row r="96" spans="1:77" x14ac:dyDescent="0.25">
      <c r="A96">
        <v>17</v>
      </c>
      <c r="B96" t="s">
        <v>16</v>
      </c>
      <c r="C96">
        <v>16476</v>
      </c>
      <c r="D96" t="s">
        <v>102</v>
      </c>
      <c r="E96" s="1" t="s">
        <v>13</v>
      </c>
      <c r="G96" s="1">
        <v>30.5</v>
      </c>
      <c r="H96" s="2">
        <v>30</v>
      </c>
      <c r="I96" s="2">
        <f t="shared" si="21"/>
        <v>8</v>
      </c>
      <c r="J96" s="3">
        <f t="shared" si="22"/>
        <v>7</v>
      </c>
      <c r="K96" s="1">
        <v>53</v>
      </c>
      <c r="N96" s="1">
        <v>39</v>
      </c>
      <c r="O96" s="3">
        <v>38.5</v>
      </c>
      <c r="P96" s="2">
        <f t="shared" si="23"/>
        <v>10</v>
      </c>
      <c r="Q96" s="3">
        <f t="shared" si="24"/>
        <v>10</v>
      </c>
      <c r="R96" s="1">
        <v>75</v>
      </c>
      <c r="U96" s="1">
        <v>31</v>
      </c>
      <c r="V96" s="3">
        <v>28.5</v>
      </c>
      <c r="W96" s="2">
        <f t="shared" si="25"/>
        <v>7.5</v>
      </c>
      <c r="X96" s="3">
        <f t="shared" si="26"/>
        <v>8.5</v>
      </c>
      <c r="Y96" s="1">
        <v>72</v>
      </c>
      <c r="AB96" s="1">
        <v>36</v>
      </c>
      <c r="AC96" s="3">
        <v>37.5</v>
      </c>
      <c r="AD96" s="2">
        <f t="shared" si="27"/>
        <v>9.5</v>
      </c>
      <c r="AE96" s="3">
        <f t="shared" si="28"/>
        <v>9</v>
      </c>
      <c r="AF96" s="1">
        <v>73</v>
      </c>
      <c r="AI96" s="1">
        <v>35.5</v>
      </c>
      <c r="AJ96" s="3">
        <v>37.5</v>
      </c>
      <c r="AK96" s="2">
        <f t="shared" si="29"/>
        <v>9.5</v>
      </c>
      <c r="AL96" s="3">
        <f t="shared" si="30"/>
        <v>8.5</v>
      </c>
      <c r="AM96" s="1">
        <v>71</v>
      </c>
      <c r="AN96" s="1">
        <f t="shared" si="31"/>
        <v>89</v>
      </c>
      <c r="AP96" s="1">
        <v>22.5</v>
      </c>
      <c r="AQ96" s="2">
        <v>24</v>
      </c>
      <c r="AR96" s="1">
        <v>26</v>
      </c>
      <c r="AS96" s="2">
        <v>7</v>
      </c>
      <c r="AU96" s="2">
        <v>19</v>
      </c>
      <c r="AV96" s="1">
        <v>32</v>
      </c>
      <c r="AX96" s="2">
        <v>8.5</v>
      </c>
      <c r="AY96" s="2">
        <v>10</v>
      </c>
      <c r="AZ96" s="2">
        <v>8</v>
      </c>
      <c r="BA96" s="2">
        <v>9.5</v>
      </c>
      <c r="BC96" t="s">
        <v>234</v>
      </c>
      <c r="BD96" t="s">
        <v>235</v>
      </c>
      <c r="BE96" t="s">
        <v>236</v>
      </c>
      <c r="BF96" t="s">
        <v>314</v>
      </c>
      <c r="BG96" t="s">
        <v>315</v>
      </c>
      <c r="BH96" t="s">
        <v>255</v>
      </c>
      <c r="BJ96" s="2" t="s">
        <v>214</v>
      </c>
      <c r="BK96" s="2" t="s">
        <v>381</v>
      </c>
      <c r="BL96" s="1" t="s">
        <v>221</v>
      </c>
      <c r="BM96" s="1">
        <v>9</v>
      </c>
      <c r="BN96" s="1">
        <v>10</v>
      </c>
      <c r="BO96" s="1">
        <v>8.5</v>
      </c>
      <c r="BP96" s="1">
        <v>10</v>
      </c>
      <c r="BQ96" s="1">
        <v>8</v>
      </c>
      <c r="BR96" s="2" t="s">
        <v>223</v>
      </c>
      <c r="BS96" s="2">
        <v>4.5</v>
      </c>
      <c r="BT96" s="2">
        <v>10</v>
      </c>
      <c r="BU96" s="2">
        <v>8</v>
      </c>
      <c r="BV96" s="2">
        <v>7.5</v>
      </c>
      <c r="BW96" s="2">
        <v>9</v>
      </c>
      <c r="BX96" s="3" t="s">
        <v>382</v>
      </c>
      <c r="BY96" s="1" t="s">
        <v>230</v>
      </c>
    </row>
    <row r="97" spans="1:77" x14ac:dyDescent="0.25">
      <c r="A97">
        <v>18</v>
      </c>
      <c r="B97" t="s">
        <v>16</v>
      </c>
      <c r="C97">
        <v>16448</v>
      </c>
      <c r="D97" t="s">
        <v>107</v>
      </c>
      <c r="E97" s="1" t="s">
        <v>13</v>
      </c>
      <c r="G97" s="1">
        <v>28</v>
      </c>
      <c r="H97" s="2">
        <v>27</v>
      </c>
      <c r="I97" s="2">
        <f t="shared" si="21"/>
        <v>7</v>
      </c>
      <c r="J97" s="3">
        <f t="shared" si="22"/>
        <v>7.5</v>
      </c>
      <c r="K97" s="1">
        <v>48</v>
      </c>
      <c r="N97" s="1">
        <v>32</v>
      </c>
      <c r="O97" s="3">
        <v>30</v>
      </c>
      <c r="P97" s="2">
        <f t="shared" si="23"/>
        <v>8</v>
      </c>
      <c r="Q97" s="3">
        <f t="shared" si="24"/>
        <v>9.5</v>
      </c>
      <c r="R97" s="1">
        <v>57</v>
      </c>
      <c r="U97" s="1">
        <v>26.5</v>
      </c>
      <c r="V97" s="3">
        <v>30</v>
      </c>
      <c r="W97" s="2">
        <f t="shared" si="25"/>
        <v>7.5</v>
      </c>
      <c r="X97" s="3">
        <f t="shared" si="26"/>
        <v>7</v>
      </c>
      <c r="Y97" s="1">
        <v>64.5</v>
      </c>
      <c r="AB97" s="1">
        <v>27</v>
      </c>
      <c r="AC97" s="3">
        <v>34.5</v>
      </c>
      <c r="AD97" s="2">
        <f t="shared" si="27"/>
        <v>8</v>
      </c>
      <c r="AE97" s="3">
        <f t="shared" si="28"/>
        <v>9</v>
      </c>
      <c r="AF97" s="1">
        <v>52</v>
      </c>
      <c r="AI97" s="1">
        <v>32</v>
      </c>
      <c r="AJ97" s="3">
        <v>28.5</v>
      </c>
      <c r="AK97" s="2">
        <f t="shared" si="29"/>
        <v>8</v>
      </c>
      <c r="AL97" s="3">
        <f t="shared" si="30"/>
        <v>9</v>
      </c>
      <c r="AM97" s="1">
        <v>48</v>
      </c>
      <c r="AN97" s="1">
        <f t="shared" si="31"/>
        <v>65</v>
      </c>
      <c r="AP97" s="1">
        <v>16</v>
      </c>
      <c r="AQ97" s="2">
        <v>20</v>
      </c>
      <c r="AR97" s="1">
        <v>24.5</v>
      </c>
      <c r="AS97" s="2">
        <v>8</v>
      </c>
      <c r="AU97" s="2">
        <v>14.5</v>
      </c>
      <c r="AV97" s="1">
        <v>31.5</v>
      </c>
      <c r="AX97" s="2">
        <v>8.5</v>
      </c>
      <c r="AY97" s="2">
        <v>10</v>
      </c>
      <c r="AZ97" s="2">
        <v>7</v>
      </c>
      <c r="BA97" s="2">
        <v>10</v>
      </c>
      <c r="BC97" t="s">
        <v>234</v>
      </c>
      <c r="BD97" t="s">
        <v>235</v>
      </c>
      <c r="BE97" t="s">
        <v>236</v>
      </c>
      <c r="BF97" t="s">
        <v>308</v>
      </c>
      <c r="BG97" t="s">
        <v>316</v>
      </c>
      <c r="BH97" t="s">
        <v>239</v>
      </c>
      <c r="BJ97" s="2" t="s">
        <v>214</v>
      </c>
      <c r="BK97" s="2" t="s">
        <v>381</v>
      </c>
      <c r="BL97" s="1" t="s">
        <v>221</v>
      </c>
      <c r="BM97" s="1">
        <v>8</v>
      </c>
      <c r="BN97" s="1">
        <v>9.5</v>
      </c>
      <c r="BO97" s="1">
        <v>6.5</v>
      </c>
      <c r="BP97" s="1">
        <v>9.5</v>
      </c>
      <c r="BQ97" s="1">
        <v>9</v>
      </c>
      <c r="BR97" s="2" t="s">
        <v>223</v>
      </c>
      <c r="BS97" s="2">
        <v>7</v>
      </c>
      <c r="BT97" s="2">
        <v>9</v>
      </c>
      <c r="BU97" s="2">
        <v>7</v>
      </c>
      <c r="BV97" s="2">
        <v>8.5</v>
      </c>
      <c r="BW97" s="2">
        <v>9</v>
      </c>
      <c r="BX97" s="3" t="s">
        <v>382</v>
      </c>
      <c r="BY97" s="1" t="s">
        <v>230</v>
      </c>
    </row>
    <row r="98" spans="1:77" x14ac:dyDescent="0.25">
      <c r="A98">
        <v>19</v>
      </c>
      <c r="B98" t="s">
        <v>16</v>
      </c>
      <c r="C98">
        <v>16689</v>
      </c>
      <c r="D98" t="s">
        <v>112</v>
      </c>
      <c r="E98" s="1" t="s">
        <v>13</v>
      </c>
      <c r="G98" s="1">
        <v>7</v>
      </c>
      <c r="H98" s="2">
        <v>9</v>
      </c>
      <c r="I98" s="2">
        <f t="shared" ref="I98:I129" si="32">CEILING((N(G98)+N(H98))/80*10,0.5)</f>
        <v>2</v>
      </c>
      <c r="J98" s="3">
        <f t="shared" ref="J98:J129" si="33">CEILING((N(BM98)+N(BS98))/2,0.5)</f>
        <v>4.5</v>
      </c>
      <c r="K98" s="1">
        <v>12.5</v>
      </c>
      <c r="N98" s="1">
        <v>17.5</v>
      </c>
      <c r="O98" s="3">
        <v>24</v>
      </c>
      <c r="P98" s="2">
        <f t="shared" ref="P98:P129" si="34">CEILING((N(N98)+N(O98))/80*10,0.5)</f>
        <v>5.5</v>
      </c>
      <c r="Q98" s="3">
        <f t="shared" ref="Q98:Q129" si="35">CEILING((N(BN98)+N(BT98))/2,0.5)</f>
        <v>8.5</v>
      </c>
      <c r="R98" s="1">
        <v>37.5</v>
      </c>
      <c r="U98" s="1">
        <v>8.5</v>
      </c>
      <c r="V98" s="3">
        <v>11</v>
      </c>
      <c r="W98" s="2">
        <f t="shared" ref="W98:W129" si="36">CEILING((N(U98)+N(V98))/80*10,0.5)</f>
        <v>2.5</v>
      </c>
      <c r="X98" s="3">
        <f t="shared" ref="X98:X129" si="37">CEILING((N(BO98)+N(BU98))/2,0.5)</f>
        <v>2</v>
      </c>
      <c r="Y98" s="1">
        <v>16</v>
      </c>
      <c r="AB98" s="1">
        <v>2.5</v>
      </c>
      <c r="AC98" s="3">
        <v>3</v>
      </c>
      <c r="AD98" s="2">
        <f t="shared" ref="AD98:AD129" si="38">CEILING((N(AB98)+N(AC98))/80*10,0.5)</f>
        <v>1</v>
      </c>
      <c r="AE98" s="3">
        <f t="shared" ref="AE98:AE129" si="39">CEILING((N(BP98)+N(BV98))/2,0.5)</f>
        <v>4.5</v>
      </c>
      <c r="AF98" s="1">
        <v>19</v>
      </c>
      <c r="AI98" s="1">
        <v>7.5</v>
      </c>
      <c r="AJ98" s="3">
        <v>4</v>
      </c>
      <c r="AK98" s="2">
        <f t="shared" ref="AK98:AK129" si="40">CEILING((N(AI98)+N(AJ98))/80*10,0.5)</f>
        <v>1.5</v>
      </c>
      <c r="AL98" s="3">
        <f t="shared" ref="AL98:AL129" si="41">CEILING((N(BQ98)+N(BW98))/2,0.5)</f>
        <v>3</v>
      </c>
      <c r="AM98" s="1">
        <v>13.5</v>
      </c>
      <c r="AN98" s="1">
        <f t="shared" si="31"/>
        <v>18</v>
      </c>
      <c r="AP98" s="1">
        <v>7.5</v>
      </c>
      <c r="AQ98" s="2">
        <v>9</v>
      </c>
      <c r="AR98" s="1">
        <v>11.5</v>
      </c>
      <c r="AS98" s="2">
        <v>3.5</v>
      </c>
      <c r="AU98" s="2">
        <v>9</v>
      </c>
      <c r="AV98" s="1">
        <v>20</v>
      </c>
      <c r="AX98" s="2">
        <v>3</v>
      </c>
      <c r="AY98" s="2">
        <v>10</v>
      </c>
      <c r="AZ98" s="2">
        <v>7</v>
      </c>
      <c r="BA98" s="2">
        <v>2</v>
      </c>
      <c r="BC98" t="s">
        <v>234</v>
      </c>
      <c r="BD98" t="s">
        <v>235</v>
      </c>
      <c r="BE98" t="s">
        <v>236</v>
      </c>
      <c r="BG98" t="s">
        <v>303</v>
      </c>
      <c r="BH98" t="s">
        <v>237</v>
      </c>
      <c r="BJ98" s="2" t="s">
        <v>214</v>
      </c>
      <c r="BK98" s="2" t="s">
        <v>381</v>
      </c>
      <c r="BL98" s="1" t="s">
        <v>221</v>
      </c>
      <c r="BM98" s="1">
        <v>5</v>
      </c>
      <c r="BN98" s="1">
        <v>7.5</v>
      </c>
      <c r="BO98" s="1">
        <v>1</v>
      </c>
      <c r="BP98" s="1">
        <v>4</v>
      </c>
      <c r="BQ98" s="1">
        <v>2</v>
      </c>
      <c r="BR98" s="2" t="s">
        <v>223</v>
      </c>
      <c r="BS98" s="2">
        <v>4</v>
      </c>
      <c r="BT98" s="2">
        <v>9</v>
      </c>
      <c r="BU98" s="2">
        <v>2.5</v>
      </c>
      <c r="BV98" s="2">
        <v>5</v>
      </c>
      <c r="BW98" s="2">
        <v>4</v>
      </c>
      <c r="BX98" s="3" t="s">
        <v>382</v>
      </c>
      <c r="BY98" s="1" t="s">
        <v>230</v>
      </c>
    </row>
    <row r="99" spans="1:77" x14ac:dyDescent="0.25">
      <c r="A99">
        <v>20</v>
      </c>
      <c r="B99" t="s">
        <v>16</v>
      </c>
      <c r="C99">
        <v>16451</v>
      </c>
      <c r="D99" t="s">
        <v>117</v>
      </c>
      <c r="E99" s="1" t="s">
        <v>13</v>
      </c>
      <c r="G99" s="1">
        <v>25.5</v>
      </c>
      <c r="H99" s="2">
        <v>23.5</v>
      </c>
      <c r="I99" s="2">
        <f t="shared" si="32"/>
        <v>6.5</v>
      </c>
      <c r="J99" s="3">
        <f t="shared" si="33"/>
        <v>8</v>
      </c>
      <c r="K99" s="1">
        <v>41</v>
      </c>
      <c r="N99" s="1">
        <v>38.5</v>
      </c>
      <c r="O99" s="3">
        <v>35.5</v>
      </c>
      <c r="P99" s="2">
        <f t="shared" si="34"/>
        <v>9.5</v>
      </c>
      <c r="Q99" s="3">
        <f t="shared" si="35"/>
        <v>10</v>
      </c>
      <c r="R99" s="1">
        <v>71</v>
      </c>
      <c r="U99" s="1">
        <v>33</v>
      </c>
      <c r="V99" s="3">
        <v>39</v>
      </c>
      <c r="W99" s="2">
        <f t="shared" si="36"/>
        <v>9</v>
      </c>
      <c r="X99" s="3">
        <f t="shared" si="37"/>
        <v>7.5</v>
      </c>
      <c r="Y99" s="1">
        <v>66.5</v>
      </c>
      <c r="AB99" s="1">
        <v>30.5</v>
      </c>
      <c r="AC99" s="3">
        <v>37.5</v>
      </c>
      <c r="AD99" s="2">
        <f t="shared" si="38"/>
        <v>8.5</v>
      </c>
      <c r="AE99" s="3">
        <f t="shared" si="39"/>
        <v>9</v>
      </c>
      <c r="AF99" s="1">
        <v>55.5</v>
      </c>
      <c r="AI99" s="1">
        <v>32.5</v>
      </c>
      <c r="AJ99" s="3">
        <v>24.5</v>
      </c>
      <c r="AK99" s="2">
        <f t="shared" si="40"/>
        <v>7.5</v>
      </c>
      <c r="AL99" s="3">
        <f t="shared" si="41"/>
        <v>7</v>
      </c>
      <c r="AM99" s="1">
        <v>52</v>
      </c>
      <c r="AN99" s="1">
        <f t="shared" si="31"/>
        <v>66.5</v>
      </c>
      <c r="AP99" s="1">
        <v>21</v>
      </c>
      <c r="AQ99" s="2">
        <v>21</v>
      </c>
      <c r="AR99" s="1">
        <v>29</v>
      </c>
      <c r="AS99" s="2">
        <v>6</v>
      </c>
      <c r="AU99" s="2">
        <v>17</v>
      </c>
      <c r="AV99" s="1">
        <v>29</v>
      </c>
      <c r="AX99" s="2">
        <v>8</v>
      </c>
      <c r="AY99" s="2">
        <v>10</v>
      </c>
      <c r="AZ99" s="2">
        <v>8</v>
      </c>
      <c r="BA99" s="2">
        <v>7</v>
      </c>
      <c r="BC99" t="s">
        <v>234</v>
      </c>
      <c r="BD99" t="s">
        <v>235</v>
      </c>
      <c r="BE99" t="s">
        <v>236</v>
      </c>
      <c r="BG99" t="s">
        <v>303</v>
      </c>
      <c r="BH99" t="s">
        <v>237</v>
      </c>
      <c r="BJ99" s="2" t="s">
        <v>214</v>
      </c>
      <c r="BK99" s="2" t="s">
        <v>381</v>
      </c>
      <c r="BL99" s="1" t="s">
        <v>221</v>
      </c>
      <c r="BM99" s="1">
        <v>7</v>
      </c>
      <c r="BN99" s="1">
        <v>10</v>
      </c>
      <c r="BO99" s="1">
        <v>7.5</v>
      </c>
      <c r="BP99" s="1">
        <v>9.5</v>
      </c>
      <c r="BQ99" s="1">
        <v>9</v>
      </c>
      <c r="BR99" s="2" t="s">
        <v>223</v>
      </c>
      <c r="BS99" s="2">
        <v>8.5</v>
      </c>
      <c r="BT99" s="2">
        <v>10</v>
      </c>
      <c r="BU99" s="2">
        <v>7.5</v>
      </c>
      <c r="BV99" s="2">
        <v>8.5</v>
      </c>
      <c r="BW99" s="2">
        <v>5</v>
      </c>
      <c r="BX99" s="3" t="s">
        <v>382</v>
      </c>
      <c r="BY99" s="1" t="s">
        <v>230</v>
      </c>
    </row>
    <row r="100" spans="1:77" x14ac:dyDescent="0.25">
      <c r="A100">
        <v>21</v>
      </c>
      <c r="B100" t="s">
        <v>16</v>
      </c>
      <c r="C100">
        <v>16458</v>
      </c>
      <c r="D100" t="s">
        <v>122</v>
      </c>
      <c r="E100" s="1" t="s">
        <v>13</v>
      </c>
      <c r="G100" s="1">
        <v>35</v>
      </c>
      <c r="H100" s="2">
        <v>30</v>
      </c>
      <c r="I100" s="2">
        <f t="shared" si="32"/>
        <v>8.5</v>
      </c>
      <c r="J100" s="3">
        <f t="shared" si="33"/>
        <v>9</v>
      </c>
      <c r="K100" s="1">
        <v>55</v>
      </c>
      <c r="N100" s="1">
        <v>38</v>
      </c>
      <c r="O100" s="3">
        <v>39</v>
      </c>
      <c r="P100" s="2">
        <f t="shared" si="34"/>
        <v>10</v>
      </c>
      <c r="Q100" s="3">
        <f t="shared" si="35"/>
        <v>9.5</v>
      </c>
      <c r="R100" s="1">
        <v>69.5</v>
      </c>
      <c r="U100" s="1">
        <v>37.5</v>
      </c>
      <c r="V100" s="3">
        <v>38</v>
      </c>
      <c r="W100" s="2">
        <f t="shared" si="36"/>
        <v>9.5</v>
      </c>
      <c r="X100" s="3">
        <f t="shared" si="37"/>
        <v>8.5</v>
      </c>
      <c r="Y100" s="1">
        <v>74</v>
      </c>
      <c r="AB100" s="1">
        <v>33.5</v>
      </c>
      <c r="AC100" s="3">
        <v>39.5</v>
      </c>
      <c r="AD100" s="2">
        <f t="shared" si="38"/>
        <v>9.5</v>
      </c>
      <c r="AE100" s="3">
        <f t="shared" si="39"/>
        <v>9.5</v>
      </c>
      <c r="AF100" s="1">
        <v>73.5</v>
      </c>
      <c r="AI100" s="1">
        <v>36.5</v>
      </c>
      <c r="AJ100" s="3">
        <v>35.5</v>
      </c>
      <c r="AK100" s="2">
        <f t="shared" si="40"/>
        <v>9</v>
      </c>
      <c r="AL100" s="3">
        <f t="shared" si="41"/>
        <v>9</v>
      </c>
      <c r="AM100" s="1">
        <v>71.5</v>
      </c>
      <c r="AN100" s="1">
        <f t="shared" si="31"/>
        <v>89.5</v>
      </c>
      <c r="AP100" s="1">
        <v>19</v>
      </c>
      <c r="AQ100" s="2">
        <v>22</v>
      </c>
      <c r="AR100" s="1">
        <v>24.5</v>
      </c>
      <c r="AS100" s="2">
        <v>6</v>
      </c>
      <c r="AU100" s="2">
        <v>20</v>
      </c>
      <c r="AV100" s="1">
        <v>35</v>
      </c>
      <c r="AX100" s="2">
        <v>8</v>
      </c>
      <c r="AY100" s="2">
        <v>10</v>
      </c>
      <c r="AZ100" s="2">
        <v>8</v>
      </c>
      <c r="BA100" s="2">
        <v>10</v>
      </c>
      <c r="BC100" t="s">
        <v>234</v>
      </c>
      <c r="BD100" t="s">
        <v>235</v>
      </c>
      <c r="BE100" t="s">
        <v>236</v>
      </c>
      <c r="BF100" t="s">
        <v>317</v>
      </c>
      <c r="BG100" t="s">
        <v>303</v>
      </c>
      <c r="BH100" t="s">
        <v>247</v>
      </c>
      <c r="BJ100" s="2" t="s">
        <v>214</v>
      </c>
      <c r="BK100" s="2" t="s">
        <v>381</v>
      </c>
      <c r="BL100" s="1" t="s">
        <v>221</v>
      </c>
      <c r="BM100" s="1">
        <v>8.5</v>
      </c>
      <c r="BN100" s="1">
        <v>9</v>
      </c>
      <c r="BO100" s="1">
        <v>8</v>
      </c>
      <c r="BP100" s="1">
        <v>10</v>
      </c>
      <c r="BQ100" s="1">
        <v>10</v>
      </c>
      <c r="BR100" s="2" t="s">
        <v>223</v>
      </c>
      <c r="BS100" s="2">
        <v>9.5</v>
      </c>
      <c r="BT100" s="2">
        <v>10</v>
      </c>
      <c r="BU100" s="2">
        <v>9</v>
      </c>
      <c r="BV100" s="2">
        <v>8.5</v>
      </c>
      <c r="BW100" s="2">
        <v>7.5</v>
      </c>
      <c r="BX100" s="3" t="s">
        <v>382</v>
      </c>
      <c r="BY100" s="1" t="s">
        <v>230</v>
      </c>
    </row>
    <row r="101" spans="1:77" x14ac:dyDescent="0.25">
      <c r="A101">
        <v>22</v>
      </c>
      <c r="B101" t="s">
        <v>16</v>
      </c>
      <c r="C101">
        <v>16505</v>
      </c>
      <c r="D101" t="s">
        <v>127</v>
      </c>
      <c r="E101" s="1" t="s">
        <v>13</v>
      </c>
      <c r="G101" s="1">
        <v>21.5</v>
      </c>
      <c r="H101" s="2">
        <v>17</v>
      </c>
      <c r="I101" s="2">
        <f t="shared" si="32"/>
        <v>5</v>
      </c>
      <c r="J101" s="3">
        <f t="shared" si="33"/>
        <v>6.5</v>
      </c>
      <c r="K101" s="1">
        <v>35</v>
      </c>
      <c r="N101" s="1">
        <v>17.5</v>
      </c>
      <c r="O101" s="3">
        <v>17</v>
      </c>
      <c r="P101" s="2">
        <f t="shared" si="34"/>
        <v>4.5</v>
      </c>
      <c r="Q101" s="3">
        <f t="shared" si="35"/>
        <v>8.5</v>
      </c>
      <c r="R101" s="1">
        <v>50</v>
      </c>
      <c r="U101" s="1">
        <v>14.5</v>
      </c>
      <c r="V101" s="3">
        <v>11</v>
      </c>
      <c r="W101" s="2">
        <f t="shared" si="36"/>
        <v>3.5</v>
      </c>
      <c r="X101" s="3">
        <f t="shared" si="37"/>
        <v>4</v>
      </c>
      <c r="Y101" s="1">
        <v>28</v>
      </c>
      <c r="AB101" s="1">
        <v>17</v>
      </c>
      <c r="AC101" s="3">
        <v>17.5</v>
      </c>
      <c r="AD101" s="2">
        <f t="shared" si="38"/>
        <v>4.5</v>
      </c>
      <c r="AE101" s="3">
        <f t="shared" si="39"/>
        <v>8.5</v>
      </c>
      <c r="AF101" s="1">
        <v>42</v>
      </c>
      <c r="AI101" s="1">
        <v>9.5</v>
      </c>
      <c r="AJ101" s="3">
        <v>9</v>
      </c>
      <c r="AK101" s="2">
        <f t="shared" si="40"/>
        <v>2.5</v>
      </c>
      <c r="AL101" s="3">
        <f t="shared" si="41"/>
        <v>6</v>
      </c>
      <c r="AM101" s="1">
        <v>21</v>
      </c>
      <c r="AN101" s="1">
        <f t="shared" si="31"/>
        <v>29.5</v>
      </c>
      <c r="AP101" s="1">
        <v>7</v>
      </c>
      <c r="AQ101" s="2">
        <v>8</v>
      </c>
      <c r="AR101" s="1">
        <v>8</v>
      </c>
      <c r="AS101" s="2">
        <v>6</v>
      </c>
      <c r="AU101" s="2">
        <v>15.5</v>
      </c>
      <c r="AV101" s="1">
        <v>25.5</v>
      </c>
      <c r="AX101" s="2">
        <v>7.5</v>
      </c>
      <c r="AY101" s="2">
        <v>10</v>
      </c>
      <c r="AZ101" s="2">
        <v>8</v>
      </c>
      <c r="BA101" s="2">
        <v>7</v>
      </c>
      <c r="BC101" t="s">
        <v>234</v>
      </c>
      <c r="BD101" t="s">
        <v>235</v>
      </c>
      <c r="BE101" t="s">
        <v>236</v>
      </c>
      <c r="BF101" t="s">
        <v>314</v>
      </c>
      <c r="BG101" t="s">
        <v>319</v>
      </c>
      <c r="BH101" t="s">
        <v>318</v>
      </c>
      <c r="BJ101" s="2" t="s">
        <v>214</v>
      </c>
      <c r="BK101" s="2" t="s">
        <v>381</v>
      </c>
      <c r="BL101" s="1" t="s">
        <v>221</v>
      </c>
      <c r="BM101" s="1">
        <v>5.5</v>
      </c>
      <c r="BN101" s="1">
        <v>9.5</v>
      </c>
      <c r="BO101" s="1">
        <v>3</v>
      </c>
      <c r="BP101" s="1">
        <v>9</v>
      </c>
      <c r="BQ101" s="1">
        <v>6.5</v>
      </c>
      <c r="BR101" s="2" t="s">
        <v>223</v>
      </c>
      <c r="BS101" s="2">
        <v>7.5</v>
      </c>
      <c r="BT101" s="2">
        <v>7</v>
      </c>
      <c r="BU101" s="2">
        <v>4.5</v>
      </c>
      <c r="BV101" s="2">
        <v>7.5</v>
      </c>
      <c r="BW101" s="2">
        <v>5.5</v>
      </c>
      <c r="BX101" s="3" t="s">
        <v>382</v>
      </c>
      <c r="BY101" s="1" t="s">
        <v>230</v>
      </c>
    </row>
    <row r="102" spans="1:77" x14ac:dyDescent="0.25">
      <c r="A102">
        <v>23</v>
      </c>
      <c r="B102" t="s">
        <v>16</v>
      </c>
      <c r="C102">
        <v>16737</v>
      </c>
      <c r="D102" t="s">
        <v>131</v>
      </c>
      <c r="E102" s="1" t="s">
        <v>13</v>
      </c>
      <c r="G102" s="1">
        <v>24.5</v>
      </c>
      <c r="H102" s="2">
        <v>20</v>
      </c>
      <c r="I102" s="2">
        <f t="shared" si="32"/>
        <v>6</v>
      </c>
      <c r="J102" s="3">
        <f t="shared" si="33"/>
        <v>8</v>
      </c>
      <c r="K102" s="1">
        <v>40.5</v>
      </c>
      <c r="N102" s="1">
        <v>32.5</v>
      </c>
      <c r="O102" s="3">
        <v>28.5</v>
      </c>
      <c r="P102" s="2">
        <f t="shared" si="34"/>
        <v>8</v>
      </c>
      <c r="Q102" s="3">
        <f t="shared" si="35"/>
        <v>9.5</v>
      </c>
      <c r="R102" s="1">
        <v>67</v>
      </c>
      <c r="U102" s="1">
        <v>33.5</v>
      </c>
      <c r="V102" s="3">
        <v>29.5</v>
      </c>
      <c r="W102" s="2">
        <f t="shared" si="36"/>
        <v>8</v>
      </c>
      <c r="X102" s="3">
        <f t="shared" si="37"/>
        <v>1.5</v>
      </c>
      <c r="Y102" s="1">
        <v>61</v>
      </c>
      <c r="AB102" s="1">
        <v>28</v>
      </c>
      <c r="AC102" s="3">
        <v>27.5</v>
      </c>
      <c r="AD102" s="2">
        <f t="shared" si="38"/>
        <v>7</v>
      </c>
      <c r="AE102" s="3">
        <f t="shared" si="39"/>
        <v>8</v>
      </c>
      <c r="AF102" s="1">
        <v>53</v>
      </c>
      <c r="AI102" s="1">
        <v>27</v>
      </c>
      <c r="AJ102" s="3">
        <v>19</v>
      </c>
      <c r="AK102" s="2">
        <f t="shared" si="40"/>
        <v>6</v>
      </c>
      <c r="AL102" s="3">
        <f t="shared" si="41"/>
        <v>0</v>
      </c>
      <c r="AM102" s="1">
        <v>39.5</v>
      </c>
      <c r="AN102" s="1">
        <f t="shared" si="31"/>
        <v>45.5</v>
      </c>
      <c r="AP102" s="1">
        <v>16.5</v>
      </c>
      <c r="AQ102" s="2">
        <v>15</v>
      </c>
      <c r="AR102" s="1">
        <v>15</v>
      </c>
      <c r="AS102" s="2">
        <v>5</v>
      </c>
      <c r="AU102" s="2">
        <v>15.5</v>
      </c>
      <c r="AV102" s="1">
        <v>28.5</v>
      </c>
      <c r="AX102" s="2">
        <v>8</v>
      </c>
      <c r="AY102" s="2">
        <v>10</v>
      </c>
      <c r="AZ102" s="2">
        <v>8</v>
      </c>
      <c r="BA102" s="2">
        <v>9</v>
      </c>
      <c r="BC102" t="s">
        <v>234</v>
      </c>
      <c r="BD102" t="s">
        <v>235</v>
      </c>
      <c r="BE102" t="s">
        <v>236</v>
      </c>
      <c r="BG102" t="s">
        <v>303</v>
      </c>
      <c r="BH102" t="s">
        <v>248</v>
      </c>
      <c r="BJ102" s="2" t="s">
        <v>214</v>
      </c>
      <c r="BK102" s="2" t="s">
        <v>381</v>
      </c>
      <c r="BL102" s="1" t="s">
        <v>221</v>
      </c>
      <c r="BM102" s="1">
        <v>8.5</v>
      </c>
      <c r="BN102" s="1">
        <v>9</v>
      </c>
      <c r="BO102" s="1">
        <v>3</v>
      </c>
      <c r="BP102" s="1">
        <v>8.5</v>
      </c>
      <c r="BQ102" s="1" t="s">
        <v>21</v>
      </c>
      <c r="BR102" s="2" t="s">
        <v>223</v>
      </c>
      <c r="BS102" s="2">
        <v>7.5</v>
      </c>
      <c r="BT102" s="2">
        <v>10</v>
      </c>
      <c r="BU102" s="2" t="s">
        <v>20</v>
      </c>
      <c r="BV102" s="2">
        <v>7</v>
      </c>
      <c r="BW102" s="2" t="s">
        <v>21</v>
      </c>
      <c r="BX102" s="3" t="s">
        <v>382</v>
      </c>
      <c r="BY102" s="1" t="s">
        <v>230</v>
      </c>
    </row>
    <row r="103" spans="1:77" x14ac:dyDescent="0.25">
      <c r="A103">
        <v>24</v>
      </c>
      <c r="B103" t="s">
        <v>16</v>
      </c>
      <c r="C103">
        <v>16532</v>
      </c>
      <c r="D103" t="s">
        <v>136</v>
      </c>
      <c r="E103" s="1" t="s">
        <v>13</v>
      </c>
      <c r="G103" s="1">
        <v>21.5</v>
      </c>
      <c r="H103" s="2">
        <v>16.5</v>
      </c>
      <c r="I103" s="2">
        <f t="shared" si="32"/>
        <v>5</v>
      </c>
      <c r="J103" s="3">
        <f t="shared" si="33"/>
        <v>5.5</v>
      </c>
      <c r="K103" s="1">
        <v>26.5</v>
      </c>
      <c r="N103" s="1">
        <v>24.5</v>
      </c>
      <c r="O103" s="3">
        <v>26.5</v>
      </c>
      <c r="P103" s="2">
        <f t="shared" si="34"/>
        <v>6.5</v>
      </c>
      <c r="Q103" s="3">
        <f t="shared" si="35"/>
        <v>7.5</v>
      </c>
      <c r="R103" s="1">
        <v>46.5</v>
      </c>
      <c r="U103" s="1">
        <v>24</v>
      </c>
      <c r="V103" s="3">
        <v>9.5</v>
      </c>
      <c r="W103" s="2">
        <f t="shared" si="36"/>
        <v>4.5</v>
      </c>
      <c r="X103" s="3">
        <f t="shared" si="37"/>
        <v>4</v>
      </c>
      <c r="Y103" s="1">
        <v>43</v>
      </c>
      <c r="AB103" s="1">
        <v>16.5</v>
      </c>
      <c r="AC103" s="3">
        <v>26.5</v>
      </c>
      <c r="AD103" s="2">
        <f t="shared" si="38"/>
        <v>5.5</v>
      </c>
      <c r="AE103" s="3">
        <f t="shared" si="39"/>
        <v>7.5</v>
      </c>
      <c r="AF103" s="1">
        <v>37.5</v>
      </c>
      <c r="AI103" s="1">
        <v>24</v>
      </c>
      <c r="AJ103" s="3">
        <v>10</v>
      </c>
      <c r="AK103" s="2">
        <f t="shared" si="40"/>
        <v>4.5</v>
      </c>
      <c r="AL103" s="3">
        <f t="shared" si="41"/>
        <v>4</v>
      </c>
      <c r="AM103" s="1">
        <v>30.5</v>
      </c>
      <c r="AN103" s="1">
        <f t="shared" si="31"/>
        <v>39</v>
      </c>
      <c r="AP103" s="1">
        <v>10</v>
      </c>
      <c r="AQ103" s="2">
        <v>11</v>
      </c>
      <c r="AR103" s="1">
        <v>21.5</v>
      </c>
      <c r="AS103" s="2">
        <v>5</v>
      </c>
      <c r="AU103" s="2">
        <v>14.5</v>
      </c>
      <c r="AV103" s="1">
        <v>20.5</v>
      </c>
      <c r="AX103" s="2">
        <v>7</v>
      </c>
      <c r="AY103" s="2">
        <v>10</v>
      </c>
      <c r="AZ103" s="2">
        <v>7</v>
      </c>
      <c r="BA103" s="2" t="s">
        <v>20</v>
      </c>
      <c r="BC103" t="s">
        <v>234</v>
      </c>
      <c r="BD103" t="s">
        <v>235</v>
      </c>
      <c r="BE103" t="s">
        <v>236</v>
      </c>
      <c r="BG103" t="s">
        <v>303</v>
      </c>
      <c r="BH103" t="s">
        <v>320</v>
      </c>
      <c r="BJ103" s="2" t="s">
        <v>214</v>
      </c>
      <c r="BK103" s="2" t="s">
        <v>381</v>
      </c>
      <c r="BL103" s="1" t="s">
        <v>221</v>
      </c>
      <c r="BM103" s="1">
        <v>4</v>
      </c>
      <c r="BN103" s="1">
        <v>6</v>
      </c>
      <c r="BO103" s="1">
        <v>4</v>
      </c>
      <c r="BP103" s="1">
        <v>7.5</v>
      </c>
      <c r="BQ103" s="1">
        <v>4.5</v>
      </c>
      <c r="BR103" s="2" t="s">
        <v>223</v>
      </c>
      <c r="BS103" s="2">
        <v>6.5</v>
      </c>
      <c r="BT103" s="2">
        <v>9</v>
      </c>
      <c r="BU103" s="2">
        <v>4</v>
      </c>
      <c r="BV103" s="2">
        <v>7.5</v>
      </c>
      <c r="BW103" s="2">
        <v>3</v>
      </c>
      <c r="BX103" s="3" t="s">
        <v>382</v>
      </c>
      <c r="BY103" s="1" t="s">
        <v>230</v>
      </c>
    </row>
    <row r="104" spans="1:77" x14ac:dyDescent="0.25">
      <c r="A104">
        <v>25</v>
      </c>
      <c r="B104" t="s">
        <v>16</v>
      </c>
      <c r="C104">
        <v>16467</v>
      </c>
      <c r="D104" t="s">
        <v>141</v>
      </c>
      <c r="E104" s="1" t="s">
        <v>13</v>
      </c>
      <c r="G104" s="1">
        <v>33.5</v>
      </c>
      <c r="H104" s="2">
        <v>30</v>
      </c>
      <c r="I104" s="2">
        <f t="shared" si="32"/>
        <v>8</v>
      </c>
      <c r="J104" s="3">
        <f t="shared" si="33"/>
        <v>8</v>
      </c>
      <c r="K104" s="1">
        <v>58</v>
      </c>
      <c r="N104" s="1">
        <v>37</v>
      </c>
      <c r="O104" s="3">
        <v>36</v>
      </c>
      <c r="P104" s="2">
        <f t="shared" si="34"/>
        <v>9.5</v>
      </c>
      <c r="Q104" s="3">
        <f t="shared" si="35"/>
        <v>9</v>
      </c>
      <c r="R104" s="1">
        <v>67</v>
      </c>
      <c r="U104" s="1">
        <v>36</v>
      </c>
      <c r="V104" s="3">
        <v>36</v>
      </c>
      <c r="W104" s="2">
        <f t="shared" si="36"/>
        <v>9</v>
      </c>
      <c r="X104" s="3">
        <f t="shared" si="37"/>
        <v>8.5</v>
      </c>
      <c r="Y104" s="1">
        <v>72</v>
      </c>
      <c r="AB104" s="1">
        <v>35</v>
      </c>
      <c r="AC104" s="3">
        <v>37.5</v>
      </c>
      <c r="AD104" s="2">
        <f t="shared" si="38"/>
        <v>9.5</v>
      </c>
      <c r="AE104" s="3">
        <f t="shared" si="39"/>
        <v>9.5</v>
      </c>
      <c r="AF104" s="1">
        <v>70</v>
      </c>
      <c r="AI104" s="1">
        <v>35</v>
      </c>
      <c r="AJ104" s="3">
        <v>31</v>
      </c>
      <c r="AK104" s="2">
        <f t="shared" si="40"/>
        <v>8.5</v>
      </c>
      <c r="AL104" s="3">
        <f t="shared" si="41"/>
        <v>9</v>
      </c>
      <c r="AM104" s="1">
        <v>61.5</v>
      </c>
      <c r="AN104" s="1">
        <f t="shared" si="31"/>
        <v>79</v>
      </c>
      <c r="AP104" s="1">
        <v>23</v>
      </c>
      <c r="AQ104" s="2">
        <v>24</v>
      </c>
      <c r="AR104" s="1">
        <v>26</v>
      </c>
      <c r="AS104" s="2">
        <v>8</v>
      </c>
      <c r="AU104" s="2">
        <v>22.5</v>
      </c>
      <c r="AV104" s="1">
        <v>34.5</v>
      </c>
      <c r="AX104" s="2">
        <v>9</v>
      </c>
      <c r="AY104" s="2">
        <v>10</v>
      </c>
      <c r="AZ104" s="2">
        <v>7</v>
      </c>
      <c r="BA104" s="2">
        <v>9.5</v>
      </c>
      <c r="BC104" t="s">
        <v>234</v>
      </c>
      <c r="BD104" t="s">
        <v>235</v>
      </c>
      <c r="BE104" t="s">
        <v>236</v>
      </c>
      <c r="BF104" t="s">
        <v>307</v>
      </c>
      <c r="BG104" t="s">
        <v>303</v>
      </c>
      <c r="BH104" t="s">
        <v>237</v>
      </c>
      <c r="BJ104" s="2" t="s">
        <v>214</v>
      </c>
      <c r="BK104" s="2" t="s">
        <v>381</v>
      </c>
      <c r="BL104" s="1" t="s">
        <v>221</v>
      </c>
      <c r="BM104" s="1">
        <v>7.5</v>
      </c>
      <c r="BN104" s="1">
        <v>7.5</v>
      </c>
      <c r="BO104" s="1">
        <v>8</v>
      </c>
      <c r="BP104" s="1">
        <v>10</v>
      </c>
      <c r="BQ104" s="1">
        <v>10</v>
      </c>
      <c r="BR104" s="2" t="s">
        <v>223</v>
      </c>
      <c r="BS104" s="2">
        <v>8</v>
      </c>
      <c r="BT104" s="2">
        <v>10</v>
      </c>
      <c r="BU104" s="2">
        <v>9</v>
      </c>
      <c r="BV104" s="2">
        <v>9</v>
      </c>
      <c r="BW104" s="2">
        <v>8</v>
      </c>
      <c r="BX104" s="3" t="s">
        <v>382</v>
      </c>
      <c r="BY104" s="1" t="s">
        <v>230</v>
      </c>
    </row>
    <row r="105" spans="1:77" x14ac:dyDescent="0.25">
      <c r="A105">
        <v>26</v>
      </c>
      <c r="B105" t="s">
        <v>16</v>
      </c>
      <c r="C105">
        <v>16725</v>
      </c>
      <c r="D105" t="s">
        <v>146</v>
      </c>
      <c r="E105" s="1" t="s">
        <v>13</v>
      </c>
      <c r="G105" s="1">
        <v>5.5</v>
      </c>
      <c r="H105" s="2">
        <v>2</v>
      </c>
      <c r="I105" s="2">
        <f t="shared" si="32"/>
        <v>1</v>
      </c>
      <c r="J105" s="3">
        <f t="shared" si="33"/>
        <v>4</v>
      </c>
      <c r="K105" s="1">
        <v>5.5</v>
      </c>
      <c r="N105" s="1">
        <v>11.5</v>
      </c>
      <c r="O105" s="3">
        <v>14</v>
      </c>
      <c r="P105" s="2">
        <f t="shared" si="34"/>
        <v>3.5</v>
      </c>
      <c r="Q105" s="3">
        <f t="shared" si="35"/>
        <v>5.5</v>
      </c>
      <c r="R105" s="1">
        <v>28.5</v>
      </c>
      <c r="U105" s="1">
        <v>3.5</v>
      </c>
      <c r="V105" s="3">
        <v>4.5</v>
      </c>
      <c r="W105" s="2">
        <f t="shared" si="36"/>
        <v>1</v>
      </c>
      <c r="X105" s="3">
        <f t="shared" si="37"/>
        <v>2</v>
      </c>
      <c r="Y105" s="1">
        <v>8.5</v>
      </c>
      <c r="AB105" s="1">
        <v>2.5</v>
      </c>
      <c r="AC105" s="3">
        <v>1</v>
      </c>
      <c r="AD105" s="2">
        <f t="shared" si="38"/>
        <v>0.5</v>
      </c>
      <c r="AE105" s="3">
        <f t="shared" si="39"/>
        <v>3.5</v>
      </c>
      <c r="AF105" s="1">
        <v>3.5</v>
      </c>
      <c r="AI105" s="1">
        <v>3</v>
      </c>
      <c r="AJ105" s="3">
        <v>0.5</v>
      </c>
      <c r="AK105" s="2">
        <f t="shared" si="40"/>
        <v>0.5</v>
      </c>
      <c r="AL105" s="3">
        <f t="shared" si="41"/>
        <v>0.5</v>
      </c>
      <c r="AM105" s="1">
        <v>5</v>
      </c>
      <c r="AN105" s="1">
        <f t="shared" si="31"/>
        <v>6</v>
      </c>
      <c r="AP105" s="1">
        <v>6.5</v>
      </c>
      <c r="AQ105" s="2" t="s">
        <v>44</v>
      </c>
      <c r="AR105" s="1">
        <v>5</v>
      </c>
      <c r="AS105" s="2">
        <v>5</v>
      </c>
      <c r="AU105" s="2">
        <v>9</v>
      </c>
      <c r="AV105" s="1">
        <v>25</v>
      </c>
      <c r="AX105" s="2">
        <v>1</v>
      </c>
      <c r="AY105" s="2">
        <v>10</v>
      </c>
      <c r="AZ105" s="2">
        <v>7</v>
      </c>
      <c r="BA105" s="2">
        <v>1</v>
      </c>
      <c r="BC105" t="s">
        <v>234</v>
      </c>
      <c r="BD105" t="s">
        <v>235</v>
      </c>
      <c r="BE105" t="s">
        <v>236</v>
      </c>
      <c r="BG105" t="s">
        <v>303</v>
      </c>
      <c r="BH105" t="s">
        <v>241</v>
      </c>
      <c r="BJ105" s="2" t="s">
        <v>214</v>
      </c>
      <c r="BK105" s="2" t="s">
        <v>381</v>
      </c>
      <c r="BL105" s="1" t="s">
        <v>221</v>
      </c>
      <c r="BM105" s="1">
        <v>5.5</v>
      </c>
      <c r="BN105" s="1">
        <v>6</v>
      </c>
      <c r="BO105" s="1">
        <v>2</v>
      </c>
      <c r="BP105" s="1">
        <v>3.5</v>
      </c>
      <c r="BQ105" s="1">
        <v>0.5</v>
      </c>
      <c r="BR105" s="2" t="s">
        <v>223</v>
      </c>
      <c r="BS105" s="2">
        <v>2</v>
      </c>
      <c r="BT105" s="2">
        <v>5</v>
      </c>
      <c r="BU105" s="2">
        <v>1.5</v>
      </c>
      <c r="BV105" s="2">
        <v>3</v>
      </c>
      <c r="BW105" s="2">
        <v>0.5</v>
      </c>
      <c r="BX105" s="3" t="s">
        <v>382</v>
      </c>
      <c r="BY105" s="1" t="s">
        <v>230</v>
      </c>
    </row>
    <row r="106" spans="1:77" x14ac:dyDescent="0.25">
      <c r="A106">
        <v>27</v>
      </c>
      <c r="B106" t="s">
        <v>16</v>
      </c>
      <c r="C106">
        <v>16671</v>
      </c>
      <c r="D106" t="s">
        <v>151</v>
      </c>
      <c r="E106" s="1" t="s">
        <v>13</v>
      </c>
      <c r="G106" s="1">
        <v>10.5</v>
      </c>
      <c r="H106" s="2">
        <v>15.5</v>
      </c>
      <c r="I106" s="2">
        <f t="shared" si="32"/>
        <v>3.5</v>
      </c>
      <c r="J106" s="3">
        <f t="shared" si="33"/>
        <v>4.5</v>
      </c>
      <c r="K106" s="1">
        <v>20</v>
      </c>
      <c r="N106" s="1">
        <v>28</v>
      </c>
      <c r="O106" s="3">
        <v>22.5</v>
      </c>
      <c r="P106" s="2">
        <f t="shared" si="34"/>
        <v>6.5</v>
      </c>
      <c r="Q106" s="3">
        <f t="shared" si="35"/>
        <v>9.5</v>
      </c>
      <c r="R106" s="1">
        <v>54.5</v>
      </c>
      <c r="U106" s="1">
        <v>15</v>
      </c>
      <c r="V106" s="3">
        <v>14</v>
      </c>
      <c r="W106" s="2">
        <f t="shared" si="36"/>
        <v>4</v>
      </c>
      <c r="X106" s="3">
        <f t="shared" si="37"/>
        <v>3</v>
      </c>
      <c r="Y106" s="1">
        <v>35.5</v>
      </c>
      <c r="AB106" s="1">
        <v>7.5</v>
      </c>
      <c r="AC106" s="3">
        <v>14.5</v>
      </c>
      <c r="AD106" s="2">
        <f t="shared" si="38"/>
        <v>3</v>
      </c>
      <c r="AE106" s="3">
        <f t="shared" si="39"/>
        <v>7</v>
      </c>
      <c r="AF106" s="1">
        <v>35.5</v>
      </c>
      <c r="AI106" s="1">
        <v>14</v>
      </c>
      <c r="AJ106" s="3">
        <v>15.5</v>
      </c>
      <c r="AK106" s="2">
        <f t="shared" si="40"/>
        <v>4</v>
      </c>
      <c r="AL106" s="3">
        <f t="shared" si="41"/>
        <v>4.5</v>
      </c>
      <c r="AM106" s="1">
        <v>28</v>
      </c>
      <c r="AN106" s="1">
        <f t="shared" si="31"/>
        <v>36.5</v>
      </c>
      <c r="AP106" s="1">
        <v>13</v>
      </c>
      <c r="AQ106" s="2">
        <v>10</v>
      </c>
      <c r="AR106" s="1">
        <v>8</v>
      </c>
      <c r="AS106" s="2">
        <v>5.5</v>
      </c>
      <c r="AU106" s="2">
        <v>14</v>
      </c>
      <c r="AV106" s="1">
        <v>22.5</v>
      </c>
      <c r="AX106" s="2">
        <v>1</v>
      </c>
      <c r="AY106" s="2">
        <v>10</v>
      </c>
      <c r="AZ106" s="2">
        <v>7</v>
      </c>
      <c r="BA106" s="2" t="s">
        <v>20</v>
      </c>
      <c r="BC106" t="s">
        <v>234</v>
      </c>
      <c r="BD106" t="s">
        <v>235</v>
      </c>
      <c r="BE106" t="s">
        <v>236</v>
      </c>
      <c r="BG106" t="s">
        <v>303</v>
      </c>
      <c r="BH106" t="s">
        <v>321</v>
      </c>
      <c r="BJ106" s="2" t="s">
        <v>214</v>
      </c>
      <c r="BK106" s="2" t="s">
        <v>381</v>
      </c>
      <c r="BL106" s="1" t="s">
        <v>221</v>
      </c>
      <c r="BM106" s="1">
        <v>4.5</v>
      </c>
      <c r="BN106" s="1">
        <v>9</v>
      </c>
      <c r="BO106" s="1">
        <v>1</v>
      </c>
      <c r="BP106" s="1">
        <v>7.5</v>
      </c>
      <c r="BQ106" s="1">
        <v>3.5</v>
      </c>
      <c r="BR106" s="2" t="s">
        <v>223</v>
      </c>
      <c r="BS106" s="2">
        <v>4.5</v>
      </c>
      <c r="BT106" s="2">
        <v>10</v>
      </c>
      <c r="BU106" s="2">
        <v>5</v>
      </c>
      <c r="BV106" s="2">
        <v>6</v>
      </c>
      <c r="BW106" s="2">
        <v>5</v>
      </c>
      <c r="BX106" s="3" t="s">
        <v>382</v>
      </c>
      <c r="BY106" s="1" t="s">
        <v>230</v>
      </c>
    </row>
    <row r="107" spans="1:77" x14ac:dyDescent="0.25">
      <c r="A107">
        <v>28</v>
      </c>
      <c r="B107" t="s">
        <v>16</v>
      </c>
      <c r="C107">
        <v>16534</v>
      </c>
      <c r="D107" t="s">
        <v>156</v>
      </c>
      <c r="E107" s="1" t="s">
        <v>13</v>
      </c>
      <c r="G107" s="1">
        <v>5</v>
      </c>
      <c r="H107" s="2">
        <v>3</v>
      </c>
      <c r="I107" s="2">
        <f t="shared" si="32"/>
        <v>1</v>
      </c>
      <c r="J107" s="3">
        <f t="shared" si="33"/>
        <v>2.5</v>
      </c>
      <c r="K107" s="1">
        <v>9</v>
      </c>
      <c r="N107" s="1">
        <v>5</v>
      </c>
      <c r="O107" s="3">
        <v>14</v>
      </c>
      <c r="P107" s="2">
        <f t="shared" si="34"/>
        <v>2.5</v>
      </c>
      <c r="Q107" s="3">
        <f t="shared" si="35"/>
        <v>4.5</v>
      </c>
      <c r="R107" s="1">
        <v>22</v>
      </c>
      <c r="U107" s="1">
        <v>5</v>
      </c>
      <c r="V107" s="3">
        <v>2.5</v>
      </c>
      <c r="W107" s="2">
        <f t="shared" si="36"/>
        <v>1</v>
      </c>
      <c r="X107" s="3">
        <f t="shared" si="37"/>
        <v>1</v>
      </c>
      <c r="Y107" s="1">
        <v>7</v>
      </c>
      <c r="AB107" s="1">
        <v>2.5</v>
      </c>
      <c r="AC107" s="3">
        <v>2</v>
      </c>
      <c r="AD107" s="2">
        <f t="shared" si="38"/>
        <v>1</v>
      </c>
      <c r="AE107" s="3">
        <f t="shared" si="39"/>
        <v>3.5</v>
      </c>
      <c r="AF107" s="1">
        <v>7</v>
      </c>
      <c r="AI107" s="1" t="s">
        <v>21</v>
      </c>
      <c r="AJ107" s="3">
        <v>15</v>
      </c>
      <c r="AK107" s="2">
        <f t="shared" si="40"/>
        <v>2</v>
      </c>
      <c r="AL107" s="3">
        <f t="shared" si="41"/>
        <v>2.5</v>
      </c>
      <c r="AM107" s="1">
        <v>11.5</v>
      </c>
      <c r="AN107" s="1">
        <f t="shared" si="31"/>
        <v>16</v>
      </c>
      <c r="AP107" s="1">
        <v>9</v>
      </c>
      <c r="AQ107" s="2">
        <v>6.5</v>
      </c>
      <c r="AR107" s="1">
        <v>10.5</v>
      </c>
      <c r="AS107" s="2">
        <v>4.5</v>
      </c>
      <c r="AU107" s="2">
        <v>11</v>
      </c>
      <c r="AV107" s="1">
        <v>17</v>
      </c>
      <c r="AX107" s="2">
        <v>1</v>
      </c>
      <c r="AY107" s="2">
        <v>10</v>
      </c>
      <c r="AZ107" s="2">
        <v>7</v>
      </c>
      <c r="BA107" s="2">
        <v>2</v>
      </c>
      <c r="BC107" t="s">
        <v>234</v>
      </c>
      <c r="BD107" t="s">
        <v>235</v>
      </c>
      <c r="BE107" t="s">
        <v>236</v>
      </c>
      <c r="BG107" t="s">
        <v>303</v>
      </c>
      <c r="BH107" t="s">
        <v>242</v>
      </c>
      <c r="BJ107" s="2" t="s">
        <v>214</v>
      </c>
      <c r="BK107" s="2" t="s">
        <v>381</v>
      </c>
      <c r="BL107" s="1" t="s">
        <v>221</v>
      </c>
      <c r="BM107" s="1">
        <v>2</v>
      </c>
      <c r="BN107" s="1">
        <v>4.5</v>
      </c>
      <c r="BO107" s="1">
        <v>1</v>
      </c>
      <c r="BP107" s="1">
        <v>3</v>
      </c>
      <c r="BQ107" s="1">
        <v>2</v>
      </c>
      <c r="BR107" s="2" t="s">
        <v>223</v>
      </c>
      <c r="BS107" s="2">
        <v>2.5</v>
      </c>
      <c r="BT107" s="2">
        <v>4</v>
      </c>
      <c r="BU107" s="2">
        <v>1</v>
      </c>
      <c r="BV107" s="2">
        <v>4</v>
      </c>
      <c r="BW107" s="2">
        <v>2.5</v>
      </c>
      <c r="BX107" s="3" t="s">
        <v>382</v>
      </c>
      <c r="BY107" s="1" t="s">
        <v>230</v>
      </c>
    </row>
    <row r="108" spans="1:77" x14ac:dyDescent="0.25">
      <c r="A108">
        <v>29</v>
      </c>
      <c r="B108" t="s">
        <v>16</v>
      </c>
      <c r="C108">
        <v>18348</v>
      </c>
      <c r="D108" t="s">
        <v>161</v>
      </c>
      <c r="E108" s="1" t="s">
        <v>13</v>
      </c>
      <c r="G108" s="1">
        <v>16</v>
      </c>
      <c r="H108" s="2">
        <v>10.5</v>
      </c>
      <c r="I108" s="2">
        <f t="shared" si="32"/>
        <v>3.5</v>
      </c>
      <c r="J108" s="3">
        <f t="shared" si="33"/>
        <v>3.5</v>
      </c>
      <c r="K108" s="1">
        <v>23</v>
      </c>
      <c r="N108" s="1">
        <v>29</v>
      </c>
      <c r="O108" s="3">
        <v>31</v>
      </c>
      <c r="P108" s="2">
        <f t="shared" si="34"/>
        <v>7.5</v>
      </c>
      <c r="Q108" s="3">
        <f t="shared" si="35"/>
        <v>10</v>
      </c>
      <c r="R108" s="1">
        <v>57.5</v>
      </c>
      <c r="U108" s="1">
        <v>19</v>
      </c>
      <c r="V108" s="3">
        <v>17.5</v>
      </c>
      <c r="W108" s="2">
        <f t="shared" si="36"/>
        <v>5</v>
      </c>
      <c r="X108" s="3">
        <f t="shared" si="37"/>
        <v>7</v>
      </c>
      <c r="Y108" s="1">
        <v>32.5</v>
      </c>
      <c r="AB108" s="1">
        <v>21</v>
      </c>
      <c r="AC108" s="3">
        <v>22</v>
      </c>
      <c r="AD108" s="2">
        <f t="shared" si="38"/>
        <v>5.5</v>
      </c>
      <c r="AE108" s="3">
        <f t="shared" si="39"/>
        <v>7</v>
      </c>
      <c r="AF108" s="1">
        <v>39.5</v>
      </c>
      <c r="AI108" s="1">
        <v>25.5</v>
      </c>
      <c r="AJ108" s="3">
        <v>21</v>
      </c>
      <c r="AK108" s="2">
        <f t="shared" si="40"/>
        <v>6</v>
      </c>
      <c r="AL108" s="3">
        <f t="shared" si="41"/>
        <v>3.5</v>
      </c>
      <c r="AM108" s="1">
        <v>29</v>
      </c>
      <c r="AN108" s="1">
        <f t="shared" si="31"/>
        <v>38.5</v>
      </c>
      <c r="AP108" s="1">
        <v>19.5</v>
      </c>
      <c r="AQ108" s="2">
        <v>23.5</v>
      </c>
      <c r="AR108" s="1">
        <v>21</v>
      </c>
      <c r="AS108" s="2">
        <v>8</v>
      </c>
      <c r="AU108" s="2">
        <v>13.5</v>
      </c>
      <c r="AV108" s="1">
        <v>26.5</v>
      </c>
      <c r="AX108" s="2">
        <v>7</v>
      </c>
      <c r="AY108" s="2">
        <v>10</v>
      </c>
      <c r="AZ108" s="2">
        <v>7</v>
      </c>
      <c r="BA108" s="2">
        <v>7.5</v>
      </c>
      <c r="BC108" t="s">
        <v>234</v>
      </c>
      <c r="BD108" t="s">
        <v>235</v>
      </c>
      <c r="BE108" t="s">
        <v>236</v>
      </c>
      <c r="BG108" t="s">
        <v>303</v>
      </c>
      <c r="BH108" t="s">
        <v>241</v>
      </c>
      <c r="BJ108" s="2" t="s">
        <v>214</v>
      </c>
      <c r="BK108" s="2" t="s">
        <v>381</v>
      </c>
      <c r="BL108" s="1" t="s">
        <v>221</v>
      </c>
      <c r="BM108" s="1">
        <v>2</v>
      </c>
      <c r="BN108" s="1">
        <v>9.5</v>
      </c>
      <c r="BO108" s="1">
        <v>5</v>
      </c>
      <c r="BP108" s="1">
        <v>8.5</v>
      </c>
      <c r="BQ108" s="1">
        <v>3.5</v>
      </c>
      <c r="BR108" s="2" t="s">
        <v>223</v>
      </c>
      <c r="BS108" s="2">
        <v>5</v>
      </c>
      <c r="BT108" s="2">
        <v>10</v>
      </c>
      <c r="BU108" s="2">
        <v>8.5</v>
      </c>
      <c r="BV108" s="2">
        <v>5.5</v>
      </c>
      <c r="BW108" s="2">
        <v>3.5</v>
      </c>
      <c r="BX108" s="3" t="s">
        <v>382</v>
      </c>
      <c r="BY108" s="1" t="s">
        <v>230</v>
      </c>
    </row>
    <row r="109" spans="1:77" x14ac:dyDescent="0.25">
      <c r="A109">
        <v>30</v>
      </c>
      <c r="B109" t="s">
        <v>16</v>
      </c>
      <c r="C109">
        <v>16501</v>
      </c>
      <c r="D109" t="s">
        <v>166</v>
      </c>
      <c r="E109" s="1" t="s">
        <v>13</v>
      </c>
      <c r="G109" s="1">
        <v>32</v>
      </c>
      <c r="H109" s="2">
        <v>25.5</v>
      </c>
      <c r="I109" s="2">
        <f t="shared" si="32"/>
        <v>7.5</v>
      </c>
      <c r="J109" s="3">
        <f t="shared" si="33"/>
        <v>7</v>
      </c>
      <c r="K109" s="1">
        <v>37.5</v>
      </c>
      <c r="N109" s="1">
        <v>37.5</v>
      </c>
      <c r="O109" s="3">
        <v>36.5</v>
      </c>
      <c r="P109" s="2">
        <f t="shared" si="34"/>
        <v>9.5</v>
      </c>
      <c r="Q109" s="3">
        <f t="shared" si="35"/>
        <v>10</v>
      </c>
      <c r="R109" s="1">
        <v>71</v>
      </c>
      <c r="U109" s="1">
        <v>32</v>
      </c>
      <c r="V109" s="3">
        <v>24.5</v>
      </c>
      <c r="W109" s="2">
        <f t="shared" si="36"/>
        <v>7.5</v>
      </c>
      <c r="X109" s="3">
        <f t="shared" si="37"/>
        <v>6</v>
      </c>
      <c r="Y109" s="1">
        <v>55</v>
      </c>
      <c r="AB109" s="1">
        <v>29</v>
      </c>
      <c r="AC109" s="3">
        <v>28.5</v>
      </c>
      <c r="AD109" s="2">
        <f t="shared" si="38"/>
        <v>7.5</v>
      </c>
      <c r="AE109" s="3">
        <f t="shared" si="39"/>
        <v>8.5</v>
      </c>
      <c r="AF109" s="1">
        <v>56.5</v>
      </c>
      <c r="AI109" s="1">
        <v>32.5</v>
      </c>
      <c r="AJ109" s="3">
        <v>23</v>
      </c>
      <c r="AK109" s="2">
        <f t="shared" si="40"/>
        <v>7</v>
      </c>
      <c r="AL109" s="3">
        <f t="shared" si="41"/>
        <v>8.5</v>
      </c>
      <c r="AM109" s="1">
        <v>52</v>
      </c>
      <c r="AN109" s="1">
        <f t="shared" si="31"/>
        <v>67.5</v>
      </c>
      <c r="AP109" s="1">
        <v>19</v>
      </c>
      <c r="AQ109" s="2">
        <v>21.5</v>
      </c>
      <c r="AR109" s="1">
        <v>22.5</v>
      </c>
      <c r="AS109" s="2">
        <v>8</v>
      </c>
      <c r="AU109" s="2">
        <v>20</v>
      </c>
      <c r="AV109" s="1">
        <v>34.5</v>
      </c>
      <c r="AX109" s="2">
        <v>8</v>
      </c>
      <c r="AY109" s="2">
        <v>10</v>
      </c>
      <c r="AZ109" s="2">
        <v>7</v>
      </c>
      <c r="BA109" s="2">
        <v>10</v>
      </c>
      <c r="BC109" t="s">
        <v>234</v>
      </c>
      <c r="BD109" t="s">
        <v>235</v>
      </c>
      <c r="BE109" t="s">
        <v>236</v>
      </c>
      <c r="BF109" t="s">
        <v>308</v>
      </c>
      <c r="BG109" t="s">
        <v>322</v>
      </c>
      <c r="BH109" t="s">
        <v>241</v>
      </c>
      <c r="BJ109" s="2" t="s">
        <v>214</v>
      </c>
      <c r="BK109" s="2" t="s">
        <v>381</v>
      </c>
      <c r="BL109" s="1" t="s">
        <v>221</v>
      </c>
      <c r="BM109" s="1">
        <v>5.5</v>
      </c>
      <c r="BN109" s="1">
        <v>10</v>
      </c>
      <c r="BO109" s="1">
        <v>5</v>
      </c>
      <c r="BP109" s="1">
        <v>9.5</v>
      </c>
      <c r="BQ109" s="1">
        <v>8</v>
      </c>
      <c r="BR109" s="2" t="s">
        <v>223</v>
      </c>
      <c r="BS109" s="2">
        <v>8</v>
      </c>
      <c r="BT109" s="2">
        <v>10</v>
      </c>
      <c r="BU109" s="2">
        <v>6.5</v>
      </c>
      <c r="BV109" s="2">
        <v>7</v>
      </c>
      <c r="BW109" s="2">
        <v>8.5</v>
      </c>
      <c r="BX109" s="3" t="s">
        <v>382</v>
      </c>
      <c r="BY109" s="1" t="s">
        <v>230</v>
      </c>
    </row>
    <row r="110" spans="1:77" x14ac:dyDescent="0.25">
      <c r="A110">
        <v>31</v>
      </c>
      <c r="B110" t="s">
        <v>16</v>
      </c>
      <c r="C110">
        <v>16499</v>
      </c>
      <c r="D110" t="s">
        <v>171</v>
      </c>
      <c r="E110" s="1" t="s">
        <v>13</v>
      </c>
      <c r="G110" s="1">
        <v>30.5</v>
      </c>
      <c r="H110" s="2">
        <v>32.5</v>
      </c>
      <c r="I110" s="2">
        <f t="shared" si="32"/>
        <v>8</v>
      </c>
      <c r="J110" s="3">
        <f t="shared" si="33"/>
        <v>7</v>
      </c>
      <c r="K110" s="1">
        <v>44.5</v>
      </c>
      <c r="N110" s="1">
        <v>38</v>
      </c>
      <c r="O110" s="3">
        <v>37.5</v>
      </c>
      <c r="P110" s="2">
        <f t="shared" si="34"/>
        <v>9.5</v>
      </c>
      <c r="Q110" s="3">
        <f t="shared" si="35"/>
        <v>10</v>
      </c>
      <c r="R110" s="1">
        <v>71.5</v>
      </c>
      <c r="U110" s="1">
        <v>34</v>
      </c>
      <c r="V110" s="3">
        <v>27</v>
      </c>
      <c r="W110" s="2">
        <f t="shared" si="36"/>
        <v>8</v>
      </c>
      <c r="X110" s="3">
        <f t="shared" si="37"/>
        <v>8.5</v>
      </c>
      <c r="Y110" s="1">
        <v>73</v>
      </c>
      <c r="AB110" s="1">
        <v>24.5</v>
      </c>
      <c r="AC110" s="3">
        <v>29</v>
      </c>
      <c r="AD110" s="2">
        <f t="shared" si="38"/>
        <v>7</v>
      </c>
      <c r="AE110" s="3">
        <f t="shared" si="39"/>
        <v>8.5</v>
      </c>
      <c r="AF110" s="1">
        <v>66</v>
      </c>
      <c r="AI110" s="1">
        <v>28</v>
      </c>
      <c r="AJ110" s="3">
        <v>27</v>
      </c>
      <c r="AK110" s="2">
        <f t="shared" si="40"/>
        <v>7</v>
      </c>
      <c r="AL110" s="3">
        <f t="shared" si="41"/>
        <v>6.5</v>
      </c>
      <c r="AM110" s="1">
        <v>56</v>
      </c>
      <c r="AN110" s="1">
        <f t="shared" si="31"/>
        <v>69.5</v>
      </c>
      <c r="AP110" s="1">
        <v>18.5</v>
      </c>
      <c r="AQ110" s="2">
        <v>19</v>
      </c>
      <c r="AR110" s="1">
        <v>19</v>
      </c>
      <c r="AS110" s="2">
        <v>5</v>
      </c>
      <c r="AU110" s="2">
        <v>21.5</v>
      </c>
      <c r="AV110" s="1">
        <v>30.5</v>
      </c>
      <c r="AX110" s="2">
        <v>7.5</v>
      </c>
      <c r="AY110" s="2">
        <v>10</v>
      </c>
      <c r="AZ110" s="2">
        <v>7</v>
      </c>
      <c r="BA110" s="2">
        <v>9</v>
      </c>
      <c r="BC110" t="s">
        <v>234</v>
      </c>
      <c r="BD110" t="s">
        <v>235</v>
      </c>
      <c r="BE110" t="s">
        <v>236</v>
      </c>
      <c r="BF110" t="s">
        <v>324</v>
      </c>
      <c r="BG110" t="s">
        <v>325</v>
      </c>
      <c r="BH110" t="s">
        <v>323</v>
      </c>
      <c r="BJ110" s="2" t="s">
        <v>214</v>
      </c>
      <c r="BK110" s="2" t="s">
        <v>381</v>
      </c>
      <c r="BL110" s="1" t="s">
        <v>221</v>
      </c>
      <c r="BM110" s="1">
        <v>6.5</v>
      </c>
      <c r="BN110" s="1">
        <v>10</v>
      </c>
      <c r="BO110" s="1">
        <v>9</v>
      </c>
      <c r="BP110" s="1">
        <v>10</v>
      </c>
      <c r="BQ110" s="1">
        <v>5.5</v>
      </c>
      <c r="BR110" s="2" t="s">
        <v>223</v>
      </c>
      <c r="BS110" s="2">
        <v>7.5</v>
      </c>
      <c r="BT110" s="2">
        <v>10</v>
      </c>
      <c r="BU110" s="2">
        <v>7.5</v>
      </c>
      <c r="BV110" s="2">
        <v>7</v>
      </c>
      <c r="BW110" s="2">
        <v>7.5</v>
      </c>
      <c r="BX110" s="3" t="s">
        <v>382</v>
      </c>
      <c r="BY110" s="1" t="s">
        <v>230</v>
      </c>
    </row>
    <row r="111" spans="1:77" x14ac:dyDescent="0.25">
      <c r="A111">
        <v>32</v>
      </c>
      <c r="B111" t="s">
        <v>16</v>
      </c>
      <c r="C111">
        <v>16547</v>
      </c>
      <c r="D111" t="s">
        <v>176</v>
      </c>
      <c r="E111" s="1" t="s">
        <v>13</v>
      </c>
      <c r="G111" s="1">
        <v>32</v>
      </c>
      <c r="H111" s="2">
        <v>20.5</v>
      </c>
      <c r="I111" s="2">
        <f t="shared" si="32"/>
        <v>7</v>
      </c>
      <c r="J111" s="3">
        <f t="shared" si="33"/>
        <v>6</v>
      </c>
      <c r="K111" s="1">
        <v>35.5</v>
      </c>
      <c r="N111" s="1">
        <v>30.5</v>
      </c>
      <c r="O111" s="3">
        <v>32.5</v>
      </c>
      <c r="P111" s="2">
        <f t="shared" si="34"/>
        <v>8</v>
      </c>
      <c r="Q111" s="3">
        <f t="shared" si="35"/>
        <v>10</v>
      </c>
      <c r="R111" s="1">
        <v>58.5</v>
      </c>
      <c r="U111" s="1">
        <v>33</v>
      </c>
      <c r="V111" s="3">
        <v>18</v>
      </c>
      <c r="W111" s="2">
        <f t="shared" si="36"/>
        <v>6.5</v>
      </c>
      <c r="X111" s="3">
        <f t="shared" si="37"/>
        <v>4.5</v>
      </c>
      <c r="Y111" s="1">
        <v>27.5</v>
      </c>
      <c r="AB111" s="1">
        <v>21.5</v>
      </c>
      <c r="AC111" s="3">
        <v>24.5</v>
      </c>
      <c r="AD111" s="2">
        <f t="shared" si="38"/>
        <v>6</v>
      </c>
      <c r="AE111" s="3">
        <f t="shared" si="39"/>
        <v>7.5</v>
      </c>
      <c r="AF111" s="1">
        <v>49</v>
      </c>
      <c r="AI111" s="1">
        <v>29</v>
      </c>
      <c r="AJ111" s="3">
        <v>16.5</v>
      </c>
      <c r="AK111" s="2">
        <f t="shared" si="40"/>
        <v>6</v>
      </c>
      <c r="AL111" s="3">
        <f t="shared" si="41"/>
        <v>3.5</v>
      </c>
      <c r="AM111" s="1">
        <v>34</v>
      </c>
      <c r="AN111" s="1">
        <f t="shared" si="31"/>
        <v>43.5</v>
      </c>
      <c r="AP111" s="1">
        <v>18</v>
      </c>
      <c r="AQ111" s="2">
        <v>16</v>
      </c>
      <c r="AR111" s="1">
        <v>20.5</v>
      </c>
      <c r="AS111" s="2">
        <v>3</v>
      </c>
      <c r="AU111" s="2">
        <v>19.5</v>
      </c>
      <c r="AV111" s="1">
        <v>24</v>
      </c>
      <c r="AX111" s="2">
        <v>8.5</v>
      </c>
      <c r="AY111" s="2">
        <v>10</v>
      </c>
      <c r="AZ111" s="2">
        <v>7</v>
      </c>
      <c r="BA111" s="2">
        <v>9</v>
      </c>
      <c r="BC111" t="s">
        <v>234</v>
      </c>
      <c r="BD111" t="s">
        <v>235</v>
      </c>
      <c r="BE111" t="s">
        <v>236</v>
      </c>
      <c r="BF111" t="s">
        <v>314</v>
      </c>
      <c r="BG111" t="s">
        <v>326</v>
      </c>
      <c r="BH111" t="s">
        <v>237</v>
      </c>
      <c r="BJ111" s="2" t="s">
        <v>214</v>
      </c>
      <c r="BK111" s="2" t="s">
        <v>381</v>
      </c>
      <c r="BL111" s="1" t="s">
        <v>221</v>
      </c>
      <c r="BM111" s="1">
        <v>5</v>
      </c>
      <c r="BN111" s="1">
        <v>9.5</v>
      </c>
      <c r="BO111" s="1">
        <v>4</v>
      </c>
      <c r="BP111" s="1">
        <v>9.5</v>
      </c>
      <c r="BQ111" s="1">
        <v>7</v>
      </c>
      <c r="BR111" s="2" t="s">
        <v>223</v>
      </c>
      <c r="BS111" s="2">
        <v>6.5</v>
      </c>
      <c r="BT111" s="2">
        <v>10</v>
      </c>
      <c r="BU111" s="2">
        <v>5</v>
      </c>
      <c r="BV111" s="2">
        <v>5.5</v>
      </c>
      <c r="BW111" s="2" t="s">
        <v>21</v>
      </c>
      <c r="BX111" s="3" t="s">
        <v>382</v>
      </c>
      <c r="BY111" s="1" t="s">
        <v>230</v>
      </c>
    </row>
    <row r="112" spans="1:77" x14ac:dyDescent="0.25">
      <c r="A112">
        <v>33</v>
      </c>
      <c r="B112" t="s">
        <v>16</v>
      </c>
      <c r="C112">
        <v>18347</v>
      </c>
      <c r="D112" t="s">
        <v>181</v>
      </c>
      <c r="E112" s="1" t="s">
        <v>13</v>
      </c>
      <c r="G112" s="1">
        <v>25</v>
      </c>
      <c r="H112" s="2">
        <v>24.5</v>
      </c>
      <c r="I112" s="2">
        <f t="shared" si="32"/>
        <v>6.5</v>
      </c>
      <c r="J112" s="3">
        <f t="shared" si="33"/>
        <v>4.5</v>
      </c>
      <c r="K112" s="1">
        <v>51</v>
      </c>
      <c r="N112" s="1">
        <v>32.5</v>
      </c>
      <c r="O112" s="3">
        <v>31</v>
      </c>
      <c r="P112" s="2">
        <f t="shared" si="34"/>
        <v>8</v>
      </c>
      <c r="Q112" s="3">
        <f t="shared" si="35"/>
        <v>9</v>
      </c>
      <c r="R112" s="1">
        <v>59.5</v>
      </c>
      <c r="U112" s="1">
        <v>36</v>
      </c>
      <c r="V112" s="3">
        <v>36.5</v>
      </c>
      <c r="W112" s="2">
        <f t="shared" si="36"/>
        <v>9.5</v>
      </c>
      <c r="X112" s="3">
        <f t="shared" si="37"/>
        <v>7.5</v>
      </c>
      <c r="Y112" s="1">
        <v>71.5</v>
      </c>
      <c r="AB112" s="1">
        <v>26.5</v>
      </c>
      <c r="AC112" s="3">
        <v>29.5</v>
      </c>
      <c r="AD112" s="2">
        <f t="shared" si="38"/>
        <v>7</v>
      </c>
      <c r="AE112" s="3">
        <f t="shared" si="39"/>
        <v>9.5</v>
      </c>
      <c r="AF112" s="1">
        <v>59</v>
      </c>
      <c r="AI112" s="1">
        <v>27.5</v>
      </c>
      <c r="AJ112" s="3">
        <v>21</v>
      </c>
      <c r="AK112" s="2">
        <f t="shared" si="40"/>
        <v>6.5</v>
      </c>
      <c r="AL112" s="3">
        <f t="shared" si="41"/>
        <v>7.5</v>
      </c>
      <c r="AM112" s="1">
        <v>56.5</v>
      </c>
      <c r="AN112" s="1">
        <f t="shared" si="31"/>
        <v>70.5</v>
      </c>
      <c r="AP112" s="1">
        <v>13.5</v>
      </c>
      <c r="AQ112" s="2">
        <v>12.5</v>
      </c>
      <c r="AR112" s="1">
        <v>17</v>
      </c>
      <c r="AS112" s="2">
        <v>5</v>
      </c>
      <c r="AU112" s="2">
        <v>16.5</v>
      </c>
      <c r="AV112" s="1">
        <v>34</v>
      </c>
      <c r="AX112" s="2">
        <v>1</v>
      </c>
      <c r="AY112" s="2">
        <v>10</v>
      </c>
      <c r="AZ112" s="2">
        <v>7</v>
      </c>
      <c r="BA112" s="2">
        <v>8</v>
      </c>
      <c r="BC112" t="s">
        <v>234</v>
      </c>
      <c r="BD112" t="s">
        <v>235</v>
      </c>
      <c r="BE112" t="s">
        <v>236</v>
      </c>
      <c r="BF112" t="s">
        <v>327</v>
      </c>
      <c r="BG112" t="s">
        <v>303</v>
      </c>
      <c r="BH112" t="s">
        <v>239</v>
      </c>
      <c r="BJ112" s="2" t="s">
        <v>214</v>
      </c>
      <c r="BK112" s="2" t="s">
        <v>381</v>
      </c>
      <c r="BL112" s="1" t="s">
        <v>221</v>
      </c>
      <c r="BM112" s="1" t="s">
        <v>215</v>
      </c>
      <c r="BN112" s="1">
        <v>8</v>
      </c>
      <c r="BO112" s="1">
        <v>6</v>
      </c>
      <c r="BP112" s="1">
        <v>10</v>
      </c>
      <c r="BQ112" s="1">
        <v>8</v>
      </c>
      <c r="BR112" s="2" t="s">
        <v>223</v>
      </c>
      <c r="BS112" s="2">
        <v>8.5</v>
      </c>
      <c r="BT112" s="2">
        <v>10</v>
      </c>
      <c r="BU112" s="2">
        <v>9</v>
      </c>
      <c r="BV112" s="2">
        <v>8.5</v>
      </c>
      <c r="BW112" s="2">
        <v>6.5</v>
      </c>
      <c r="BX112" s="3" t="s">
        <v>382</v>
      </c>
      <c r="BY112" s="1" t="s">
        <v>230</v>
      </c>
    </row>
    <row r="113" spans="1:77" x14ac:dyDescent="0.25">
      <c r="A113">
        <v>34</v>
      </c>
      <c r="B113" t="s">
        <v>16</v>
      </c>
      <c r="C113">
        <v>16580</v>
      </c>
      <c r="D113" t="s">
        <v>186</v>
      </c>
      <c r="E113" s="1" t="s">
        <v>13</v>
      </c>
      <c r="G113" s="1">
        <v>16</v>
      </c>
      <c r="H113" s="2">
        <v>14.5</v>
      </c>
      <c r="I113" s="2">
        <f t="shared" si="32"/>
        <v>4</v>
      </c>
      <c r="J113" s="3">
        <f t="shared" si="33"/>
        <v>5</v>
      </c>
      <c r="K113" s="1">
        <v>26.5</v>
      </c>
      <c r="N113" s="1">
        <v>14.5</v>
      </c>
      <c r="O113" s="3">
        <v>20</v>
      </c>
      <c r="P113" s="2">
        <f t="shared" si="34"/>
        <v>4.5</v>
      </c>
      <c r="Q113" s="3">
        <f t="shared" si="35"/>
        <v>8</v>
      </c>
      <c r="R113" s="1">
        <v>38.5</v>
      </c>
      <c r="U113" s="1">
        <v>15</v>
      </c>
      <c r="V113" s="3">
        <v>12</v>
      </c>
      <c r="W113" s="2">
        <f t="shared" si="36"/>
        <v>3.5</v>
      </c>
      <c r="X113" s="3">
        <f t="shared" si="37"/>
        <v>2.5</v>
      </c>
      <c r="Y113" s="1">
        <v>22.5</v>
      </c>
      <c r="AB113" s="1">
        <v>34</v>
      </c>
      <c r="AC113" s="3">
        <v>7.5</v>
      </c>
      <c r="AD113" s="2">
        <f t="shared" si="38"/>
        <v>5.5</v>
      </c>
      <c r="AE113" s="3">
        <f t="shared" si="39"/>
        <v>6</v>
      </c>
      <c r="AF113" s="1">
        <v>25.5</v>
      </c>
      <c r="AI113" s="1">
        <v>5</v>
      </c>
      <c r="AJ113" s="3">
        <v>5.5</v>
      </c>
      <c r="AK113" s="2">
        <f t="shared" si="40"/>
        <v>1.5</v>
      </c>
      <c r="AL113" s="3">
        <f t="shared" si="41"/>
        <v>4.5</v>
      </c>
      <c r="AM113" s="1">
        <v>15.5</v>
      </c>
      <c r="AN113" s="1">
        <f t="shared" si="31"/>
        <v>21.5</v>
      </c>
      <c r="AP113" s="1">
        <v>5</v>
      </c>
      <c r="AQ113" s="2">
        <v>9.5</v>
      </c>
      <c r="AR113" s="1">
        <v>6</v>
      </c>
      <c r="AS113" s="2">
        <v>3</v>
      </c>
      <c r="AU113" s="2">
        <v>9</v>
      </c>
      <c r="AV113" s="1">
        <v>22</v>
      </c>
      <c r="AX113" s="2">
        <v>8</v>
      </c>
      <c r="AY113" s="2">
        <v>10</v>
      </c>
      <c r="AZ113" s="2">
        <v>7</v>
      </c>
      <c r="BA113" s="2">
        <v>4</v>
      </c>
      <c r="BC113" t="s">
        <v>234</v>
      </c>
      <c r="BD113" t="s">
        <v>235</v>
      </c>
      <c r="BE113" t="s">
        <v>236</v>
      </c>
      <c r="BG113" t="s">
        <v>303</v>
      </c>
      <c r="BH113" t="s">
        <v>241</v>
      </c>
      <c r="BJ113" s="2" t="s">
        <v>214</v>
      </c>
      <c r="BK113" s="2" t="s">
        <v>381</v>
      </c>
      <c r="BL113" s="1" t="s">
        <v>221</v>
      </c>
      <c r="BM113" s="1">
        <v>4</v>
      </c>
      <c r="BN113" s="1">
        <v>7</v>
      </c>
      <c r="BO113" s="1">
        <v>2</v>
      </c>
      <c r="BP113" s="1">
        <v>7.5</v>
      </c>
      <c r="BQ113" s="1">
        <v>3.5</v>
      </c>
      <c r="BR113" s="2" t="s">
        <v>223</v>
      </c>
      <c r="BS113" s="2">
        <v>6</v>
      </c>
      <c r="BT113" s="2">
        <v>9</v>
      </c>
      <c r="BU113" s="2">
        <v>3</v>
      </c>
      <c r="BV113" s="2">
        <v>4.5</v>
      </c>
      <c r="BW113" s="2">
        <v>5</v>
      </c>
      <c r="BX113" s="3" t="s">
        <v>382</v>
      </c>
      <c r="BY113" s="1" t="s">
        <v>230</v>
      </c>
    </row>
    <row r="114" spans="1:77" x14ac:dyDescent="0.25">
      <c r="A114">
        <v>35</v>
      </c>
      <c r="B114" t="s">
        <v>16</v>
      </c>
      <c r="C114">
        <v>16516</v>
      </c>
      <c r="D114" t="s">
        <v>191</v>
      </c>
      <c r="E114" s="1" t="s">
        <v>13</v>
      </c>
      <c r="G114" s="1">
        <v>20.5</v>
      </c>
      <c r="H114" s="2">
        <v>16.5</v>
      </c>
      <c r="I114" s="2">
        <f t="shared" si="32"/>
        <v>5</v>
      </c>
      <c r="J114" s="3">
        <f t="shared" si="33"/>
        <v>6</v>
      </c>
      <c r="K114" s="1">
        <v>39</v>
      </c>
      <c r="N114" s="1">
        <v>17.5</v>
      </c>
      <c r="O114" s="3">
        <v>17</v>
      </c>
      <c r="P114" s="2">
        <f t="shared" si="34"/>
        <v>4.5</v>
      </c>
      <c r="Q114" s="3">
        <f t="shared" si="35"/>
        <v>9</v>
      </c>
      <c r="R114" s="1">
        <v>38</v>
      </c>
      <c r="U114" s="1">
        <v>28.5</v>
      </c>
      <c r="V114" s="3">
        <v>17.5</v>
      </c>
      <c r="W114" s="2">
        <f t="shared" si="36"/>
        <v>6</v>
      </c>
      <c r="X114" s="3">
        <f t="shared" si="37"/>
        <v>4.5</v>
      </c>
      <c r="Y114" s="1">
        <v>40.5</v>
      </c>
      <c r="AB114" s="1">
        <v>21.5</v>
      </c>
      <c r="AC114" s="3">
        <v>26</v>
      </c>
      <c r="AD114" s="2">
        <f t="shared" si="38"/>
        <v>6</v>
      </c>
      <c r="AE114" s="3">
        <f t="shared" si="39"/>
        <v>8.5</v>
      </c>
      <c r="AF114" s="1">
        <v>46</v>
      </c>
      <c r="AI114" s="1">
        <v>20</v>
      </c>
      <c r="AJ114" s="3">
        <v>17.5</v>
      </c>
      <c r="AK114" s="2">
        <f t="shared" si="40"/>
        <v>5</v>
      </c>
      <c r="AL114" s="3">
        <f t="shared" si="41"/>
        <v>5</v>
      </c>
      <c r="AM114" s="1">
        <v>26.5</v>
      </c>
      <c r="AN114" s="1">
        <f t="shared" si="31"/>
        <v>36.5</v>
      </c>
      <c r="AP114" s="1">
        <v>13.5</v>
      </c>
      <c r="AQ114" s="2">
        <v>11.5</v>
      </c>
      <c r="AR114" s="1">
        <v>15</v>
      </c>
      <c r="AS114" s="2">
        <v>5</v>
      </c>
      <c r="AU114" s="2">
        <v>14</v>
      </c>
      <c r="AV114" s="1">
        <v>28.5</v>
      </c>
      <c r="AX114" s="2">
        <v>7</v>
      </c>
      <c r="AY114" s="2">
        <v>10</v>
      </c>
      <c r="AZ114" s="2">
        <v>7</v>
      </c>
      <c r="BA114" s="2">
        <v>7</v>
      </c>
      <c r="BC114" t="s">
        <v>234</v>
      </c>
      <c r="BD114" t="s">
        <v>235</v>
      </c>
      <c r="BE114" t="s">
        <v>236</v>
      </c>
      <c r="BG114" t="s">
        <v>303</v>
      </c>
      <c r="BH114" t="s">
        <v>241</v>
      </c>
      <c r="BJ114" s="2" t="s">
        <v>214</v>
      </c>
      <c r="BK114" s="2" t="s">
        <v>381</v>
      </c>
      <c r="BL114" s="1" t="s">
        <v>221</v>
      </c>
      <c r="BM114" s="1">
        <v>5.5</v>
      </c>
      <c r="BN114" s="1">
        <v>8</v>
      </c>
      <c r="BO114" s="1">
        <v>4</v>
      </c>
      <c r="BP114" s="1">
        <v>8.5</v>
      </c>
      <c r="BQ114" s="1">
        <v>5</v>
      </c>
      <c r="BR114" s="2" t="s">
        <v>223</v>
      </c>
      <c r="BS114" s="2">
        <v>6</v>
      </c>
      <c r="BT114" s="2">
        <v>10</v>
      </c>
      <c r="BU114" s="2">
        <v>4.5</v>
      </c>
      <c r="BV114" s="2">
        <v>8</v>
      </c>
      <c r="BW114" s="2">
        <v>5</v>
      </c>
      <c r="BX114" s="3" t="s">
        <v>382</v>
      </c>
      <c r="BY114" s="1" t="s">
        <v>230</v>
      </c>
    </row>
    <row r="115" spans="1:77" x14ac:dyDescent="0.25">
      <c r="A115">
        <v>36</v>
      </c>
      <c r="B115" t="s">
        <v>16</v>
      </c>
      <c r="C115">
        <v>17963</v>
      </c>
      <c r="D115" t="s">
        <v>196</v>
      </c>
      <c r="E115" s="1" t="s">
        <v>13</v>
      </c>
      <c r="G115" s="1">
        <v>22.5</v>
      </c>
      <c r="H115" s="2">
        <v>16.5</v>
      </c>
      <c r="I115" s="2">
        <f t="shared" si="32"/>
        <v>5</v>
      </c>
      <c r="J115" s="3">
        <f t="shared" si="33"/>
        <v>3</v>
      </c>
      <c r="K115" s="1">
        <v>41.5</v>
      </c>
      <c r="N115" s="1">
        <v>33</v>
      </c>
      <c r="O115" s="3">
        <v>27</v>
      </c>
      <c r="P115" s="2">
        <f t="shared" si="34"/>
        <v>7.5</v>
      </c>
      <c r="Q115" s="3">
        <f t="shared" si="35"/>
        <v>8.5</v>
      </c>
      <c r="R115" s="1">
        <v>54</v>
      </c>
      <c r="U115" s="1">
        <v>20</v>
      </c>
      <c r="V115" s="3">
        <v>22.5</v>
      </c>
      <c r="W115" s="2">
        <f t="shared" si="36"/>
        <v>5.5</v>
      </c>
      <c r="X115" s="3">
        <f t="shared" si="37"/>
        <v>4.5</v>
      </c>
      <c r="Y115" s="1">
        <v>33</v>
      </c>
      <c r="AB115" s="1">
        <v>19</v>
      </c>
      <c r="AC115" s="3">
        <v>20</v>
      </c>
      <c r="AD115" s="2">
        <f t="shared" si="38"/>
        <v>5</v>
      </c>
      <c r="AE115" s="3">
        <f t="shared" si="39"/>
        <v>7.5</v>
      </c>
      <c r="AF115" s="1">
        <v>38</v>
      </c>
      <c r="AI115" s="1">
        <v>20.5</v>
      </c>
      <c r="AJ115" s="3">
        <v>14</v>
      </c>
      <c r="AK115" s="2">
        <f t="shared" si="40"/>
        <v>4.5</v>
      </c>
      <c r="AL115" s="3">
        <f t="shared" si="41"/>
        <v>7</v>
      </c>
      <c r="AM115" s="1">
        <v>20.5</v>
      </c>
      <c r="AN115" s="1">
        <f t="shared" si="31"/>
        <v>32</v>
      </c>
      <c r="AP115" s="1">
        <v>17.5</v>
      </c>
      <c r="AQ115" s="2">
        <v>16</v>
      </c>
      <c r="AR115" s="1">
        <v>14.5</v>
      </c>
      <c r="AS115" s="2">
        <v>5</v>
      </c>
      <c r="AU115" s="2">
        <v>15</v>
      </c>
      <c r="AV115" s="1">
        <v>27</v>
      </c>
      <c r="AX115" s="2">
        <v>8.5</v>
      </c>
      <c r="AY115" s="2">
        <v>10</v>
      </c>
      <c r="AZ115" s="2">
        <v>7</v>
      </c>
      <c r="BA115" s="2">
        <v>9.5</v>
      </c>
      <c r="BC115" t="s">
        <v>234</v>
      </c>
      <c r="BD115" t="s">
        <v>235</v>
      </c>
      <c r="BE115" t="s">
        <v>236</v>
      </c>
      <c r="BF115" t="s">
        <v>312</v>
      </c>
      <c r="BG115" t="s">
        <v>303</v>
      </c>
      <c r="BH115" t="s">
        <v>320</v>
      </c>
      <c r="BJ115" s="2" t="s">
        <v>214</v>
      </c>
      <c r="BK115" s="2" t="s">
        <v>381</v>
      </c>
      <c r="BL115" s="1" t="s">
        <v>221</v>
      </c>
      <c r="BM115" s="1">
        <v>5.5</v>
      </c>
      <c r="BN115" s="1">
        <v>9.5</v>
      </c>
      <c r="BO115" s="1">
        <v>5</v>
      </c>
      <c r="BP115" s="1">
        <v>8</v>
      </c>
      <c r="BQ115" s="1">
        <v>6.5</v>
      </c>
      <c r="BR115" s="2" t="s">
        <v>223</v>
      </c>
      <c r="BS115" s="2" t="s">
        <v>20</v>
      </c>
      <c r="BT115" s="2">
        <v>7</v>
      </c>
      <c r="BU115" s="2">
        <v>4</v>
      </c>
      <c r="BV115" s="2">
        <v>7</v>
      </c>
      <c r="BW115" s="2">
        <v>7</v>
      </c>
      <c r="BX115" s="3" t="s">
        <v>382</v>
      </c>
      <c r="BY115" s="1" t="s">
        <v>230</v>
      </c>
    </row>
    <row r="116" spans="1:77" x14ac:dyDescent="0.25">
      <c r="A116">
        <v>37</v>
      </c>
      <c r="B116" t="s">
        <v>16</v>
      </c>
      <c r="C116">
        <v>16492</v>
      </c>
      <c r="D116" t="s">
        <v>201</v>
      </c>
      <c r="E116" s="1" t="s">
        <v>13</v>
      </c>
      <c r="G116" s="1">
        <v>20</v>
      </c>
      <c r="H116" s="2">
        <v>24.5</v>
      </c>
      <c r="I116" s="2">
        <f t="shared" si="32"/>
        <v>6</v>
      </c>
      <c r="J116" s="3">
        <f t="shared" si="33"/>
        <v>6.5</v>
      </c>
      <c r="K116" s="1">
        <v>34.5</v>
      </c>
      <c r="N116" s="1">
        <v>33</v>
      </c>
      <c r="O116" s="3">
        <v>30.5</v>
      </c>
      <c r="P116" s="2">
        <f t="shared" si="34"/>
        <v>8</v>
      </c>
      <c r="Q116" s="3">
        <f t="shared" si="35"/>
        <v>10</v>
      </c>
      <c r="R116" s="1">
        <v>58</v>
      </c>
      <c r="U116" s="1">
        <v>24.5</v>
      </c>
      <c r="V116" s="3">
        <v>22.5</v>
      </c>
      <c r="W116" s="2">
        <f t="shared" si="36"/>
        <v>6</v>
      </c>
      <c r="X116" s="3">
        <f t="shared" si="37"/>
        <v>5.5</v>
      </c>
      <c r="Y116" s="1">
        <v>42.5</v>
      </c>
      <c r="AB116" s="1">
        <v>26</v>
      </c>
      <c r="AC116" s="3">
        <v>28</v>
      </c>
      <c r="AD116" s="2">
        <f t="shared" si="38"/>
        <v>7</v>
      </c>
      <c r="AE116" s="3">
        <f t="shared" si="39"/>
        <v>9</v>
      </c>
      <c r="AF116" s="1">
        <v>52</v>
      </c>
      <c r="AI116" s="1">
        <v>27.5</v>
      </c>
      <c r="AJ116" s="3">
        <v>14</v>
      </c>
      <c r="AK116" s="2">
        <f t="shared" si="40"/>
        <v>5.5</v>
      </c>
      <c r="AL116" s="3">
        <f t="shared" si="41"/>
        <v>6</v>
      </c>
      <c r="AM116" s="1">
        <v>33.5</v>
      </c>
      <c r="AN116" s="1">
        <f t="shared" si="31"/>
        <v>45</v>
      </c>
      <c r="AP116" s="1">
        <v>14.5</v>
      </c>
      <c r="AQ116" s="2">
        <v>16</v>
      </c>
      <c r="AR116" s="1">
        <v>9.5</v>
      </c>
      <c r="AS116" s="2">
        <v>5</v>
      </c>
      <c r="AU116" s="2">
        <v>17</v>
      </c>
      <c r="AV116" s="1">
        <v>24</v>
      </c>
      <c r="AX116" s="2">
        <v>1</v>
      </c>
      <c r="AY116" s="2">
        <v>10</v>
      </c>
      <c r="AZ116" s="2">
        <v>7</v>
      </c>
      <c r="BA116" s="2">
        <v>7</v>
      </c>
      <c r="BC116" t="s">
        <v>234</v>
      </c>
      <c r="BD116" t="s">
        <v>235</v>
      </c>
      <c r="BE116" t="s">
        <v>236</v>
      </c>
      <c r="BF116" t="s">
        <v>328</v>
      </c>
      <c r="BG116" t="s">
        <v>303</v>
      </c>
      <c r="BH116" t="s">
        <v>242</v>
      </c>
      <c r="BJ116" s="2" t="s">
        <v>214</v>
      </c>
      <c r="BK116" s="2" t="s">
        <v>381</v>
      </c>
      <c r="BL116" s="1" t="s">
        <v>221</v>
      </c>
      <c r="BM116" s="1">
        <v>7</v>
      </c>
      <c r="BN116" s="1">
        <v>9.5</v>
      </c>
      <c r="BO116" s="1">
        <v>6</v>
      </c>
      <c r="BP116" s="1">
        <v>10</v>
      </c>
      <c r="BQ116" s="1">
        <v>3</v>
      </c>
      <c r="BR116" s="2" t="s">
        <v>223</v>
      </c>
      <c r="BS116" s="2">
        <v>5.5</v>
      </c>
      <c r="BT116" s="2">
        <v>10</v>
      </c>
      <c r="BU116" s="2">
        <v>4.5</v>
      </c>
      <c r="BV116" s="2">
        <v>8</v>
      </c>
      <c r="BW116" s="2">
        <v>8.5</v>
      </c>
      <c r="BX116" s="3" t="s">
        <v>382</v>
      </c>
      <c r="BY116" s="1" t="s">
        <v>230</v>
      </c>
    </row>
    <row r="117" spans="1:77" x14ac:dyDescent="0.25">
      <c r="A117">
        <v>38</v>
      </c>
      <c r="B117" t="s">
        <v>16</v>
      </c>
      <c r="C117">
        <v>17681</v>
      </c>
      <c r="D117" t="s">
        <v>206</v>
      </c>
      <c r="E117" s="1" t="s">
        <v>13</v>
      </c>
      <c r="G117" s="1">
        <v>31.5</v>
      </c>
      <c r="H117" s="2">
        <v>21.5</v>
      </c>
      <c r="I117" s="2">
        <f t="shared" si="32"/>
        <v>7</v>
      </c>
      <c r="J117" s="3">
        <f t="shared" si="33"/>
        <v>6</v>
      </c>
      <c r="K117" s="1">
        <v>52</v>
      </c>
      <c r="N117" s="1">
        <v>39.5</v>
      </c>
      <c r="O117" s="3">
        <v>37</v>
      </c>
      <c r="P117" s="2">
        <f t="shared" si="34"/>
        <v>10</v>
      </c>
      <c r="Q117" s="3">
        <f t="shared" si="35"/>
        <v>10</v>
      </c>
      <c r="R117" s="1">
        <v>70.5</v>
      </c>
      <c r="U117" s="1">
        <v>32</v>
      </c>
      <c r="V117" s="3">
        <v>32</v>
      </c>
      <c r="W117" s="2">
        <f t="shared" si="36"/>
        <v>8</v>
      </c>
      <c r="X117" s="3">
        <f t="shared" si="37"/>
        <v>6.5</v>
      </c>
      <c r="Y117" s="1">
        <v>69</v>
      </c>
      <c r="AB117" s="1">
        <v>30.5</v>
      </c>
      <c r="AC117" s="3">
        <v>29.5</v>
      </c>
      <c r="AD117" s="2">
        <f t="shared" si="38"/>
        <v>7.5</v>
      </c>
      <c r="AE117" s="3">
        <f t="shared" si="39"/>
        <v>8.5</v>
      </c>
      <c r="AF117" s="1">
        <v>58.5</v>
      </c>
      <c r="AI117" s="1">
        <v>31</v>
      </c>
      <c r="AJ117" s="3">
        <v>33</v>
      </c>
      <c r="AK117" s="2">
        <f t="shared" si="40"/>
        <v>8</v>
      </c>
      <c r="AL117" s="3">
        <f t="shared" si="41"/>
        <v>9</v>
      </c>
      <c r="AM117" s="1">
        <v>53.5</v>
      </c>
      <c r="AN117" s="1">
        <f t="shared" si="31"/>
        <v>70.5</v>
      </c>
      <c r="AP117" s="1">
        <v>17</v>
      </c>
      <c r="AQ117" s="2">
        <v>18.5</v>
      </c>
      <c r="AR117" s="1">
        <v>19.5</v>
      </c>
      <c r="AS117" s="2">
        <v>3.5</v>
      </c>
      <c r="AU117" s="2">
        <v>20</v>
      </c>
      <c r="AV117" s="1">
        <v>33</v>
      </c>
      <c r="AX117" s="2">
        <v>7</v>
      </c>
      <c r="AY117" s="2">
        <v>10</v>
      </c>
      <c r="AZ117" s="2">
        <v>7</v>
      </c>
      <c r="BA117" s="2">
        <v>9</v>
      </c>
      <c r="BC117" t="s">
        <v>234</v>
      </c>
      <c r="BD117" t="s">
        <v>235</v>
      </c>
      <c r="BE117" t="s">
        <v>236</v>
      </c>
      <c r="BG117" t="s">
        <v>303</v>
      </c>
      <c r="BH117" t="s">
        <v>237</v>
      </c>
      <c r="BJ117" s="2" t="s">
        <v>214</v>
      </c>
      <c r="BK117" s="2" t="s">
        <v>381</v>
      </c>
      <c r="BL117" s="1" t="s">
        <v>221</v>
      </c>
      <c r="BM117" s="1">
        <v>4.5</v>
      </c>
      <c r="BN117" s="1">
        <v>9.5</v>
      </c>
      <c r="BO117" s="1">
        <v>5</v>
      </c>
      <c r="BP117" s="1">
        <v>9.5</v>
      </c>
      <c r="BQ117" s="1">
        <v>9</v>
      </c>
      <c r="BR117" s="2" t="s">
        <v>223</v>
      </c>
      <c r="BS117" s="2">
        <v>7.5</v>
      </c>
      <c r="BT117" s="2">
        <v>10</v>
      </c>
      <c r="BU117" s="2">
        <v>7.5</v>
      </c>
      <c r="BV117" s="2">
        <v>7.5</v>
      </c>
      <c r="BW117" s="2">
        <v>8.5</v>
      </c>
      <c r="BX117" s="3" t="s">
        <v>382</v>
      </c>
      <c r="BY117" s="1" t="s">
        <v>230</v>
      </c>
    </row>
    <row r="118" spans="1:77" x14ac:dyDescent="0.25">
      <c r="A118">
        <v>1</v>
      </c>
      <c r="B118" t="s">
        <v>18</v>
      </c>
      <c r="C118">
        <v>16728</v>
      </c>
      <c r="D118" t="s">
        <v>19</v>
      </c>
      <c r="E118" s="1" t="s">
        <v>13</v>
      </c>
      <c r="G118" s="1" t="s">
        <v>20</v>
      </c>
      <c r="H118" s="2">
        <v>2</v>
      </c>
      <c r="I118" s="2">
        <f t="shared" si="32"/>
        <v>0.5</v>
      </c>
      <c r="J118" s="3">
        <f t="shared" si="33"/>
        <v>5</v>
      </c>
      <c r="K118" s="1">
        <v>10</v>
      </c>
      <c r="N118" s="1" t="s">
        <v>20</v>
      </c>
      <c r="O118" s="3">
        <v>8</v>
      </c>
      <c r="P118" s="2">
        <f t="shared" si="34"/>
        <v>1</v>
      </c>
      <c r="Q118" s="3">
        <f t="shared" si="35"/>
        <v>8.5</v>
      </c>
      <c r="R118" s="1">
        <v>27.5</v>
      </c>
      <c r="U118" s="1" t="s">
        <v>21</v>
      </c>
      <c r="V118" s="3">
        <v>9</v>
      </c>
      <c r="W118" s="2">
        <f t="shared" si="36"/>
        <v>1.5</v>
      </c>
      <c r="X118" s="3">
        <f t="shared" si="37"/>
        <v>5</v>
      </c>
      <c r="Y118" s="1">
        <v>18.5</v>
      </c>
      <c r="AB118" s="1" t="s">
        <v>20</v>
      </c>
      <c r="AC118" s="3">
        <v>4</v>
      </c>
      <c r="AD118" s="2">
        <f t="shared" si="38"/>
        <v>0.5</v>
      </c>
      <c r="AE118" s="3">
        <f t="shared" si="39"/>
        <v>7</v>
      </c>
      <c r="AF118" s="1">
        <v>24</v>
      </c>
      <c r="AI118" s="1" t="s">
        <v>21</v>
      </c>
      <c r="AJ118" s="3">
        <v>4</v>
      </c>
      <c r="AK118" s="2">
        <f t="shared" si="40"/>
        <v>0.5</v>
      </c>
      <c r="AL118" s="3">
        <f t="shared" si="41"/>
        <v>2</v>
      </c>
      <c r="AM118" s="1">
        <v>1</v>
      </c>
      <c r="AN118" s="1">
        <f t="shared" si="31"/>
        <v>3.5</v>
      </c>
      <c r="AP118" s="1" t="s">
        <v>20</v>
      </c>
      <c r="AQ118" s="2">
        <v>3</v>
      </c>
      <c r="AR118" s="1">
        <v>5</v>
      </c>
      <c r="AS118" s="2">
        <v>3</v>
      </c>
      <c r="AU118" s="2">
        <v>9</v>
      </c>
      <c r="AV118" s="1">
        <v>22</v>
      </c>
      <c r="AX118" s="2">
        <v>6</v>
      </c>
      <c r="AY118" s="2">
        <v>7</v>
      </c>
      <c r="AZ118" s="2">
        <v>8</v>
      </c>
      <c r="BA118" s="2">
        <v>2</v>
      </c>
      <c r="BC118" t="s">
        <v>234</v>
      </c>
      <c r="BD118" t="s">
        <v>235</v>
      </c>
      <c r="BE118" t="s">
        <v>236</v>
      </c>
      <c r="BF118" t="s">
        <v>263</v>
      </c>
      <c r="BG118" t="s">
        <v>330</v>
      </c>
      <c r="BH118" t="s">
        <v>329</v>
      </c>
      <c r="BJ118" s="2" t="s">
        <v>214</v>
      </c>
      <c r="BK118" s="2" t="s">
        <v>381</v>
      </c>
      <c r="BL118" s="1" t="s">
        <v>221</v>
      </c>
      <c r="BM118" s="1">
        <v>6</v>
      </c>
      <c r="BN118" s="1">
        <v>8.5</v>
      </c>
      <c r="BO118" s="1">
        <v>6</v>
      </c>
      <c r="BP118" s="1">
        <v>9.5</v>
      </c>
      <c r="BQ118" s="1">
        <v>1.5</v>
      </c>
      <c r="BR118" s="2" t="s">
        <v>223</v>
      </c>
      <c r="BS118" s="2">
        <v>3.5</v>
      </c>
      <c r="BT118" s="2">
        <v>8</v>
      </c>
      <c r="BU118" s="2">
        <v>4</v>
      </c>
      <c r="BV118" s="2">
        <v>4.5</v>
      </c>
      <c r="BW118" s="2">
        <v>2</v>
      </c>
      <c r="BX118" s="3" t="s">
        <v>382</v>
      </c>
      <c r="BY118" s="1" t="s">
        <v>230</v>
      </c>
    </row>
    <row r="119" spans="1:77" x14ac:dyDescent="0.25">
      <c r="A119">
        <v>2</v>
      </c>
      <c r="B119" t="s">
        <v>18</v>
      </c>
      <c r="C119">
        <v>16611</v>
      </c>
      <c r="D119" t="s">
        <v>27</v>
      </c>
      <c r="E119" s="1" t="s">
        <v>13</v>
      </c>
      <c r="G119" s="1">
        <v>21.5</v>
      </c>
      <c r="H119" s="2">
        <v>20.5</v>
      </c>
      <c r="I119" s="2">
        <f t="shared" si="32"/>
        <v>5.5</v>
      </c>
      <c r="J119" s="3">
        <f t="shared" si="33"/>
        <v>5.5</v>
      </c>
      <c r="K119" s="1">
        <v>38.5</v>
      </c>
      <c r="N119" s="1">
        <v>32.5</v>
      </c>
      <c r="O119" s="3">
        <v>33</v>
      </c>
      <c r="P119" s="2">
        <f t="shared" si="34"/>
        <v>8.5</v>
      </c>
      <c r="Q119" s="3">
        <f t="shared" si="35"/>
        <v>9.5</v>
      </c>
      <c r="R119" s="1">
        <v>64</v>
      </c>
      <c r="U119" s="1">
        <v>25.5</v>
      </c>
      <c r="V119" s="3">
        <v>19</v>
      </c>
      <c r="W119" s="2">
        <f t="shared" si="36"/>
        <v>6</v>
      </c>
      <c r="X119" s="3">
        <f t="shared" si="37"/>
        <v>5</v>
      </c>
      <c r="Y119" s="1">
        <v>41</v>
      </c>
      <c r="AB119" s="1">
        <v>30.5</v>
      </c>
      <c r="AC119" s="3">
        <v>32</v>
      </c>
      <c r="AD119" s="2">
        <f t="shared" si="38"/>
        <v>8</v>
      </c>
      <c r="AE119" s="3">
        <f t="shared" si="39"/>
        <v>8</v>
      </c>
      <c r="AF119" s="1">
        <v>58.5</v>
      </c>
      <c r="AI119" s="1">
        <v>32</v>
      </c>
      <c r="AJ119" s="3">
        <v>27</v>
      </c>
      <c r="AK119" s="2">
        <f t="shared" si="40"/>
        <v>7.5</v>
      </c>
      <c r="AL119" s="3">
        <f t="shared" si="41"/>
        <v>8.5</v>
      </c>
      <c r="AM119" s="1">
        <v>53.5</v>
      </c>
      <c r="AN119" s="1">
        <f t="shared" si="31"/>
        <v>69.5</v>
      </c>
      <c r="AP119" s="1">
        <v>10.5</v>
      </c>
      <c r="AQ119" s="2">
        <v>17</v>
      </c>
      <c r="AR119" s="1">
        <v>23.5</v>
      </c>
      <c r="AS119" s="2">
        <v>3</v>
      </c>
      <c r="AU119" s="2">
        <v>18</v>
      </c>
      <c r="AV119" s="1">
        <v>23</v>
      </c>
      <c r="AX119" s="2">
        <v>8.5</v>
      </c>
      <c r="AY119" s="2">
        <v>10</v>
      </c>
      <c r="AZ119" s="2">
        <v>8</v>
      </c>
      <c r="BA119" s="2">
        <v>9</v>
      </c>
      <c r="BC119" t="s">
        <v>234</v>
      </c>
      <c r="BD119" t="s">
        <v>235</v>
      </c>
      <c r="BE119" t="s">
        <v>236</v>
      </c>
      <c r="BF119" t="s">
        <v>331</v>
      </c>
      <c r="BG119" t="s">
        <v>332</v>
      </c>
      <c r="BH119" t="s">
        <v>247</v>
      </c>
      <c r="BJ119" s="2" t="s">
        <v>214</v>
      </c>
      <c r="BK119" s="2" t="s">
        <v>381</v>
      </c>
      <c r="BL119" s="1" t="s">
        <v>221</v>
      </c>
      <c r="BM119" s="1">
        <v>6</v>
      </c>
      <c r="BN119" s="1">
        <v>8.5</v>
      </c>
      <c r="BO119" s="1">
        <v>5</v>
      </c>
      <c r="BP119" s="1">
        <v>7.5</v>
      </c>
      <c r="BQ119" s="1">
        <v>7.5</v>
      </c>
      <c r="BR119" s="2" t="s">
        <v>223</v>
      </c>
      <c r="BS119" s="2">
        <v>5</v>
      </c>
      <c r="BT119" s="2">
        <v>10</v>
      </c>
      <c r="BU119" s="2">
        <v>4.5</v>
      </c>
      <c r="BV119" s="2">
        <v>8</v>
      </c>
      <c r="BW119" s="2">
        <v>9</v>
      </c>
      <c r="BX119" s="3" t="s">
        <v>382</v>
      </c>
      <c r="BY119" s="1" t="s">
        <v>230</v>
      </c>
    </row>
    <row r="120" spans="1:77" x14ac:dyDescent="0.25">
      <c r="A120">
        <v>3</v>
      </c>
      <c r="B120" t="s">
        <v>18</v>
      </c>
      <c r="C120">
        <v>16478</v>
      </c>
      <c r="D120" t="s">
        <v>32</v>
      </c>
      <c r="E120" s="1" t="s">
        <v>13</v>
      </c>
      <c r="G120" s="1">
        <v>36</v>
      </c>
      <c r="H120" s="2" t="s">
        <v>215</v>
      </c>
      <c r="I120" s="2">
        <f t="shared" si="32"/>
        <v>4.5</v>
      </c>
      <c r="J120" s="3">
        <f t="shared" si="33"/>
        <v>9.5</v>
      </c>
      <c r="K120" s="1" t="s">
        <v>20</v>
      </c>
      <c r="N120" s="1">
        <v>39</v>
      </c>
      <c r="O120" s="3">
        <v>35.5</v>
      </c>
      <c r="P120" s="2">
        <f t="shared" si="34"/>
        <v>9.5</v>
      </c>
      <c r="Q120" s="3">
        <f t="shared" si="35"/>
        <v>10</v>
      </c>
      <c r="R120" s="1">
        <v>79</v>
      </c>
      <c r="U120" s="1">
        <v>38.5</v>
      </c>
      <c r="V120" s="3">
        <v>40</v>
      </c>
      <c r="W120" s="2">
        <f t="shared" si="36"/>
        <v>10</v>
      </c>
      <c r="X120" s="3">
        <f t="shared" si="37"/>
        <v>5</v>
      </c>
      <c r="Y120" s="1">
        <v>74.5</v>
      </c>
      <c r="AB120" s="1">
        <v>32</v>
      </c>
      <c r="AC120" s="3" t="s">
        <v>21</v>
      </c>
      <c r="AD120" s="2">
        <f t="shared" si="38"/>
        <v>4</v>
      </c>
      <c r="AE120" s="3">
        <f t="shared" si="39"/>
        <v>5</v>
      </c>
      <c r="AF120" s="1">
        <v>75.5</v>
      </c>
      <c r="AI120" s="1">
        <v>39</v>
      </c>
      <c r="AJ120" s="3">
        <v>35.5</v>
      </c>
      <c r="AK120" s="2">
        <f t="shared" si="40"/>
        <v>9.5</v>
      </c>
      <c r="AL120" s="3">
        <f t="shared" si="41"/>
        <v>9.5</v>
      </c>
      <c r="AM120" s="1" t="s">
        <v>21</v>
      </c>
      <c r="AN120" s="1" t="e">
        <f t="shared" si="31"/>
        <v>#VALUE!</v>
      </c>
      <c r="AP120" s="1">
        <v>24.5</v>
      </c>
      <c r="AQ120" s="2" t="s">
        <v>20</v>
      </c>
      <c r="AR120" s="1">
        <v>29</v>
      </c>
      <c r="AS120" s="2">
        <v>5</v>
      </c>
      <c r="AU120" s="2" t="s">
        <v>21</v>
      </c>
      <c r="AV120" s="1">
        <v>38.5</v>
      </c>
      <c r="AX120" s="2">
        <v>8.5</v>
      </c>
      <c r="AY120" s="2">
        <v>10</v>
      </c>
      <c r="AZ120" s="2">
        <v>7</v>
      </c>
      <c r="BA120" s="2">
        <v>9</v>
      </c>
      <c r="BC120" t="s">
        <v>234</v>
      </c>
      <c r="BD120" t="s">
        <v>235</v>
      </c>
      <c r="BE120" t="s">
        <v>236</v>
      </c>
      <c r="BF120" t="s">
        <v>334</v>
      </c>
      <c r="BG120" t="s">
        <v>335</v>
      </c>
      <c r="BH120" t="s">
        <v>333</v>
      </c>
      <c r="BJ120" s="2" t="s">
        <v>214</v>
      </c>
      <c r="BK120" s="2" t="s">
        <v>381</v>
      </c>
      <c r="BL120" s="1" t="s">
        <v>221</v>
      </c>
      <c r="BM120" s="1">
        <v>9.5</v>
      </c>
      <c r="BN120" s="1">
        <v>10</v>
      </c>
      <c r="BO120" s="1">
        <v>10</v>
      </c>
      <c r="BP120" s="1">
        <v>10</v>
      </c>
      <c r="BQ120" s="1">
        <v>10</v>
      </c>
      <c r="BR120" s="2" t="s">
        <v>223</v>
      </c>
      <c r="BS120" s="2">
        <v>9.5</v>
      </c>
      <c r="BT120" s="2">
        <v>10</v>
      </c>
      <c r="BU120" s="2" t="s">
        <v>21</v>
      </c>
      <c r="BV120" s="2" t="s">
        <v>21</v>
      </c>
      <c r="BW120" s="2">
        <v>8.5</v>
      </c>
      <c r="BX120" s="3" t="s">
        <v>382</v>
      </c>
      <c r="BY120" s="1" t="s">
        <v>230</v>
      </c>
    </row>
    <row r="121" spans="1:77" x14ac:dyDescent="0.25">
      <c r="A121">
        <v>4</v>
      </c>
      <c r="B121" t="s">
        <v>18</v>
      </c>
      <c r="C121">
        <v>16736</v>
      </c>
      <c r="D121" t="s">
        <v>37</v>
      </c>
      <c r="E121" s="1" t="s">
        <v>13</v>
      </c>
      <c r="G121" s="1">
        <v>32</v>
      </c>
      <c r="H121" s="2">
        <v>31.5</v>
      </c>
      <c r="I121" s="2">
        <f t="shared" si="32"/>
        <v>8</v>
      </c>
      <c r="J121" s="3">
        <f t="shared" si="33"/>
        <v>8.5</v>
      </c>
      <c r="K121" s="1">
        <v>55.5</v>
      </c>
      <c r="N121" s="1">
        <v>36</v>
      </c>
      <c r="O121" s="3">
        <v>37.5</v>
      </c>
      <c r="P121" s="2">
        <f t="shared" si="34"/>
        <v>9.5</v>
      </c>
      <c r="Q121" s="3">
        <f t="shared" si="35"/>
        <v>10</v>
      </c>
      <c r="R121" s="1">
        <v>73.5</v>
      </c>
      <c r="U121" s="1">
        <v>36.5</v>
      </c>
      <c r="V121" s="3">
        <v>34</v>
      </c>
      <c r="W121" s="2">
        <f t="shared" si="36"/>
        <v>9</v>
      </c>
      <c r="X121" s="3">
        <f t="shared" si="37"/>
        <v>9</v>
      </c>
      <c r="Y121" s="1">
        <v>64</v>
      </c>
      <c r="AB121" s="1">
        <v>27.5</v>
      </c>
      <c r="AC121" s="3">
        <v>33</v>
      </c>
      <c r="AD121" s="2">
        <f t="shared" si="38"/>
        <v>8</v>
      </c>
      <c r="AE121" s="3">
        <f t="shared" si="39"/>
        <v>9</v>
      </c>
      <c r="AF121" s="1">
        <v>69.5</v>
      </c>
      <c r="AI121" s="1">
        <v>36</v>
      </c>
      <c r="AJ121" s="3">
        <v>34.5</v>
      </c>
      <c r="AK121" s="2">
        <f t="shared" si="40"/>
        <v>9</v>
      </c>
      <c r="AL121" s="3">
        <f t="shared" si="41"/>
        <v>9.5</v>
      </c>
      <c r="AM121" s="1">
        <v>65.5</v>
      </c>
      <c r="AN121" s="1">
        <f t="shared" si="31"/>
        <v>84</v>
      </c>
      <c r="AP121" s="1">
        <v>15.5</v>
      </c>
      <c r="AQ121" s="2">
        <v>20</v>
      </c>
      <c r="AR121" s="1">
        <v>22.5</v>
      </c>
      <c r="AS121" s="2">
        <v>3</v>
      </c>
      <c r="AU121" s="2" t="s">
        <v>21</v>
      </c>
      <c r="AV121" s="1">
        <v>35.5</v>
      </c>
      <c r="AX121" s="2">
        <v>8</v>
      </c>
      <c r="AY121" s="2">
        <v>10</v>
      </c>
      <c r="AZ121" s="2">
        <v>8</v>
      </c>
      <c r="BA121" s="2">
        <v>8.5</v>
      </c>
      <c r="BC121" t="s">
        <v>234</v>
      </c>
      <c r="BD121" t="s">
        <v>235</v>
      </c>
      <c r="BE121" t="s">
        <v>236</v>
      </c>
      <c r="BF121" t="s">
        <v>263</v>
      </c>
      <c r="BG121" t="s">
        <v>335</v>
      </c>
      <c r="BH121" t="s">
        <v>336</v>
      </c>
      <c r="BJ121" s="2" t="s">
        <v>214</v>
      </c>
      <c r="BK121" s="2" t="s">
        <v>381</v>
      </c>
      <c r="BL121" s="1" t="s">
        <v>221</v>
      </c>
      <c r="BM121" s="1">
        <v>8.5</v>
      </c>
      <c r="BN121" s="1">
        <v>10</v>
      </c>
      <c r="BO121" s="1">
        <v>10</v>
      </c>
      <c r="BP121" s="1">
        <v>9.5</v>
      </c>
      <c r="BQ121" s="1">
        <v>10</v>
      </c>
      <c r="BR121" s="2" t="s">
        <v>223</v>
      </c>
      <c r="BS121" s="2">
        <v>8</v>
      </c>
      <c r="BT121" s="2">
        <v>10</v>
      </c>
      <c r="BU121" s="2">
        <v>7.5</v>
      </c>
      <c r="BV121" s="2">
        <v>8.5</v>
      </c>
      <c r="BW121" s="2">
        <v>9</v>
      </c>
      <c r="BX121" s="3" t="s">
        <v>382</v>
      </c>
      <c r="BY121" s="1" t="s">
        <v>230</v>
      </c>
    </row>
    <row r="122" spans="1:77" x14ac:dyDescent="0.25">
      <c r="A122">
        <v>5</v>
      </c>
      <c r="B122" t="s">
        <v>18</v>
      </c>
      <c r="C122">
        <v>16457</v>
      </c>
      <c r="D122" t="s">
        <v>42</v>
      </c>
      <c r="E122" s="1" t="s">
        <v>13</v>
      </c>
      <c r="G122" s="1">
        <v>30.5</v>
      </c>
      <c r="H122" s="2">
        <v>27</v>
      </c>
      <c r="I122" s="2">
        <f t="shared" si="32"/>
        <v>7.5</v>
      </c>
      <c r="J122" s="3">
        <f t="shared" si="33"/>
        <v>4.5</v>
      </c>
      <c r="K122" s="1" t="s">
        <v>20</v>
      </c>
      <c r="N122" s="1">
        <v>36.5</v>
      </c>
      <c r="O122" s="3">
        <v>36.5</v>
      </c>
      <c r="P122" s="2">
        <f t="shared" si="34"/>
        <v>9.5</v>
      </c>
      <c r="Q122" s="3">
        <f t="shared" si="35"/>
        <v>5</v>
      </c>
      <c r="R122" s="1" t="s">
        <v>20</v>
      </c>
      <c r="U122" s="1">
        <v>37</v>
      </c>
      <c r="V122" s="3">
        <v>29</v>
      </c>
      <c r="W122" s="2">
        <f t="shared" si="36"/>
        <v>8.5</v>
      </c>
      <c r="X122" s="3">
        <f t="shared" si="37"/>
        <v>0</v>
      </c>
      <c r="Y122" s="1" t="s">
        <v>21</v>
      </c>
      <c r="AB122" s="1">
        <v>30</v>
      </c>
      <c r="AC122" s="3">
        <v>28</v>
      </c>
      <c r="AD122" s="2">
        <f t="shared" si="38"/>
        <v>7.5</v>
      </c>
      <c r="AE122" s="3">
        <f t="shared" si="39"/>
        <v>4.5</v>
      </c>
      <c r="AF122" s="1" t="s">
        <v>21</v>
      </c>
      <c r="AI122" s="1">
        <v>20</v>
      </c>
      <c r="AJ122" s="3">
        <v>22</v>
      </c>
      <c r="AK122" s="2">
        <f t="shared" si="40"/>
        <v>5.5</v>
      </c>
      <c r="AL122" s="3">
        <f t="shared" si="41"/>
        <v>4.5</v>
      </c>
      <c r="AM122" s="1" t="s">
        <v>21</v>
      </c>
      <c r="AN122" s="1" t="e">
        <f t="shared" si="31"/>
        <v>#VALUE!</v>
      </c>
      <c r="AP122" s="1">
        <v>16</v>
      </c>
      <c r="AQ122" s="2">
        <v>10</v>
      </c>
      <c r="AR122" s="1">
        <v>23.5</v>
      </c>
      <c r="AS122" s="2">
        <v>4</v>
      </c>
      <c r="AU122" s="2">
        <v>20</v>
      </c>
      <c r="AV122" s="1">
        <v>36.5</v>
      </c>
      <c r="AX122" s="2">
        <v>8</v>
      </c>
      <c r="AY122" s="2">
        <v>10</v>
      </c>
      <c r="AZ122" s="2">
        <v>8</v>
      </c>
      <c r="BA122" s="2">
        <v>8</v>
      </c>
      <c r="BC122" t="s">
        <v>234</v>
      </c>
      <c r="BD122" t="s">
        <v>235</v>
      </c>
      <c r="BE122" t="s">
        <v>236</v>
      </c>
      <c r="BF122" t="s">
        <v>263</v>
      </c>
      <c r="BG122" t="s">
        <v>335</v>
      </c>
      <c r="BH122" t="s">
        <v>239</v>
      </c>
      <c r="BJ122" s="2" t="s">
        <v>214</v>
      </c>
      <c r="BK122" s="2" t="s">
        <v>381</v>
      </c>
      <c r="BL122" s="1" t="s">
        <v>221</v>
      </c>
      <c r="BM122" s="1" t="s">
        <v>215</v>
      </c>
      <c r="BN122" s="1" t="s">
        <v>20</v>
      </c>
      <c r="BO122" s="1" t="s">
        <v>21</v>
      </c>
      <c r="BP122" s="1" t="s">
        <v>21</v>
      </c>
      <c r="BQ122" s="1">
        <v>9</v>
      </c>
      <c r="BR122" s="2" t="s">
        <v>223</v>
      </c>
      <c r="BS122" s="2">
        <v>8.5</v>
      </c>
      <c r="BT122" s="2">
        <v>10</v>
      </c>
      <c r="BU122" s="2" t="s">
        <v>21</v>
      </c>
      <c r="BV122" s="2">
        <v>8.5</v>
      </c>
      <c r="BW122" s="2" t="s">
        <v>21</v>
      </c>
      <c r="BX122" s="3" t="s">
        <v>382</v>
      </c>
      <c r="BY122" s="1" t="s">
        <v>230</v>
      </c>
    </row>
    <row r="123" spans="1:77" x14ac:dyDescent="0.25">
      <c r="A123">
        <v>6</v>
      </c>
      <c r="B123" t="s">
        <v>18</v>
      </c>
      <c r="C123">
        <v>16497</v>
      </c>
      <c r="D123" t="s">
        <v>48</v>
      </c>
      <c r="E123" s="1" t="s">
        <v>13</v>
      </c>
      <c r="G123" s="1">
        <v>32</v>
      </c>
      <c r="H123" s="2">
        <v>29</v>
      </c>
      <c r="I123" s="2">
        <f t="shared" si="32"/>
        <v>8</v>
      </c>
      <c r="J123" s="3">
        <f t="shared" si="33"/>
        <v>4</v>
      </c>
      <c r="K123" s="1">
        <v>56</v>
      </c>
      <c r="N123" s="1">
        <v>23.5</v>
      </c>
      <c r="O123" s="3">
        <v>31.5</v>
      </c>
      <c r="P123" s="2">
        <f t="shared" si="34"/>
        <v>7</v>
      </c>
      <c r="Q123" s="3">
        <f t="shared" si="35"/>
        <v>4.5</v>
      </c>
      <c r="R123" s="1">
        <v>64.5</v>
      </c>
      <c r="U123" s="1">
        <v>39.5</v>
      </c>
      <c r="V123" s="3">
        <v>36.5</v>
      </c>
      <c r="W123" s="2">
        <f t="shared" si="36"/>
        <v>9.5</v>
      </c>
      <c r="X123" s="3">
        <f t="shared" si="37"/>
        <v>4</v>
      </c>
      <c r="Y123" s="1">
        <v>75.5</v>
      </c>
      <c r="AB123" s="1">
        <v>23</v>
      </c>
      <c r="AC123" s="3">
        <v>30</v>
      </c>
      <c r="AD123" s="2">
        <f t="shared" si="38"/>
        <v>7</v>
      </c>
      <c r="AE123" s="3">
        <f t="shared" si="39"/>
        <v>4</v>
      </c>
      <c r="AF123" s="1">
        <v>63</v>
      </c>
      <c r="AI123" s="1">
        <v>28</v>
      </c>
      <c r="AJ123" s="3">
        <v>28.5</v>
      </c>
      <c r="AK123" s="2">
        <f t="shared" si="40"/>
        <v>7.5</v>
      </c>
      <c r="AL123" s="3">
        <f t="shared" si="41"/>
        <v>6</v>
      </c>
      <c r="AM123" s="1">
        <v>60.5</v>
      </c>
      <c r="AN123" s="1">
        <f t="shared" si="31"/>
        <v>74</v>
      </c>
      <c r="AP123" s="1">
        <v>6.5</v>
      </c>
      <c r="AQ123" s="2">
        <v>11.5</v>
      </c>
      <c r="AR123" s="1">
        <v>12</v>
      </c>
      <c r="AS123" s="2">
        <v>2</v>
      </c>
      <c r="AU123" s="2">
        <v>22.5</v>
      </c>
      <c r="AV123" s="1">
        <v>33.5</v>
      </c>
      <c r="AX123" s="2">
        <v>7.5</v>
      </c>
      <c r="AY123" s="2">
        <v>8</v>
      </c>
      <c r="AZ123" s="2">
        <v>8</v>
      </c>
      <c r="BA123" s="2">
        <v>9</v>
      </c>
      <c r="BC123" t="s">
        <v>234</v>
      </c>
      <c r="BD123" t="s">
        <v>235</v>
      </c>
      <c r="BE123" t="s">
        <v>236</v>
      </c>
      <c r="BF123" t="s">
        <v>337</v>
      </c>
      <c r="BG123" t="s">
        <v>335</v>
      </c>
      <c r="BH123" t="s">
        <v>239</v>
      </c>
      <c r="BJ123" s="2" t="s">
        <v>214</v>
      </c>
      <c r="BK123" s="2" t="s">
        <v>381</v>
      </c>
      <c r="BL123" s="1" t="s">
        <v>221</v>
      </c>
      <c r="BM123" s="1">
        <v>7.5</v>
      </c>
      <c r="BN123" s="1">
        <v>9</v>
      </c>
      <c r="BO123" s="1" t="s">
        <v>21</v>
      </c>
      <c r="BP123" s="1" t="s">
        <v>21</v>
      </c>
      <c r="BQ123" s="1">
        <v>5</v>
      </c>
      <c r="BR123" s="2" t="s">
        <v>223</v>
      </c>
      <c r="BS123" s="2" t="s">
        <v>20</v>
      </c>
      <c r="BT123" s="2" t="s">
        <v>20</v>
      </c>
      <c r="BU123" s="2">
        <v>7.5</v>
      </c>
      <c r="BV123" s="2">
        <v>8</v>
      </c>
      <c r="BW123" s="2">
        <v>7</v>
      </c>
      <c r="BX123" s="3" t="s">
        <v>382</v>
      </c>
      <c r="BY123" s="1" t="s">
        <v>230</v>
      </c>
    </row>
    <row r="124" spans="1:77" x14ac:dyDescent="0.25">
      <c r="A124">
        <v>7</v>
      </c>
      <c r="B124" t="s">
        <v>18</v>
      </c>
      <c r="C124">
        <v>17392</v>
      </c>
      <c r="D124" t="s">
        <v>53</v>
      </c>
      <c r="E124" s="1" t="s">
        <v>13</v>
      </c>
      <c r="G124" s="1">
        <v>32.5</v>
      </c>
      <c r="H124" s="2">
        <v>30.5</v>
      </c>
      <c r="I124" s="2">
        <f t="shared" si="32"/>
        <v>8</v>
      </c>
      <c r="J124" s="3">
        <f t="shared" si="33"/>
        <v>10</v>
      </c>
      <c r="K124" s="1">
        <v>61.5</v>
      </c>
      <c r="N124" s="1">
        <v>13.5</v>
      </c>
      <c r="O124" s="3">
        <v>20</v>
      </c>
      <c r="P124" s="2">
        <f t="shared" si="34"/>
        <v>4.5</v>
      </c>
      <c r="Q124" s="3">
        <f t="shared" si="35"/>
        <v>10</v>
      </c>
      <c r="R124" s="1">
        <v>40.5</v>
      </c>
      <c r="U124" s="1">
        <v>36</v>
      </c>
      <c r="V124" s="3">
        <v>25.5</v>
      </c>
      <c r="W124" s="2">
        <f t="shared" si="36"/>
        <v>8</v>
      </c>
      <c r="X124" s="3">
        <f t="shared" si="37"/>
        <v>7</v>
      </c>
      <c r="Y124" s="1">
        <v>42</v>
      </c>
      <c r="AB124" s="1">
        <v>25.5</v>
      </c>
      <c r="AC124" s="3">
        <v>29</v>
      </c>
      <c r="AD124" s="2">
        <f t="shared" si="38"/>
        <v>7</v>
      </c>
      <c r="AE124" s="3">
        <f t="shared" si="39"/>
        <v>9.5</v>
      </c>
      <c r="AF124" s="1">
        <v>54.5</v>
      </c>
      <c r="AI124" s="1">
        <v>28.5</v>
      </c>
      <c r="AJ124" s="3">
        <v>21</v>
      </c>
      <c r="AK124" s="2">
        <f t="shared" si="40"/>
        <v>6.5</v>
      </c>
      <c r="AL124" s="3">
        <f t="shared" si="41"/>
        <v>9.5</v>
      </c>
      <c r="AM124" s="1">
        <v>42.5</v>
      </c>
      <c r="AN124" s="1">
        <f t="shared" si="31"/>
        <v>58.5</v>
      </c>
      <c r="AP124" s="1">
        <v>9</v>
      </c>
      <c r="AQ124" s="2">
        <v>11.5</v>
      </c>
      <c r="AR124" s="1">
        <v>19.5</v>
      </c>
      <c r="AS124" s="2">
        <v>6</v>
      </c>
      <c r="AU124" s="2">
        <v>19.5</v>
      </c>
      <c r="AV124" s="1">
        <v>33</v>
      </c>
      <c r="AX124" s="2">
        <v>8</v>
      </c>
      <c r="AY124" s="2">
        <v>8</v>
      </c>
      <c r="AZ124" s="2">
        <v>8</v>
      </c>
      <c r="BA124" s="2">
        <v>8</v>
      </c>
      <c r="BC124" t="s">
        <v>234</v>
      </c>
      <c r="BD124" t="s">
        <v>235</v>
      </c>
      <c r="BE124" t="s">
        <v>236</v>
      </c>
      <c r="BF124" t="s">
        <v>338</v>
      </c>
      <c r="BG124" t="s">
        <v>335</v>
      </c>
      <c r="BH124" t="s">
        <v>242</v>
      </c>
      <c r="BJ124" s="2" t="s">
        <v>214</v>
      </c>
      <c r="BK124" s="2" t="s">
        <v>381</v>
      </c>
      <c r="BL124" s="1" t="s">
        <v>221</v>
      </c>
      <c r="BM124" s="1">
        <v>9.5</v>
      </c>
      <c r="BN124" s="1">
        <v>10</v>
      </c>
      <c r="BO124" s="1">
        <v>7</v>
      </c>
      <c r="BP124" s="1">
        <v>10</v>
      </c>
      <c r="BQ124" s="1">
        <v>9</v>
      </c>
      <c r="BR124" s="2" t="s">
        <v>223</v>
      </c>
      <c r="BS124" s="2">
        <v>10</v>
      </c>
      <c r="BT124" s="2">
        <v>10</v>
      </c>
      <c r="BU124" s="2">
        <v>6.5</v>
      </c>
      <c r="BV124" s="2">
        <v>9</v>
      </c>
      <c r="BW124" s="2">
        <v>10</v>
      </c>
      <c r="BX124" s="3" t="s">
        <v>382</v>
      </c>
      <c r="BY124" s="1" t="s">
        <v>230</v>
      </c>
    </row>
    <row r="125" spans="1:77" x14ac:dyDescent="0.25">
      <c r="A125">
        <v>8</v>
      </c>
      <c r="B125" t="s">
        <v>18</v>
      </c>
      <c r="C125">
        <v>16691</v>
      </c>
      <c r="D125" t="s">
        <v>58</v>
      </c>
      <c r="E125" s="1" t="s">
        <v>13</v>
      </c>
      <c r="G125" s="1">
        <v>25</v>
      </c>
      <c r="H125" s="2">
        <v>12</v>
      </c>
      <c r="I125" s="2">
        <f t="shared" si="32"/>
        <v>5</v>
      </c>
      <c r="J125" s="3">
        <f t="shared" si="33"/>
        <v>6.5</v>
      </c>
      <c r="K125" s="1">
        <v>26.5</v>
      </c>
      <c r="N125" s="1">
        <v>21.5</v>
      </c>
      <c r="O125" s="3">
        <v>29.5</v>
      </c>
      <c r="P125" s="2">
        <f t="shared" si="34"/>
        <v>6.5</v>
      </c>
      <c r="Q125" s="3">
        <f t="shared" si="35"/>
        <v>10</v>
      </c>
      <c r="R125" s="1">
        <v>48.5</v>
      </c>
      <c r="U125" s="1">
        <v>29</v>
      </c>
      <c r="V125" s="3">
        <v>14</v>
      </c>
      <c r="W125" s="2">
        <f t="shared" si="36"/>
        <v>5.5</v>
      </c>
      <c r="X125" s="3">
        <f t="shared" si="37"/>
        <v>4.5</v>
      </c>
      <c r="Y125" s="1">
        <v>18</v>
      </c>
      <c r="AB125" s="1">
        <v>17</v>
      </c>
      <c r="AC125" s="3">
        <v>17</v>
      </c>
      <c r="AD125" s="2">
        <f t="shared" si="38"/>
        <v>4.5</v>
      </c>
      <c r="AE125" s="3">
        <f t="shared" si="39"/>
        <v>9</v>
      </c>
      <c r="AF125" s="1">
        <v>48.5</v>
      </c>
      <c r="AI125" s="1">
        <v>25</v>
      </c>
      <c r="AJ125" s="3">
        <v>15</v>
      </c>
      <c r="AK125" s="2">
        <f t="shared" si="40"/>
        <v>5</v>
      </c>
      <c r="AL125" s="3">
        <f t="shared" si="41"/>
        <v>5.5</v>
      </c>
      <c r="AM125" s="1">
        <v>20.5</v>
      </c>
      <c r="AN125" s="1">
        <f t="shared" si="31"/>
        <v>31</v>
      </c>
      <c r="AP125" s="1">
        <v>8</v>
      </c>
      <c r="AQ125" s="2">
        <v>9.5</v>
      </c>
      <c r="AR125" s="1">
        <v>14</v>
      </c>
      <c r="AS125" s="2">
        <v>6</v>
      </c>
      <c r="AU125" s="2">
        <v>15.5</v>
      </c>
      <c r="AV125" s="1">
        <v>32.5</v>
      </c>
      <c r="AX125" s="2">
        <v>8</v>
      </c>
      <c r="AY125" s="2">
        <v>10</v>
      </c>
      <c r="AZ125" s="2">
        <v>8</v>
      </c>
      <c r="BA125" s="2">
        <v>9</v>
      </c>
      <c r="BC125" t="s">
        <v>234</v>
      </c>
      <c r="BD125" t="s">
        <v>235</v>
      </c>
      <c r="BE125" t="s">
        <v>236</v>
      </c>
      <c r="BF125" t="s">
        <v>263</v>
      </c>
      <c r="BG125" t="s">
        <v>335</v>
      </c>
      <c r="BH125" t="s">
        <v>247</v>
      </c>
      <c r="BJ125" s="2" t="s">
        <v>214</v>
      </c>
      <c r="BK125" s="2" t="s">
        <v>381</v>
      </c>
      <c r="BL125" s="1" t="s">
        <v>221</v>
      </c>
      <c r="BM125" s="1">
        <v>6</v>
      </c>
      <c r="BN125" s="1">
        <v>10</v>
      </c>
      <c r="BO125" s="1">
        <v>4</v>
      </c>
      <c r="BP125" s="1">
        <v>10</v>
      </c>
      <c r="BQ125" s="1">
        <v>6</v>
      </c>
      <c r="BR125" s="2" t="s">
        <v>223</v>
      </c>
      <c r="BS125" s="2">
        <v>7</v>
      </c>
      <c r="BT125" s="2">
        <v>10</v>
      </c>
      <c r="BU125" s="2">
        <v>4.5</v>
      </c>
      <c r="BV125" s="2">
        <v>8</v>
      </c>
      <c r="BW125" s="2">
        <v>5</v>
      </c>
      <c r="BX125" s="3" t="s">
        <v>382</v>
      </c>
      <c r="BY125" s="1" t="s">
        <v>230</v>
      </c>
    </row>
    <row r="126" spans="1:77" x14ac:dyDescent="0.25">
      <c r="A126">
        <v>9</v>
      </c>
      <c r="B126" t="s">
        <v>18</v>
      </c>
      <c r="C126">
        <v>16669</v>
      </c>
      <c r="D126" t="s">
        <v>63</v>
      </c>
      <c r="E126" s="1" t="s">
        <v>13</v>
      </c>
      <c r="G126" s="1">
        <v>13.5</v>
      </c>
      <c r="H126" s="2">
        <v>10</v>
      </c>
      <c r="I126" s="2">
        <f t="shared" si="32"/>
        <v>3</v>
      </c>
      <c r="J126" s="3">
        <f t="shared" si="33"/>
        <v>4.5</v>
      </c>
      <c r="K126" s="1">
        <v>23</v>
      </c>
      <c r="N126" s="1">
        <v>17.5</v>
      </c>
      <c r="O126" s="3">
        <v>20.5</v>
      </c>
      <c r="P126" s="2">
        <f t="shared" si="34"/>
        <v>5</v>
      </c>
      <c r="Q126" s="3">
        <f t="shared" si="35"/>
        <v>9</v>
      </c>
      <c r="R126" s="1">
        <v>47.5</v>
      </c>
      <c r="U126" s="1">
        <v>17.5</v>
      </c>
      <c r="V126" s="3">
        <v>10.5</v>
      </c>
      <c r="W126" s="2">
        <f t="shared" si="36"/>
        <v>3.5</v>
      </c>
      <c r="X126" s="3">
        <f t="shared" si="37"/>
        <v>4.5</v>
      </c>
      <c r="Y126" s="1">
        <v>16.5</v>
      </c>
      <c r="AB126" s="1">
        <v>14</v>
      </c>
      <c r="AC126" s="3">
        <v>20</v>
      </c>
      <c r="AD126" s="2">
        <f t="shared" si="38"/>
        <v>4.5</v>
      </c>
      <c r="AE126" s="3">
        <f t="shared" si="39"/>
        <v>7</v>
      </c>
      <c r="AF126" s="1">
        <v>41.5</v>
      </c>
      <c r="AI126" s="1">
        <v>14.5</v>
      </c>
      <c r="AJ126" s="3">
        <v>11.5</v>
      </c>
      <c r="AK126" s="2">
        <f t="shared" si="40"/>
        <v>3.5</v>
      </c>
      <c r="AL126" s="3">
        <f t="shared" si="41"/>
        <v>4.5</v>
      </c>
      <c r="AM126" s="1">
        <v>23</v>
      </c>
      <c r="AN126" s="1">
        <f t="shared" si="31"/>
        <v>31</v>
      </c>
      <c r="AP126" s="1">
        <v>3</v>
      </c>
      <c r="AQ126" s="2">
        <v>3.5</v>
      </c>
      <c r="AR126" s="1">
        <v>2</v>
      </c>
      <c r="AS126" s="2">
        <v>5</v>
      </c>
      <c r="AU126" s="2">
        <v>18</v>
      </c>
      <c r="AV126" s="1">
        <v>27.5</v>
      </c>
      <c r="AX126" s="2">
        <v>7.5</v>
      </c>
      <c r="AY126" s="2">
        <v>5</v>
      </c>
      <c r="AZ126" s="2">
        <v>8</v>
      </c>
      <c r="BA126" s="2">
        <v>5.5</v>
      </c>
      <c r="BC126" t="s">
        <v>234</v>
      </c>
      <c r="BD126" t="s">
        <v>235</v>
      </c>
      <c r="BE126" t="s">
        <v>236</v>
      </c>
      <c r="BF126" t="s">
        <v>263</v>
      </c>
      <c r="BG126" t="s">
        <v>335</v>
      </c>
      <c r="BH126" t="s">
        <v>247</v>
      </c>
      <c r="BJ126" s="2" t="s">
        <v>214</v>
      </c>
      <c r="BK126" s="2" t="s">
        <v>381</v>
      </c>
      <c r="BL126" s="1" t="s">
        <v>221</v>
      </c>
      <c r="BM126" s="1">
        <v>5</v>
      </c>
      <c r="BN126" s="1">
        <v>8.5</v>
      </c>
      <c r="BO126" s="1">
        <v>4</v>
      </c>
      <c r="BP126" s="1">
        <v>6.5</v>
      </c>
      <c r="BQ126" s="1">
        <v>5</v>
      </c>
      <c r="BR126" s="2" t="s">
        <v>223</v>
      </c>
      <c r="BS126" s="2">
        <v>4</v>
      </c>
      <c r="BT126" s="2">
        <v>9</v>
      </c>
      <c r="BU126" s="2">
        <v>4.5</v>
      </c>
      <c r="BV126" s="2">
        <v>7.5</v>
      </c>
      <c r="BW126" s="2">
        <v>4</v>
      </c>
      <c r="BX126" s="3" t="s">
        <v>382</v>
      </c>
      <c r="BY126" s="1" t="s">
        <v>230</v>
      </c>
    </row>
    <row r="127" spans="1:77" x14ac:dyDescent="0.25">
      <c r="A127">
        <v>10</v>
      </c>
      <c r="B127" t="s">
        <v>18</v>
      </c>
      <c r="C127">
        <v>17079</v>
      </c>
      <c r="D127" t="s">
        <v>68</v>
      </c>
      <c r="E127" s="1" t="s">
        <v>13</v>
      </c>
      <c r="G127" s="1">
        <v>33</v>
      </c>
      <c r="H127" s="2">
        <v>29</v>
      </c>
      <c r="I127" s="2">
        <f t="shared" si="32"/>
        <v>8</v>
      </c>
      <c r="J127" s="3">
        <f t="shared" si="33"/>
        <v>7.5</v>
      </c>
      <c r="K127" s="1">
        <v>50</v>
      </c>
      <c r="N127" s="1">
        <v>39</v>
      </c>
      <c r="O127" s="3">
        <v>39</v>
      </c>
      <c r="P127" s="2">
        <f t="shared" si="34"/>
        <v>10</v>
      </c>
      <c r="Q127" s="3">
        <f t="shared" si="35"/>
        <v>10</v>
      </c>
      <c r="R127" s="1">
        <v>78</v>
      </c>
      <c r="U127" s="1">
        <v>34.5</v>
      </c>
      <c r="V127" s="3">
        <v>36.5</v>
      </c>
      <c r="W127" s="2">
        <f t="shared" si="36"/>
        <v>9</v>
      </c>
      <c r="X127" s="3">
        <f t="shared" si="37"/>
        <v>8.5</v>
      </c>
      <c r="Y127" s="1">
        <v>65.5</v>
      </c>
      <c r="AB127" s="1">
        <v>35</v>
      </c>
      <c r="AC127" s="3">
        <v>32.5</v>
      </c>
      <c r="AD127" s="2">
        <f t="shared" si="38"/>
        <v>8.5</v>
      </c>
      <c r="AE127" s="3">
        <f t="shared" si="39"/>
        <v>9.5</v>
      </c>
      <c r="AF127" s="1">
        <v>63.5</v>
      </c>
      <c r="AI127" s="1">
        <v>32</v>
      </c>
      <c r="AJ127" s="3">
        <v>35.5</v>
      </c>
      <c r="AK127" s="2">
        <f t="shared" si="40"/>
        <v>8.5</v>
      </c>
      <c r="AL127" s="3">
        <f t="shared" si="41"/>
        <v>10</v>
      </c>
      <c r="AM127" s="1">
        <v>44</v>
      </c>
      <c r="AN127" s="1">
        <f t="shared" si="31"/>
        <v>62.5</v>
      </c>
      <c r="AP127" s="1">
        <v>22.5</v>
      </c>
      <c r="AQ127" s="2">
        <v>21.5</v>
      </c>
      <c r="AR127" s="1">
        <v>28.5</v>
      </c>
      <c r="AS127" s="2">
        <v>8</v>
      </c>
      <c r="AU127" s="2">
        <v>13.5</v>
      </c>
      <c r="AV127" s="1">
        <v>27.5</v>
      </c>
      <c r="AX127" s="2">
        <v>8</v>
      </c>
      <c r="AY127" s="2">
        <v>10</v>
      </c>
      <c r="AZ127" s="2">
        <v>8</v>
      </c>
      <c r="BA127" s="2" t="s">
        <v>21</v>
      </c>
      <c r="BC127" t="s">
        <v>234</v>
      </c>
      <c r="BD127" t="s">
        <v>235</v>
      </c>
      <c r="BE127" t="s">
        <v>236</v>
      </c>
      <c r="BF127" t="s">
        <v>339</v>
      </c>
      <c r="BG127" t="s">
        <v>335</v>
      </c>
      <c r="BH127" t="s">
        <v>247</v>
      </c>
      <c r="BJ127" s="2" t="s">
        <v>214</v>
      </c>
      <c r="BK127" s="2" t="s">
        <v>381</v>
      </c>
      <c r="BL127" s="1" t="s">
        <v>221</v>
      </c>
      <c r="BM127" s="1">
        <v>7.5</v>
      </c>
      <c r="BN127" s="1">
        <v>10</v>
      </c>
      <c r="BO127" s="1">
        <v>9</v>
      </c>
      <c r="BP127" s="1">
        <v>10</v>
      </c>
      <c r="BQ127" s="1">
        <v>9.5</v>
      </c>
      <c r="BR127" s="2" t="s">
        <v>223</v>
      </c>
      <c r="BS127" s="2">
        <v>7.5</v>
      </c>
      <c r="BT127" s="2">
        <v>10</v>
      </c>
      <c r="BU127" s="2">
        <v>7.5</v>
      </c>
      <c r="BV127" s="2">
        <v>8.5</v>
      </c>
      <c r="BW127" s="2">
        <v>10</v>
      </c>
      <c r="BX127" s="3" t="s">
        <v>382</v>
      </c>
      <c r="BY127" s="1" t="s">
        <v>230</v>
      </c>
    </row>
    <row r="128" spans="1:77" x14ac:dyDescent="0.25">
      <c r="A128">
        <v>11</v>
      </c>
      <c r="B128" t="s">
        <v>18</v>
      </c>
      <c r="C128">
        <v>16486</v>
      </c>
      <c r="D128" t="s">
        <v>73</v>
      </c>
      <c r="E128" s="1" t="s">
        <v>13</v>
      </c>
      <c r="G128" s="1">
        <v>16.5</v>
      </c>
      <c r="H128" s="2">
        <v>16.5</v>
      </c>
      <c r="I128" s="2">
        <f t="shared" si="32"/>
        <v>4.5</v>
      </c>
      <c r="J128" s="3">
        <f t="shared" si="33"/>
        <v>5.5</v>
      </c>
      <c r="K128" s="1" t="s">
        <v>20</v>
      </c>
      <c r="N128" s="1">
        <v>28.5</v>
      </c>
      <c r="O128" s="3">
        <v>30.5</v>
      </c>
      <c r="P128" s="2">
        <f t="shared" si="34"/>
        <v>7.5</v>
      </c>
      <c r="Q128" s="3">
        <f t="shared" si="35"/>
        <v>10</v>
      </c>
      <c r="R128" s="1">
        <v>68.5</v>
      </c>
      <c r="U128" s="1">
        <v>25.5</v>
      </c>
      <c r="V128" s="3">
        <v>20</v>
      </c>
      <c r="W128" s="2">
        <f t="shared" si="36"/>
        <v>6</v>
      </c>
      <c r="X128" s="3">
        <f t="shared" si="37"/>
        <v>5.5</v>
      </c>
      <c r="Y128" s="1">
        <v>46</v>
      </c>
      <c r="AB128" s="1">
        <v>13.5</v>
      </c>
      <c r="AC128" s="3">
        <v>21.5</v>
      </c>
      <c r="AD128" s="2">
        <f t="shared" si="38"/>
        <v>4.5</v>
      </c>
      <c r="AE128" s="3">
        <f t="shared" si="39"/>
        <v>8</v>
      </c>
      <c r="AF128" s="1" t="s">
        <v>21</v>
      </c>
      <c r="AI128" s="1">
        <v>21</v>
      </c>
      <c r="AJ128" s="3">
        <v>17.5</v>
      </c>
      <c r="AK128" s="2">
        <f t="shared" si="40"/>
        <v>5</v>
      </c>
      <c r="AL128" s="3">
        <f t="shared" si="41"/>
        <v>3.5</v>
      </c>
      <c r="AM128" s="1" t="s">
        <v>21</v>
      </c>
      <c r="AN128" s="1" t="e">
        <f t="shared" si="31"/>
        <v>#VALUE!</v>
      </c>
      <c r="AP128" s="1">
        <v>12.5</v>
      </c>
      <c r="AQ128" s="2">
        <v>16</v>
      </c>
      <c r="AR128" s="1">
        <v>18.5</v>
      </c>
      <c r="AS128" s="2">
        <v>3</v>
      </c>
      <c r="AU128" s="2">
        <v>18.5</v>
      </c>
      <c r="AV128" s="1">
        <v>33.5</v>
      </c>
      <c r="AX128" s="2">
        <v>7.5</v>
      </c>
      <c r="AY128" s="2">
        <v>10</v>
      </c>
      <c r="AZ128" s="2">
        <v>8</v>
      </c>
      <c r="BA128" s="2">
        <v>9</v>
      </c>
      <c r="BC128" t="s">
        <v>234</v>
      </c>
      <c r="BD128" t="s">
        <v>235</v>
      </c>
      <c r="BE128" t="s">
        <v>236</v>
      </c>
      <c r="BG128" t="s">
        <v>335</v>
      </c>
      <c r="BH128" t="s">
        <v>248</v>
      </c>
      <c r="BJ128" s="2" t="s">
        <v>214</v>
      </c>
      <c r="BK128" s="2" t="s">
        <v>381</v>
      </c>
      <c r="BL128" s="1" t="s">
        <v>221</v>
      </c>
      <c r="BM128" s="1">
        <v>6.5</v>
      </c>
      <c r="BN128" s="1">
        <v>10</v>
      </c>
      <c r="BO128" s="1">
        <v>5</v>
      </c>
      <c r="BP128" s="1">
        <v>10</v>
      </c>
      <c r="BQ128" s="1">
        <v>6.5</v>
      </c>
      <c r="BR128" s="2" t="s">
        <v>223</v>
      </c>
      <c r="BS128" s="2">
        <v>4</v>
      </c>
      <c r="BT128" s="2">
        <v>10</v>
      </c>
      <c r="BU128" s="2">
        <v>5.5</v>
      </c>
      <c r="BV128" s="2">
        <v>6</v>
      </c>
      <c r="BW128" s="2" t="s">
        <v>21</v>
      </c>
      <c r="BX128" s="3" t="s">
        <v>382</v>
      </c>
      <c r="BY128" s="1" t="s">
        <v>230</v>
      </c>
    </row>
    <row r="129" spans="1:77" x14ac:dyDescent="0.25">
      <c r="A129">
        <v>12</v>
      </c>
      <c r="B129" t="s">
        <v>18</v>
      </c>
      <c r="C129">
        <v>16445</v>
      </c>
      <c r="D129" t="s">
        <v>78</v>
      </c>
      <c r="E129" s="1" t="s">
        <v>13</v>
      </c>
      <c r="G129" s="1">
        <v>11.5</v>
      </c>
      <c r="H129" s="2">
        <v>5</v>
      </c>
      <c r="I129" s="2">
        <f t="shared" si="32"/>
        <v>2.5</v>
      </c>
      <c r="J129" s="3">
        <f t="shared" si="33"/>
        <v>4.5</v>
      </c>
      <c r="K129" s="1" t="s">
        <v>20</v>
      </c>
      <c r="N129" s="1">
        <v>16</v>
      </c>
      <c r="O129" s="3">
        <v>34.5</v>
      </c>
      <c r="P129" s="2">
        <f t="shared" si="34"/>
        <v>6.5</v>
      </c>
      <c r="Q129" s="3">
        <f t="shared" si="35"/>
        <v>4.5</v>
      </c>
      <c r="R129" s="1">
        <v>59.5</v>
      </c>
      <c r="U129" s="1">
        <v>14.5</v>
      </c>
      <c r="V129" s="3">
        <v>10.5</v>
      </c>
      <c r="W129" s="2">
        <f t="shared" si="36"/>
        <v>3.5</v>
      </c>
      <c r="X129" s="3">
        <f t="shared" si="37"/>
        <v>1.5</v>
      </c>
      <c r="Y129" s="1">
        <v>17</v>
      </c>
      <c r="AB129" s="1">
        <v>3.5</v>
      </c>
      <c r="AC129" s="3">
        <v>6.5</v>
      </c>
      <c r="AD129" s="2">
        <f t="shared" si="38"/>
        <v>1.5</v>
      </c>
      <c r="AE129" s="3">
        <f t="shared" si="39"/>
        <v>4.5</v>
      </c>
      <c r="AF129" s="1">
        <v>22.5</v>
      </c>
      <c r="AI129" s="1">
        <v>7</v>
      </c>
      <c r="AJ129" s="3">
        <v>9</v>
      </c>
      <c r="AK129" s="2">
        <f t="shared" si="40"/>
        <v>2</v>
      </c>
      <c r="AL129" s="3">
        <f t="shared" si="41"/>
        <v>5.5</v>
      </c>
      <c r="AM129" s="1" t="s">
        <v>21</v>
      </c>
      <c r="AN129" s="1" t="e">
        <f t="shared" si="31"/>
        <v>#VALUE!</v>
      </c>
      <c r="AP129" s="1">
        <v>9.5</v>
      </c>
      <c r="AQ129" s="2">
        <v>10</v>
      </c>
      <c r="AR129" s="1" t="s">
        <v>20</v>
      </c>
      <c r="AS129" s="2">
        <v>4</v>
      </c>
      <c r="AU129" s="2">
        <v>9.5</v>
      </c>
      <c r="AV129" s="1" t="s">
        <v>21</v>
      </c>
      <c r="AX129" s="2">
        <v>7</v>
      </c>
      <c r="AY129" s="2">
        <v>10</v>
      </c>
      <c r="AZ129" s="2">
        <v>7</v>
      </c>
      <c r="BA129" s="2">
        <v>1</v>
      </c>
      <c r="BC129" t="s">
        <v>234</v>
      </c>
      <c r="BD129" t="s">
        <v>235</v>
      </c>
      <c r="BE129" t="s">
        <v>236</v>
      </c>
      <c r="BG129" t="s">
        <v>335</v>
      </c>
      <c r="BH129" t="s">
        <v>239</v>
      </c>
      <c r="BJ129" s="2" t="s">
        <v>214</v>
      </c>
      <c r="BK129" s="2" t="s">
        <v>381</v>
      </c>
      <c r="BL129" s="1" t="s">
        <v>221</v>
      </c>
      <c r="BM129" s="1">
        <v>5</v>
      </c>
      <c r="BN129" s="1">
        <v>9</v>
      </c>
      <c r="BO129" s="1">
        <v>2</v>
      </c>
      <c r="BP129" s="1">
        <v>5.5</v>
      </c>
      <c r="BQ129" s="1">
        <v>6</v>
      </c>
      <c r="BR129" s="2" t="s">
        <v>223</v>
      </c>
      <c r="BS129" s="2">
        <v>3.5</v>
      </c>
      <c r="BT129" s="2" t="s">
        <v>20</v>
      </c>
      <c r="BU129" s="2">
        <v>0.5</v>
      </c>
      <c r="BV129" s="2">
        <v>3.5</v>
      </c>
      <c r="BW129" s="2">
        <v>5</v>
      </c>
      <c r="BX129" s="3" t="s">
        <v>382</v>
      </c>
      <c r="BY129" s="1" t="s">
        <v>230</v>
      </c>
    </row>
    <row r="130" spans="1:77" x14ac:dyDescent="0.25">
      <c r="A130">
        <v>13</v>
      </c>
      <c r="B130" t="s">
        <v>18</v>
      </c>
      <c r="C130">
        <v>16487</v>
      </c>
      <c r="D130" t="s">
        <v>83</v>
      </c>
      <c r="E130" s="1" t="s">
        <v>13</v>
      </c>
      <c r="G130" s="1">
        <v>16</v>
      </c>
      <c r="H130" s="2">
        <v>15.5</v>
      </c>
      <c r="I130" s="2">
        <f t="shared" ref="I130:I161" si="42">CEILING((N(G130)+N(H130))/80*10,0.5)</f>
        <v>4</v>
      </c>
      <c r="J130" s="3">
        <f t="shared" ref="J130:J161" si="43">CEILING((N(BM130)+N(BS130))/2,0.5)</f>
        <v>4</v>
      </c>
      <c r="K130" s="1" t="s">
        <v>20</v>
      </c>
      <c r="N130" s="1">
        <v>21.5</v>
      </c>
      <c r="O130" s="3">
        <v>34.5</v>
      </c>
      <c r="P130" s="2">
        <f t="shared" ref="P130:P161" si="44">CEILING((N(N130)+N(O130))/80*10,0.5)</f>
        <v>7</v>
      </c>
      <c r="Q130" s="3">
        <f t="shared" ref="Q130:Q161" si="45">CEILING((N(BN130)+N(BT130))/2,0.5)</f>
        <v>8.5</v>
      </c>
      <c r="R130" s="1">
        <v>52.5</v>
      </c>
      <c r="U130" s="1">
        <v>22.5</v>
      </c>
      <c r="V130" s="3">
        <v>27.5</v>
      </c>
      <c r="W130" s="2">
        <f t="shared" ref="W130:W161" si="46">CEILING((N(U130)+N(V130))/80*10,0.5)</f>
        <v>6.5</v>
      </c>
      <c r="X130" s="3">
        <f t="shared" ref="X130:X161" si="47">CEILING((N(BO130)+N(BU130))/2,0.5)</f>
        <v>5.5</v>
      </c>
      <c r="Y130" s="1">
        <v>44</v>
      </c>
      <c r="AB130" s="1">
        <v>15</v>
      </c>
      <c r="AC130" s="3">
        <v>19</v>
      </c>
      <c r="AD130" s="2">
        <f t="shared" ref="AD130:AD161" si="48">CEILING((N(AB130)+N(AC130))/80*10,0.5)</f>
        <v>4.5</v>
      </c>
      <c r="AE130" s="3">
        <f t="shared" ref="AE130:AE161" si="49">CEILING((N(BP130)+N(BV130))/2,0.5)</f>
        <v>7.5</v>
      </c>
      <c r="AF130" s="1">
        <v>45</v>
      </c>
      <c r="AI130" s="1">
        <v>17.5</v>
      </c>
      <c r="AJ130" s="3">
        <v>18</v>
      </c>
      <c r="AK130" s="2">
        <f t="shared" ref="AK130:AK161" si="50">CEILING((N(AI130)+N(AJ130))/80*10,0.5)</f>
        <v>4.5</v>
      </c>
      <c r="AL130" s="3">
        <f t="shared" ref="AL130:AL161" si="51">CEILING((N(BQ130)+N(BW130))/2,0.5)</f>
        <v>6</v>
      </c>
      <c r="AM130" s="1" t="s">
        <v>21</v>
      </c>
      <c r="AN130" s="1" t="e">
        <f t="shared" si="31"/>
        <v>#VALUE!</v>
      </c>
      <c r="AP130" s="1">
        <v>6</v>
      </c>
      <c r="AQ130" s="2">
        <v>10</v>
      </c>
      <c r="AR130" s="1">
        <v>21</v>
      </c>
      <c r="AS130" s="2">
        <v>7</v>
      </c>
      <c r="AU130" s="2">
        <v>14.5</v>
      </c>
      <c r="AV130" s="1">
        <v>30</v>
      </c>
      <c r="AX130" s="2">
        <v>6</v>
      </c>
      <c r="AY130" s="2">
        <v>10</v>
      </c>
      <c r="AZ130" s="2">
        <v>8</v>
      </c>
      <c r="BA130" s="2">
        <v>6</v>
      </c>
      <c r="BC130" t="s">
        <v>234</v>
      </c>
      <c r="BD130" t="s">
        <v>235</v>
      </c>
      <c r="BE130" t="s">
        <v>236</v>
      </c>
      <c r="BG130" t="s">
        <v>335</v>
      </c>
      <c r="BH130" t="s">
        <v>242</v>
      </c>
      <c r="BJ130" s="2" t="s">
        <v>214</v>
      </c>
      <c r="BK130" s="2" t="s">
        <v>381</v>
      </c>
      <c r="BL130" s="1" t="s">
        <v>221</v>
      </c>
      <c r="BM130" s="1">
        <v>4.5</v>
      </c>
      <c r="BN130" s="1">
        <v>9.5</v>
      </c>
      <c r="BO130" s="1">
        <v>5.5</v>
      </c>
      <c r="BP130" s="1">
        <v>9.5</v>
      </c>
      <c r="BQ130" s="1">
        <v>8</v>
      </c>
      <c r="BR130" s="2" t="s">
        <v>223</v>
      </c>
      <c r="BS130" s="2">
        <v>3.5</v>
      </c>
      <c r="BT130" s="2">
        <v>7</v>
      </c>
      <c r="BU130" s="2">
        <v>5</v>
      </c>
      <c r="BV130" s="2">
        <v>5.5</v>
      </c>
      <c r="BW130" s="2">
        <v>4</v>
      </c>
      <c r="BX130" s="3" t="s">
        <v>382</v>
      </c>
      <c r="BY130" s="1" t="s">
        <v>230</v>
      </c>
    </row>
    <row r="131" spans="1:77" x14ac:dyDescent="0.25">
      <c r="A131">
        <v>14</v>
      </c>
      <c r="B131" t="s">
        <v>18</v>
      </c>
      <c r="C131">
        <v>16514</v>
      </c>
      <c r="D131" t="s">
        <v>88</v>
      </c>
      <c r="E131" s="1" t="s">
        <v>13</v>
      </c>
      <c r="G131" s="1">
        <v>17</v>
      </c>
      <c r="H131" s="2">
        <v>22</v>
      </c>
      <c r="I131" s="2">
        <f t="shared" si="42"/>
        <v>5</v>
      </c>
      <c r="J131" s="3">
        <f t="shared" si="43"/>
        <v>7.5</v>
      </c>
      <c r="K131" s="1">
        <v>39.5</v>
      </c>
      <c r="N131" s="1">
        <v>21</v>
      </c>
      <c r="O131" s="3">
        <v>24</v>
      </c>
      <c r="P131" s="2">
        <f t="shared" si="44"/>
        <v>6</v>
      </c>
      <c r="Q131" s="3">
        <f t="shared" si="45"/>
        <v>9.5</v>
      </c>
      <c r="R131" s="1">
        <v>44</v>
      </c>
      <c r="U131" s="1">
        <v>25</v>
      </c>
      <c r="V131" s="3">
        <v>23.5</v>
      </c>
      <c r="W131" s="2">
        <f t="shared" si="46"/>
        <v>6.5</v>
      </c>
      <c r="X131" s="3">
        <f t="shared" si="47"/>
        <v>1</v>
      </c>
      <c r="Y131" s="1">
        <v>44.5</v>
      </c>
      <c r="AB131" s="1">
        <v>21.5</v>
      </c>
      <c r="AC131" s="3">
        <v>16</v>
      </c>
      <c r="AD131" s="2">
        <f t="shared" si="48"/>
        <v>5</v>
      </c>
      <c r="AE131" s="3">
        <f t="shared" si="49"/>
        <v>8.5</v>
      </c>
      <c r="AF131" s="1">
        <v>47</v>
      </c>
      <c r="AI131" s="1">
        <v>25</v>
      </c>
      <c r="AJ131" s="3">
        <v>15.5</v>
      </c>
      <c r="AK131" s="2">
        <f t="shared" si="50"/>
        <v>5.5</v>
      </c>
      <c r="AL131" s="3">
        <f t="shared" si="51"/>
        <v>7</v>
      </c>
      <c r="AM131" s="1">
        <v>40</v>
      </c>
      <c r="AN131" s="1">
        <f t="shared" ref="AN131:AN194" si="52">AK131+AL131+AM131</f>
        <v>52.5</v>
      </c>
      <c r="AP131" s="1">
        <v>10</v>
      </c>
      <c r="AQ131" s="2">
        <v>8</v>
      </c>
      <c r="AR131" s="1">
        <v>13.5</v>
      </c>
      <c r="AS131" s="2">
        <v>5</v>
      </c>
      <c r="AU131" s="2">
        <v>17.5</v>
      </c>
      <c r="AV131" s="1">
        <v>24</v>
      </c>
      <c r="AX131" s="2">
        <v>7</v>
      </c>
      <c r="AY131" s="2">
        <v>7</v>
      </c>
      <c r="AZ131" s="2">
        <v>8</v>
      </c>
      <c r="BA131" s="2">
        <v>7</v>
      </c>
      <c r="BC131" t="s">
        <v>234</v>
      </c>
      <c r="BD131" t="s">
        <v>235</v>
      </c>
      <c r="BE131" t="s">
        <v>236</v>
      </c>
      <c r="BG131" t="s">
        <v>335</v>
      </c>
      <c r="BH131" t="s">
        <v>241</v>
      </c>
      <c r="BJ131" s="2" t="s">
        <v>214</v>
      </c>
      <c r="BK131" s="2" t="s">
        <v>381</v>
      </c>
      <c r="BL131" s="1" t="s">
        <v>221</v>
      </c>
      <c r="BM131" s="1">
        <v>7</v>
      </c>
      <c r="BN131" s="1">
        <v>8.5</v>
      </c>
      <c r="BO131" s="1">
        <v>2</v>
      </c>
      <c r="BP131" s="1">
        <v>10</v>
      </c>
      <c r="BQ131" s="1">
        <v>7.5</v>
      </c>
      <c r="BR131" s="2" t="s">
        <v>223</v>
      </c>
      <c r="BS131" s="2">
        <v>7.5</v>
      </c>
      <c r="BT131" s="2">
        <v>10</v>
      </c>
      <c r="BU131" s="2" t="s">
        <v>21</v>
      </c>
      <c r="BV131" s="2">
        <v>6.5</v>
      </c>
      <c r="BW131" s="2">
        <v>6.5</v>
      </c>
      <c r="BX131" s="3" t="s">
        <v>382</v>
      </c>
      <c r="BY131" s="1" t="s">
        <v>230</v>
      </c>
    </row>
    <row r="132" spans="1:77" x14ac:dyDescent="0.25">
      <c r="A132">
        <v>15</v>
      </c>
      <c r="B132" t="s">
        <v>18</v>
      </c>
      <c r="C132">
        <v>16536</v>
      </c>
      <c r="D132" t="s">
        <v>93</v>
      </c>
      <c r="E132" s="1" t="s">
        <v>13</v>
      </c>
      <c r="G132" s="1">
        <v>32</v>
      </c>
      <c r="H132" s="2">
        <v>31</v>
      </c>
      <c r="I132" s="2">
        <f t="shared" si="42"/>
        <v>8</v>
      </c>
      <c r="J132" s="3">
        <f t="shared" si="43"/>
        <v>8</v>
      </c>
      <c r="K132" s="1" t="s">
        <v>20</v>
      </c>
      <c r="N132" s="1">
        <v>35.5</v>
      </c>
      <c r="O132" s="3">
        <v>37</v>
      </c>
      <c r="P132" s="2">
        <f t="shared" si="44"/>
        <v>9.5</v>
      </c>
      <c r="Q132" s="3">
        <f t="shared" si="45"/>
        <v>10</v>
      </c>
      <c r="R132" s="1">
        <v>76.5</v>
      </c>
      <c r="U132" s="1">
        <v>36.5</v>
      </c>
      <c r="V132" s="3">
        <v>30.5</v>
      </c>
      <c r="W132" s="2">
        <f t="shared" si="46"/>
        <v>8.5</v>
      </c>
      <c r="X132" s="3">
        <f t="shared" si="47"/>
        <v>7.5</v>
      </c>
      <c r="Y132" s="1">
        <v>51.5</v>
      </c>
      <c r="AB132" s="1">
        <v>32.5</v>
      </c>
      <c r="AC132" s="3">
        <v>31</v>
      </c>
      <c r="AD132" s="2">
        <f t="shared" si="48"/>
        <v>8</v>
      </c>
      <c r="AE132" s="3">
        <f t="shared" si="49"/>
        <v>9</v>
      </c>
      <c r="AF132" s="1">
        <v>58</v>
      </c>
      <c r="AI132" s="1">
        <v>30.5</v>
      </c>
      <c r="AJ132" s="3">
        <v>13.5</v>
      </c>
      <c r="AK132" s="2">
        <f t="shared" si="50"/>
        <v>5.5</v>
      </c>
      <c r="AL132" s="3">
        <f t="shared" si="51"/>
        <v>8</v>
      </c>
      <c r="AM132" s="1" t="s">
        <v>21</v>
      </c>
      <c r="AN132" s="1" t="e">
        <f t="shared" si="52"/>
        <v>#VALUE!</v>
      </c>
      <c r="AP132" s="1">
        <v>17</v>
      </c>
      <c r="AQ132" s="2">
        <v>17</v>
      </c>
      <c r="AR132" s="1">
        <v>22.5</v>
      </c>
      <c r="AS132" s="2">
        <v>4</v>
      </c>
      <c r="AU132" s="2">
        <v>17.5</v>
      </c>
      <c r="AV132" s="1">
        <v>31.5</v>
      </c>
      <c r="AX132" s="2">
        <v>9</v>
      </c>
      <c r="AY132" s="2">
        <v>10</v>
      </c>
      <c r="AZ132" s="2">
        <v>8</v>
      </c>
      <c r="BA132" s="2">
        <v>10</v>
      </c>
      <c r="BC132" t="s">
        <v>234</v>
      </c>
      <c r="BD132" t="s">
        <v>235</v>
      </c>
      <c r="BE132" t="s">
        <v>236</v>
      </c>
      <c r="BG132" t="s">
        <v>335</v>
      </c>
      <c r="BH132" t="s">
        <v>241</v>
      </c>
      <c r="BJ132" s="2" t="s">
        <v>214</v>
      </c>
      <c r="BK132" s="2" t="s">
        <v>381</v>
      </c>
      <c r="BL132" s="1" t="s">
        <v>221</v>
      </c>
      <c r="BM132" s="1">
        <v>6.5</v>
      </c>
      <c r="BN132" s="1">
        <v>10</v>
      </c>
      <c r="BO132" s="1">
        <v>8</v>
      </c>
      <c r="BP132" s="1">
        <v>10</v>
      </c>
      <c r="BQ132" s="1">
        <v>7</v>
      </c>
      <c r="BR132" s="2" t="s">
        <v>223</v>
      </c>
      <c r="BS132" s="2">
        <v>9</v>
      </c>
      <c r="BT132" s="2">
        <v>10</v>
      </c>
      <c r="BU132" s="2">
        <v>7</v>
      </c>
      <c r="BV132" s="2">
        <v>8</v>
      </c>
      <c r="BW132" s="2">
        <v>9</v>
      </c>
      <c r="BX132" s="3" t="s">
        <v>382</v>
      </c>
      <c r="BY132" s="1" t="s">
        <v>230</v>
      </c>
    </row>
    <row r="133" spans="1:77" x14ac:dyDescent="0.25">
      <c r="A133">
        <v>16</v>
      </c>
      <c r="B133" t="s">
        <v>18</v>
      </c>
      <c r="C133">
        <v>16488</v>
      </c>
      <c r="D133" t="s">
        <v>98</v>
      </c>
      <c r="E133" s="1" t="s">
        <v>13</v>
      </c>
      <c r="G133" s="1">
        <v>32.5</v>
      </c>
      <c r="H133" s="2">
        <v>24.5</v>
      </c>
      <c r="I133" s="2">
        <f t="shared" si="42"/>
        <v>7.5</v>
      </c>
      <c r="J133" s="3">
        <f t="shared" si="43"/>
        <v>7</v>
      </c>
      <c r="K133" s="1" t="s">
        <v>20</v>
      </c>
      <c r="N133" s="1">
        <v>34</v>
      </c>
      <c r="O133" s="3">
        <v>33</v>
      </c>
      <c r="P133" s="2">
        <f t="shared" si="44"/>
        <v>8.5</v>
      </c>
      <c r="Q133" s="3">
        <f t="shared" si="45"/>
        <v>10</v>
      </c>
      <c r="R133" s="1">
        <v>63.5</v>
      </c>
      <c r="U133" s="1">
        <v>36.5</v>
      </c>
      <c r="V133" s="3">
        <v>25.5</v>
      </c>
      <c r="W133" s="2">
        <f t="shared" si="46"/>
        <v>8</v>
      </c>
      <c r="X133" s="3">
        <f t="shared" si="47"/>
        <v>6.5</v>
      </c>
      <c r="Y133" s="1" t="s">
        <v>21</v>
      </c>
      <c r="AB133" s="1">
        <v>37.5</v>
      </c>
      <c r="AC133" s="3">
        <v>30</v>
      </c>
      <c r="AD133" s="2">
        <f t="shared" si="48"/>
        <v>8.5</v>
      </c>
      <c r="AE133" s="3">
        <f t="shared" si="49"/>
        <v>9</v>
      </c>
      <c r="AF133" s="1" t="s">
        <v>21</v>
      </c>
      <c r="AI133" s="1">
        <v>36</v>
      </c>
      <c r="AJ133" s="3">
        <v>26</v>
      </c>
      <c r="AK133" s="2">
        <f t="shared" si="50"/>
        <v>8</v>
      </c>
      <c r="AL133" s="3">
        <f t="shared" si="51"/>
        <v>7.5</v>
      </c>
      <c r="AM133" s="1" t="s">
        <v>21</v>
      </c>
      <c r="AN133" s="1" t="e">
        <f t="shared" si="52"/>
        <v>#VALUE!</v>
      </c>
      <c r="AP133" s="1">
        <v>19</v>
      </c>
      <c r="AQ133" s="2">
        <v>16.5</v>
      </c>
      <c r="AR133" s="1">
        <v>21.5</v>
      </c>
      <c r="AS133" s="2">
        <v>6</v>
      </c>
      <c r="AU133" s="2">
        <v>20</v>
      </c>
      <c r="AV133" s="1">
        <v>33.5</v>
      </c>
      <c r="AX133" s="2">
        <v>7.5</v>
      </c>
      <c r="AY133" s="2">
        <v>10</v>
      </c>
      <c r="AZ133" s="2">
        <v>8</v>
      </c>
      <c r="BA133" s="2">
        <v>9</v>
      </c>
      <c r="BC133" t="s">
        <v>234</v>
      </c>
      <c r="BD133" t="s">
        <v>235</v>
      </c>
      <c r="BE133" t="s">
        <v>236</v>
      </c>
      <c r="BF133" t="s">
        <v>340</v>
      </c>
      <c r="BG133" t="s">
        <v>335</v>
      </c>
      <c r="BH133" t="s">
        <v>318</v>
      </c>
      <c r="BJ133" s="2" t="s">
        <v>214</v>
      </c>
      <c r="BK133" s="2" t="s">
        <v>381</v>
      </c>
      <c r="BL133" s="1" t="s">
        <v>221</v>
      </c>
      <c r="BM133" s="1">
        <v>6.5</v>
      </c>
      <c r="BN133" s="1">
        <v>10</v>
      </c>
      <c r="BO133" s="1">
        <v>7</v>
      </c>
      <c r="BP133" s="1">
        <v>10</v>
      </c>
      <c r="BQ133" s="1">
        <v>9.5</v>
      </c>
      <c r="BR133" s="2" t="s">
        <v>223</v>
      </c>
      <c r="BS133" s="2">
        <v>7.5</v>
      </c>
      <c r="BT133" s="2">
        <v>10</v>
      </c>
      <c r="BU133" s="2">
        <v>5.5</v>
      </c>
      <c r="BV133" s="2">
        <v>8</v>
      </c>
      <c r="BW133" s="2">
        <v>5</v>
      </c>
      <c r="BX133" s="3" t="s">
        <v>382</v>
      </c>
      <c r="BY133" s="1" t="s">
        <v>230</v>
      </c>
    </row>
    <row r="134" spans="1:77" x14ac:dyDescent="0.25">
      <c r="A134">
        <v>17</v>
      </c>
      <c r="B134" t="s">
        <v>18</v>
      </c>
      <c r="C134">
        <v>16449</v>
      </c>
      <c r="D134" t="s">
        <v>103</v>
      </c>
      <c r="E134" s="1" t="s">
        <v>13</v>
      </c>
      <c r="G134" s="1">
        <v>17</v>
      </c>
      <c r="H134" s="2">
        <v>9.5</v>
      </c>
      <c r="I134" s="2">
        <f t="shared" si="42"/>
        <v>3.5</v>
      </c>
      <c r="J134" s="3">
        <f t="shared" si="43"/>
        <v>5</v>
      </c>
      <c r="K134" s="1">
        <v>20</v>
      </c>
      <c r="N134" s="1">
        <v>27.5</v>
      </c>
      <c r="O134" s="3">
        <v>23</v>
      </c>
      <c r="P134" s="2">
        <f t="shared" si="44"/>
        <v>6.5</v>
      </c>
      <c r="Q134" s="3">
        <f t="shared" si="45"/>
        <v>9</v>
      </c>
      <c r="R134" s="1">
        <v>60</v>
      </c>
      <c r="U134" s="1">
        <v>18.5</v>
      </c>
      <c r="V134" s="3">
        <v>16.5</v>
      </c>
      <c r="W134" s="2">
        <f t="shared" si="46"/>
        <v>4.5</v>
      </c>
      <c r="X134" s="3">
        <f t="shared" si="47"/>
        <v>4.5</v>
      </c>
      <c r="Y134" s="1">
        <v>32</v>
      </c>
      <c r="AB134" s="1">
        <v>20</v>
      </c>
      <c r="AC134" s="3">
        <v>11</v>
      </c>
      <c r="AD134" s="2">
        <f t="shared" si="48"/>
        <v>4</v>
      </c>
      <c r="AE134" s="3">
        <f t="shared" si="49"/>
        <v>6.5</v>
      </c>
      <c r="AF134" s="1">
        <v>32</v>
      </c>
      <c r="AI134" s="1">
        <v>16</v>
      </c>
      <c r="AJ134" s="3">
        <v>22</v>
      </c>
      <c r="AK134" s="2">
        <f t="shared" si="50"/>
        <v>5</v>
      </c>
      <c r="AL134" s="3">
        <f t="shared" si="51"/>
        <v>2.5</v>
      </c>
      <c r="AM134" s="1">
        <v>31.5</v>
      </c>
      <c r="AN134" s="1">
        <f t="shared" si="52"/>
        <v>39</v>
      </c>
      <c r="AP134" s="1">
        <v>9.5</v>
      </c>
      <c r="AQ134" s="2">
        <v>10.5</v>
      </c>
      <c r="AR134" s="1">
        <v>12</v>
      </c>
      <c r="AS134" s="2">
        <v>8</v>
      </c>
      <c r="AU134" s="2">
        <v>11.5</v>
      </c>
      <c r="AV134" s="1">
        <v>24</v>
      </c>
      <c r="AX134" s="2">
        <v>6</v>
      </c>
      <c r="AY134" s="2">
        <v>10</v>
      </c>
      <c r="AZ134" s="2">
        <v>8</v>
      </c>
      <c r="BA134" s="2">
        <v>5.5</v>
      </c>
      <c r="BC134" t="s">
        <v>234</v>
      </c>
      <c r="BD134" t="s">
        <v>235</v>
      </c>
      <c r="BE134" t="s">
        <v>236</v>
      </c>
      <c r="BG134" t="s">
        <v>341</v>
      </c>
      <c r="BH134" t="s">
        <v>237</v>
      </c>
      <c r="BJ134" s="2" t="s">
        <v>214</v>
      </c>
      <c r="BK134" s="2" t="s">
        <v>381</v>
      </c>
      <c r="BL134" s="1" t="s">
        <v>221</v>
      </c>
      <c r="BM134" s="1">
        <v>5</v>
      </c>
      <c r="BN134" s="1">
        <v>8.5</v>
      </c>
      <c r="BO134" s="1">
        <v>4</v>
      </c>
      <c r="BP134" s="1">
        <v>6.5</v>
      </c>
      <c r="BQ134" s="1">
        <v>2</v>
      </c>
      <c r="BR134" s="2" t="s">
        <v>223</v>
      </c>
      <c r="BS134" s="2">
        <v>5</v>
      </c>
      <c r="BT134" s="2">
        <v>9</v>
      </c>
      <c r="BU134" s="2">
        <v>4.5</v>
      </c>
      <c r="BV134" s="2">
        <v>6</v>
      </c>
      <c r="BW134" s="2">
        <v>3</v>
      </c>
      <c r="BX134" s="3" t="s">
        <v>382</v>
      </c>
      <c r="BY134" s="1" t="s">
        <v>230</v>
      </c>
    </row>
    <row r="135" spans="1:77" x14ac:dyDescent="0.25">
      <c r="A135">
        <v>18</v>
      </c>
      <c r="B135" t="s">
        <v>18</v>
      </c>
      <c r="C135">
        <v>16606</v>
      </c>
      <c r="D135" t="s">
        <v>108</v>
      </c>
      <c r="E135" s="1" t="s">
        <v>13</v>
      </c>
      <c r="G135" s="1">
        <v>3</v>
      </c>
      <c r="H135" s="2">
        <v>3.5</v>
      </c>
      <c r="I135" s="2">
        <f t="shared" si="42"/>
        <v>1</v>
      </c>
      <c r="J135" s="3">
        <f t="shared" si="43"/>
        <v>2</v>
      </c>
      <c r="K135" s="1">
        <v>5</v>
      </c>
      <c r="N135" s="1">
        <v>7</v>
      </c>
      <c r="O135" s="3">
        <v>4</v>
      </c>
      <c r="P135" s="2">
        <f t="shared" si="44"/>
        <v>1.5</v>
      </c>
      <c r="Q135" s="3">
        <f t="shared" si="45"/>
        <v>7.5</v>
      </c>
      <c r="R135" s="1">
        <v>22</v>
      </c>
      <c r="U135" s="1">
        <v>7</v>
      </c>
      <c r="V135" s="3">
        <v>9.5</v>
      </c>
      <c r="W135" s="2">
        <f t="shared" si="46"/>
        <v>2.5</v>
      </c>
      <c r="X135" s="3">
        <f t="shared" si="47"/>
        <v>2</v>
      </c>
      <c r="Y135" s="1">
        <v>5</v>
      </c>
      <c r="AB135" s="1">
        <v>2</v>
      </c>
      <c r="AC135" s="3">
        <v>1</v>
      </c>
      <c r="AD135" s="2">
        <f t="shared" si="48"/>
        <v>0.5</v>
      </c>
      <c r="AE135" s="3">
        <f t="shared" si="49"/>
        <v>6</v>
      </c>
      <c r="AF135" s="1">
        <v>4.5</v>
      </c>
      <c r="AI135" s="1">
        <v>1</v>
      </c>
      <c r="AJ135" s="3">
        <v>2</v>
      </c>
      <c r="AK135" s="2">
        <f t="shared" si="50"/>
        <v>0.5</v>
      </c>
      <c r="AL135" s="3">
        <f t="shared" si="51"/>
        <v>0.5</v>
      </c>
      <c r="AM135" s="1">
        <v>3</v>
      </c>
      <c r="AN135" s="1">
        <f t="shared" si="52"/>
        <v>4</v>
      </c>
      <c r="AP135" s="1">
        <v>2</v>
      </c>
      <c r="AQ135" s="2">
        <v>5.5</v>
      </c>
      <c r="AR135" s="1">
        <v>3</v>
      </c>
      <c r="AS135" s="2">
        <v>4</v>
      </c>
      <c r="AU135" s="2">
        <v>9</v>
      </c>
      <c r="AV135" s="1">
        <v>19</v>
      </c>
      <c r="AX135" s="2">
        <v>3</v>
      </c>
      <c r="AY135" s="2">
        <v>5</v>
      </c>
      <c r="AZ135" s="2">
        <v>6</v>
      </c>
      <c r="BA135" s="2">
        <v>0</v>
      </c>
      <c r="BC135" t="s">
        <v>234</v>
      </c>
      <c r="BD135" t="s">
        <v>235</v>
      </c>
      <c r="BE135" t="s">
        <v>236</v>
      </c>
      <c r="BG135" t="s">
        <v>335</v>
      </c>
      <c r="BH135" t="s">
        <v>241</v>
      </c>
      <c r="BJ135" s="2" t="s">
        <v>214</v>
      </c>
      <c r="BK135" s="2" t="s">
        <v>381</v>
      </c>
      <c r="BL135" s="1" t="s">
        <v>221</v>
      </c>
      <c r="BM135" s="1">
        <v>1.5</v>
      </c>
      <c r="BN135" s="1">
        <v>5</v>
      </c>
      <c r="BO135" s="1">
        <v>1</v>
      </c>
      <c r="BP135" s="1">
        <v>6.5</v>
      </c>
      <c r="BQ135" s="1">
        <v>0.5</v>
      </c>
      <c r="BR135" s="2" t="s">
        <v>223</v>
      </c>
      <c r="BS135" s="2">
        <v>2.5</v>
      </c>
      <c r="BT135" s="2">
        <v>10</v>
      </c>
      <c r="BU135" s="2">
        <v>3</v>
      </c>
      <c r="BV135" s="2">
        <v>5</v>
      </c>
      <c r="BW135" s="2">
        <v>0.5</v>
      </c>
      <c r="BX135" s="3" t="s">
        <v>382</v>
      </c>
      <c r="BY135" s="1" t="s">
        <v>230</v>
      </c>
    </row>
    <row r="136" spans="1:77" x14ac:dyDescent="0.25">
      <c r="A136">
        <v>19</v>
      </c>
      <c r="B136" t="s">
        <v>18</v>
      </c>
      <c r="C136">
        <v>16450</v>
      </c>
      <c r="D136" t="s">
        <v>113</v>
      </c>
      <c r="E136" s="1" t="s">
        <v>13</v>
      </c>
      <c r="G136" s="1">
        <v>16.5</v>
      </c>
      <c r="H136" s="2" t="s">
        <v>21</v>
      </c>
      <c r="I136" s="2">
        <f t="shared" si="42"/>
        <v>2.5</v>
      </c>
      <c r="J136" s="3">
        <f t="shared" si="43"/>
        <v>5.5</v>
      </c>
      <c r="K136" s="1" t="s">
        <v>20</v>
      </c>
      <c r="N136" s="1">
        <v>4.5</v>
      </c>
      <c r="O136" s="3">
        <v>8</v>
      </c>
      <c r="P136" s="2">
        <f t="shared" si="44"/>
        <v>2</v>
      </c>
      <c r="Q136" s="3">
        <f t="shared" si="45"/>
        <v>8</v>
      </c>
      <c r="R136" s="1">
        <v>7.5</v>
      </c>
      <c r="U136" s="1">
        <v>16</v>
      </c>
      <c r="V136" s="3">
        <v>11.5</v>
      </c>
      <c r="W136" s="2">
        <f t="shared" si="46"/>
        <v>3.5</v>
      </c>
      <c r="X136" s="3">
        <f t="shared" si="47"/>
        <v>3.5</v>
      </c>
      <c r="Y136" s="1">
        <v>26.5</v>
      </c>
      <c r="AB136" s="1">
        <v>9</v>
      </c>
      <c r="AC136" s="3">
        <v>8</v>
      </c>
      <c r="AD136" s="2">
        <f t="shared" si="48"/>
        <v>2.5</v>
      </c>
      <c r="AE136" s="3">
        <f t="shared" si="49"/>
        <v>7.5</v>
      </c>
      <c r="AF136" s="1" t="s">
        <v>21</v>
      </c>
      <c r="AI136" s="1">
        <v>9.5</v>
      </c>
      <c r="AJ136" s="3">
        <v>7</v>
      </c>
      <c r="AK136" s="2">
        <f t="shared" si="50"/>
        <v>2.5</v>
      </c>
      <c r="AL136" s="3">
        <f t="shared" si="51"/>
        <v>3</v>
      </c>
      <c r="AM136" s="1">
        <v>6</v>
      </c>
      <c r="AN136" s="1">
        <f t="shared" si="52"/>
        <v>11.5</v>
      </c>
      <c r="AP136" s="1">
        <v>4</v>
      </c>
      <c r="AQ136" s="2">
        <v>2</v>
      </c>
      <c r="AR136" s="1">
        <v>4</v>
      </c>
      <c r="AS136" s="2">
        <v>4</v>
      </c>
      <c r="AU136" s="2">
        <v>14.5</v>
      </c>
      <c r="AV136" s="1">
        <v>20.5</v>
      </c>
      <c r="AX136" s="2">
        <v>8.5</v>
      </c>
      <c r="AY136" s="2">
        <v>2</v>
      </c>
      <c r="AZ136" s="2">
        <v>7</v>
      </c>
      <c r="BA136" s="2">
        <v>5</v>
      </c>
      <c r="BC136" t="s">
        <v>234</v>
      </c>
      <c r="BD136" t="s">
        <v>235</v>
      </c>
      <c r="BE136" t="s">
        <v>236</v>
      </c>
      <c r="BG136" t="s">
        <v>335</v>
      </c>
      <c r="BH136" t="s">
        <v>252</v>
      </c>
      <c r="BJ136" s="2" t="s">
        <v>214</v>
      </c>
      <c r="BK136" s="2" t="s">
        <v>381</v>
      </c>
      <c r="BL136" s="1" t="s">
        <v>221</v>
      </c>
      <c r="BM136" s="1">
        <v>4</v>
      </c>
      <c r="BN136" s="1">
        <v>8</v>
      </c>
      <c r="BO136" s="1">
        <v>4</v>
      </c>
      <c r="BP136" s="1">
        <v>8</v>
      </c>
      <c r="BQ136" s="1">
        <v>3</v>
      </c>
      <c r="BR136" s="2" t="s">
        <v>223</v>
      </c>
      <c r="BS136" s="2">
        <v>7</v>
      </c>
      <c r="BT136" s="2">
        <v>8</v>
      </c>
      <c r="BU136" s="2">
        <v>2.5</v>
      </c>
      <c r="BV136" s="2">
        <v>7</v>
      </c>
      <c r="BW136" s="2">
        <v>3</v>
      </c>
      <c r="BX136" s="3" t="s">
        <v>382</v>
      </c>
      <c r="BY136" s="1" t="s">
        <v>230</v>
      </c>
    </row>
    <row r="137" spans="1:77" x14ac:dyDescent="0.25">
      <c r="A137">
        <v>20</v>
      </c>
      <c r="B137" t="s">
        <v>18</v>
      </c>
      <c r="C137">
        <v>17395</v>
      </c>
      <c r="D137" t="s">
        <v>118</v>
      </c>
      <c r="E137" s="1" t="s">
        <v>13</v>
      </c>
      <c r="G137" s="1">
        <v>10</v>
      </c>
      <c r="H137" s="2">
        <v>10.5</v>
      </c>
      <c r="I137" s="2">
        <f t="shared" si="42"/>
        <v>3</v>
      </c>
      <c r="J137" s="3">
        <f t="shared" si="43"/>
        <v>6</v>
      </c>
      <c r="K137" s="1" t="s">
        <v>20</v>
      </c>
      <c r="N137" s="1">
        <v>10</v>
      </c>
      <c r="O137" s="3">
        <v>9</v>
      </c>
      <c r="P137" s="2">
        <f t="shared" si="44"/>
        <v>2.5</v>
      </c>
      <c r="Q137" s="3">
        <f t="shared" si="45"/>
        <v>8.5</v>
      </c>
      <c r="R137" s="1">
        <v>12</v>
      </c>
      <c r="U137" s="1">
        <v>31.5</v>
      </c>
      <c r="V137" s="3">
        <v>16.5</v>
      </c>
      <c r="W137" s="2">
        <f t="shared" si="46"/>
        <v>6</v>
      </c>
      <c r="X137" s="3">
        <f t="shared" si="47"/>
        <v>5.5</v>
      </c>
      <c r="Y137" s="1">
        <v>26.5</v>
      </c>
      <c r="AB137" s="1">
        <v>11</v>
      </c>
      <c r="AC137" s="3">
        <v>15.5</v>
      </c>
      <c r="AD137" s="2">
        <f t="shared" si="48"/>
        <v>3.5</v>
      </c>
      <c r="AE137" s="3">
        <f t="shared" si="49"/>
        <v>8.5</v>
      </c>
      <c r="AF137" s="1">
        <v>28</v>
      </c>
      <c r="AI137" s="1">
        <v>20</v>
      </c>
      <c r="AJ137" s="3">
        <v>13.5</v>
      </c>
      <c r="AK137" s="2">
        <f t="shared" si="50"/>
        <v>4.5</v>
      </c>
      <c r="AL137" s="3">
        <f t="shared" si="51"/>
        <v>4</v>
      </c>
      <c r="AM137" s="1">
        <v>27.5</v>
      </c>
      <c r="AN137" s="1">
        <f t="shared" si="52"/>
        <v>36</v>
      </c>
      <c r="AP137" s="1">
        <v>2</v>
      </c>
      <c r="AQ137" s="2">
        <v>7</v>
      </c>
      <c r="AR137" s="1">
        <v>5.5</v>
      </c>
      <c r="AS137" s="2">
        <v>5</v>
      </c>
      <c r="AU137" s="2">
        <v>16.600000000000001</v>
      </c>
      <c r="AV137" s="1">
        <v>23.5</v>
      </c>
      <c r="AX137" s="2">
        <v>8</v>
      </c>
      <c r="AY137" s="2">
        <v>5</v>
      </c>
      <c r="AZ137" s="2">
        <v>7</v>
      </c>
      <c r="BA137" s="2">
        <v>5</v>
      </c>
      <c r="BC137" t="s">
        <v>234</v>
      </c>
      <c r="BD137" t="s">
        <v>235</v>
      </c>
      <c r="BE137" t="s">
        <v>236</v>
      </c>
      <c r="BF137" t="s">
        <v>342</v>
      </c>
      <c r="BH137" t="s">
        <v>242</v>
      </c>
      <c r="BJ137" s="2" t="s">
        <v>214</v>
      </c>
      <c r="BK137" s="2" t="s">
        <v>381</v>
      </c>
      <c r="BL137" s="1" t="s">
        <v>221</v>
      </c>
      <c r="BM137" s="1">
        <v>6.5</v>
      </c>
      <c r="BN137" s="1">
        <v>8</v>
      </c>
      <c r="BO137" s="1">
        <v>6</v>
      </c>
      <c r="BP137" s="1">
        <v>10</v>
      </c>
      <c r="BQ137" s="1">
        <v>4.5</v>
      </c>
      <c r="BR137" s="2" t="s">
        <v>223</v>
      </c>
      <c r="BS137" s="2">
        <v>5</v>
      </c>
      <c r="BT137" s="2">
        <v>9</v>
      </c>
      <c r="BU137" s="2">
        <v>5</v>
      </c>
      <c r="BV137" s="2">
        <v>7</v>
      </c>
      <c r="BW137" s="2">
        <v>3.5</v>
      </c>
      <c r="BX137" s="3" t="s">
        <v>382</v>
      </c>
      <c r="BY137" s="1" t="s">
        <v>230</v>
      </c>
    </row>
    <row r="138" spans="1:77" x14ac:dyDescent="0.25">
      <c r="A138">
        <v>21</v>
      </c>
      <c r="B138" t="s">
        <v>18</v>
      </c>
      <c r="C138">
        <v>18344</v>
      </c>
      <c r="D138" t="s">
        <v>123</v>
      </c>
      <c r="E138" s="1" t="s">
        <v>13</v>
      </c>
      <c r="G138" s="1">
        <v>31.5</v>
      </c>
      <c r="H138" s="2">
        <v>26</v>
      </c>
      <c r="I138" s="2">
        <f t="shared" si="42"/>
        <v>7.5</v>
      </c>
      <c r="J138" s="3">
        <f t="shared" si="43"/>
        <v>9</v>
      </c>
      <c r="K138" s="1">
        <v>51.5</v>
      </c>
      <c r="N138" s="1">
        <v>31</v>
      </c>
      <c r="O138" s="3">
        <v>27</v>
      </c>
      <c r="P138" s="2">
        <f t="shared" si="44"/>
        <v>7.5</v>
      </c>
      <c r="Q138" s="3">
        <f t="shared" si="45"/>
        <v>9.5</v>
      </c>
      <c r="R138" s="1">
        <v>62</v>
      </c>
      <c r="U138" s="1">
        <v>33</v>
      </c>
      <c r="V138" s="3">
        <v>31</v>
      </c>
      <c r="W138" s="2">
        <f t="shared" si="46"/>
        <v>8</v>
      </c>
      <c r="X138" s="3">
        <f t="shared" si="47"/>
        <v>8.5</v>
      </c>
      <c r="Y138" s="1">
        <v>63</v>
      </c>
      <c r="AB138" s="1">
        <v>32.5</v>
      </c>
      <c r="AC138" s="3">
        <v>31</v>
      </c>
      <c r="AD138" s="2">
        <f t="shared" si="48"/>
        <v>8</v>
      </c>
      <c r="AE138" s="3">
        <f t="shared" si="49"/>
        <v>4.5</v>
      </c>
      <c r="AF138" s="1">
        <v>56.5</v>
      </c>
      <c r="AI138" s="1">
        <v>27.5</v>
      </c>
      <c r="AJ138" s="3">
        <v>24.5</v>
      </c>
      <c r="AK138" s="2">
        <f t="shared" si="50"/>
        <v>6.5</v>
      </c>
      <c r="AL138" s="3">
        <f t="shared" si="51"/>
        <v>6.5</v>
      </c>
      <c r="AM138" s="1">
        <v>65</v>
      </c>
      <c r="AN138" s="1">
        <f t="shared" si="52"/>
        <v>78</v>
      </c>
      <c r="AP138" s="1">
        <v>16.5</v>
      </c>
      <c r="AQ138" s="2">
        <v>17</v>
      </c>
      <c r="AR138" s="1">
        <v>19.5</v>
      </c>
      <c r="AS138" s="2">
        <v>8</v>
      </c>
      <c r="AU138" s="2">
        <v>25</v>
      </c>
      <c r="AV138" s="1">
        <v>33.5</v>
      </c>
      <c r="AX138" s="2">
        <v>8.5</v>
      </c>
      <c r="AY138" s="2">
        <v>10</v>
      </c>
      <c r="AZ138" s="2">
        <v>8</v>
      </c>
      <c r="BA138" s="2">
        <v>8</v>
      </c>
      <c r="BC138" t="s">
        <v>234</v>
      </c>
      <c r="BD138" t="s">
        <v>235</v>
      </c>
      <c r="BE138" t="s">
        <v>236</v>
      </c>
      <c r="BF138" t="s">
        <v>343</v>
      </c>
      <c r="BG138" t="s">
        <v>344</v>
      </c>
      <c r="BH138" t="s">
        <v>241</v>
      </c>
      <c r="BJ138" s="2" t="s">
        <v>214</v>
      </c>
      <c r="BK138" s="2" t="s">
        <v>381</v>
      </c>
      <c r="BL138" s="1" t="s">
        <v>221</v>
      </c>
      <c r="BM138" s="1">
        <v>9</v>
      </c>
      <c r="BN138" s="1">
        <v>10</v>
      </c>
      <c r="BO138" s="1">
        <v>8</v>
      </c>
      <c r="BP138" s="1" t="s">
        <v>21</v>
      </c>
      <c r="BQ138" s="1">
        <v>8</v>
      </c>
      <c r="BR138" s="2" t="s">
        <v>223</v>
      </c>
      <c r="BS138" s="2">
        <v>8.5</v>
      </c>
      <c r="BT138" s="2">
        <v>9</v>
      </c>
      <c r="BU138" s="2">
        <v>8.5</v>
      </c>
      <c r="BV138" s="2">
        <v>8.5</v>
      </c>
      <c r="BW138" s="2">
        <v>4.5</v>
      </c>
      <c r="BX138" s="3" t="s">
        <v>382</v>
      </c>
      <c r="BY138" s="1" t="s">
        <v>230</v>
      </c>
    </row>
    <row r="139" spans="1:77" x14ac:dyDescent="0.25">
      <c r="A139">
        <v>22</v>
      </c>
      <c r="B139" t="s">
        <v>18</v>
      </c>
      <c r="C139">
        <v>16734</v>
      </c>
      <c r="D139" t="s">
        <v>128</v>
      </c>
      <c r="E139" s="1" t="s">
        <v>13</v>
      </c>
      <c r="G139" s="1">
        <v>7</v>
      </c>
      <c r="H139" s="2">
        <v>5.5</v>
      </c>
      <c r="I139" s="2">
        <f t="shared" si="42"/>
        <v>2</v>
      </c>
      <c r="J139" s="3">
        <f t="shared" si="43"/>
        <v>3</v>
      </c>
      <c r="K139" s="1">
        <v>15.5</v>
      </c>
      <c r="N139" s="1">
        <v>6</v>
      </c>
      <c r="O139" s="3">
        <v>6</v>
      </c>
      <c r="P139" s="2">
        <f t="shared" si="44"/>
        <v>1.5</v>
      </c>
      <c r="Q139" s="3">
        <f t="shared" si="45"/>
        <v>8.5</v>
      </c>
      <c r="R139" s="1">
        <v>8.5</v>
      </c>
      <c r="U139" s="1">
        <v>14</v>
      </c>
      <c r="V139" s="3">
        <v>16.5</v>
      </c>
      <c r="W139" s="2">
        <f t="shared" si="46"/>
        <v>4</v>
      </c>
      <c r="X139" s="3">
        <f t="shared" si="47"/>
        <v>5</v>
      </c>
      <c r="Y139" s="1">
        <v>20</v>
      </c>
      <c r="AB139" s="1">
        <v>3</v>
      </c>
      <c r="AC139" s="3">
        <v>5.5</v>
      </c>
      <c r="AD139" s="2">
        <f t="shared" si="48"/>
        <v>1.5</v>
      </c>
      <c r="AE139" s="3">
        <f t="shared" si="49"/>
        <v>5</v>
      </c>
      <c r="AF139" s="1">
        <v>9</v>
      </c>
      <c r="AI139" s="1">
        <v>3</v>
      </c>
      <c r="AJ139" s="3">
        <v>5</v>
      </c>
      <c r="AK139" s="2">
        <f t="shared" si="50"/>
        <v>1</v>
      </c>
      <c r="AL139" s="3">
        <f t="shared" si="51"/>
        <v>1.5</v>
      </c>
      <c r="AM139" s="1">
        <v>9</v>
      </c>
      <c r="AN139" s="1">
        <f t="shared" si="52"/>
        <v>11.5</v>
      </c>
      <c r="AP139" s="1">
        <v>3</v>
      </c>
      <c r="AQ139" s="2">
        <v>3.5</v>
      </c>
      <c r="AR139" s="1">
        <v>5</v>
      </c>
      <c r="AS139" s="2">
        <v>6</v>
      </c>
      <c r="AU139" s="2">
        <v>12.5</v>
      </c>
      <c r="AV139" s="1">
        <v>17</v>
      </c>
      <c r="AX139" s="2">
        <v>3</v>
      </c>
      <c r="AY139" s="2">
        <v>4</v>
      </c>
      <c r="AZ139" s="2">
        <v>7</v>
      </c>
      <c r="BA139" s="2">
        <v>1</v>
      </c>
      <c r="BC139" t="s">
        <v>234</v>
      </c>
      <c r="BD139" t="s">
        <v>235</v>
      </c>
      <c r="BE139" t="s">
        <v>236</v>
      </c>
      <c r="BG139" t="s">
        <v>335</v>
      </c>
      <c r="BH139" t="s">
        <v>237</v>
      </c>
      <c r="BJ139" s="2" t="s">
        <v>214</v>
      </c>
      <c r="BK139" s="2" t="s">
        <v>381</v>
      </c>
      <c r="BL139" s="1" t="s">
        <v>221</v>
      </c>
      <c r="BM139" s="1">
        <v>3.5</v>
      </c>
      <c r="BN139" s="1">
        <v>8</v>
      </c>
      <c r="BO139" s="1">
        <v>6</v>
      </c>
      <c r="BP139" s="1">
        <v>9.5</v>
      </c>
      <c r="BQ139" s="1">
        <v>0.5</v>
      </c>
      <c r="BR139" s="2" t="s">
        <v>223</v>
      </c>
      <c r="BS139" s="2">
        <v>2.5</v>
      </c>
      <c r="BT139" s="2">
        <v>9</v>
      </c>
      <c r="BU139" s="2">
        <v>4</v>
      </c>
      <c r="BV139" s="2" t="s">
        <v>21</v>
      </c>
      <c r="BW139" s="2">
        <v>2.5</v>
      </c>
      <c r="BX139" s="3" t="s">
        <v>382</v>
      </c>
      <c r="BY139" s="1" t="s">
        <v>230</v>
      </c>
    </row>
    <row r="140" spans="1:77" x14ac:dyDescent="0.25">
      <c r="A140">
        <v>23</v>
      </c>
      <c r="B140" t="s">
        <v>18</v>
      </c>
      <c r="C140">
        <v>16523</v>
      </c>
      <c r="D140" t="s">
        <v>132</v>
      </c>
      <c r="E140" s="1" t="s">
        <v>13</v>
      </c>
      <c r="G140" s="1">
        <v>35</v>
      </c>
      <c r="H140" s="2">
        <v>26</v>
      </c>
      <c r="I140" s="2">
        <f t="shared" si="42"/>
        <v>8</v>
      </c>
      <c r="J140" s="3">
        <f t="shared" si="43"/>
        <v>5.5</v>
      </c>
      <c r="K140" s="1" t="s">
        <v>20</v>
      </c>
      <c r="N140" s="1">
        <v>30.5</v>
      </c>
      <c r="O140" s="3">
        <v>26</v>
      </c>
      <c r="P140" s="2">
        <f t="shared" si="44"/>
        <v>7.5</v>
      </c>
      <c r="Q140" s="3">
        <f t="shared" si="45"/>
        <v>9.5</v>
      </c>
      <c r="R140" s="1" t="s">
        <v>20</v>
      </c>
      <c r="U140" s="1">
        <v>38.5</v>
      </c>
      <c r="V140" s="3">
        <v>27</v>
      </c>
      <c r="W140" s="2">
        <f t="shared" si="46"/>
        <v>8.5</v>
      </c>
      <c r="X140" s="3">
        <f t="shared" si="47"/>
        <v>2.5</v>
      </c>
      <c r="Y140" s="1" t="s">
        <v>21</v>
      </c>
      <c r="AB140" s="1">
        <v>29.5</v>
      </c>
      <c r="AC140" s="3">
        <v>31</v>
      </c>
      <c r="AD140" s="2">
        <f t="shared" si="48"/>
        <v>8</v>
      </c>
      <c r="AE140" s="3">
        <f t="shared" si="49"/>
        <v>8.5</v>
      </c>
      <c r="AF140" s="1" t="s">
        <v>21</v>
      </c>
      <c r="AI140" s="1">
        <v>27.5</v>
      </c>
      <c r="AJ140" s="3">
        <v>28.5</v>
      </c>
      <c r="AK140" s="2">
        <f t="shared" si="50"/>
        <v>7</v>
      </c>
      <c r="AL140" s="3">
        <f t="shared" si="51"/>
        <v>7</v>
      </c>
      <c r="AM140" s="1" t="s">
        <v>21</v>
      </c>
      <c r="AN140" s="1" t="e">
        <f t="shared" si="52"/>
        <v>#VALUE!</v>
      </c>
      <c r="AP140" s="1">
        <v>18</v>
      </c>
      <c r="AQ140" s="2">
        <v>19</v>
      </c>
      <c r="AR140" s="1">
        <v>20.5</v>
      </c>
      <c r="AS140" s="2">
        <v>6</v>
      </c>
      <c r="AU140" s="2">
        <v>15.5</v>
      </c>
      <c r="AV140" s="1">
        <v>31</v>
      </c>
      <c r="AX140" s="2">
        <v>8.5</v>
      </c>
      <c r="AY140" s="2">
        <v>9</v>
      </c>
      <c r="AZ140" s="2">
        <v>7</v>
      </c>
      <c r="BA140" s="2">
        <v>9</v>
      </c>
      <c r="BC140" t="s">
        <v>234</v>
      </c>
      <c r="BD140" t="s">
        <v>235</v>
      </c>
      <c r="BE140" t="s">
        <v>236</v>
      </c>
      <c r="BG140" t="s">
        <v>335</v>
      </c>
      <c r="BH140" t="s">
        <v>253</v>
      </c>
      <c r="BJ140" s="2" t="s">
        <v>214</v>
      </c>
      <c r="BK140" s="2" t="s">
        <v>381</v>
      </c>
      <c r="BL140" s="1" t="s">
        <v>221</v>
      </c>
      <c r="BM140" s="1">
        <v>8</v>
      </c>
      <c r="BN140" s="1">
        <v>9</v>
      </c>
      <c r="BO140" s="1">
        <v>5</v>
      </c>
      <c r="BP140" s="1">
        <v>9.5</v>
      </c>
      <c r="BQ140" s="1">
        <v>7</v>
      </c>
      <c r="BR140" s="2" t="s">
        <v>223</v>
      </c>
      <c r="BS140" s="2">
        <v>2.5</v>
      </c>
      <c r="BT140" s="2">
        <v>10</v>
      </c>
      <c r="BU140" s="2" t="s">
        <v>21</v>
      </c>
      <c r="BV140" s="2">
        <v>7</v>
      </c>
      <c r="BW140" s="2">
        <v>6.5</v>
      </c>
      <c r="BX140" s="3" t="s">
        <v>382</v>
      </c>
      <c r="BY140" s="1" t="s">
        <v>230</v>
      </c>
    </row>
    <row r="141" spans="1:77" x14ac:dyDescent="0.25">
      <c r="A141">
        <v>24</v>
      </c>
      <c r="B141" t="s">
        <v>18</v>
      </c>
      <c r="C141">
        <v>16454</v>
      </c>
      <c r="D141" t="s">
        <v>137</v>
      </c>
      <c r="E141" s="1" t="s">
        <v>13</v>
      </c>
      <c r="G141" s="1">
        <v>14.5</v>
      </c>
      <c r="H141" s="2">
        <v>16</v>
      </c>
      <c r="I141" s="2">
        <f t="shared" si="42"/>
        <v>4</v>
      </c>
      <c r="J141" s="3">
        <f t="shared" si="43"/>
        <v>4</v>
      </c>
      <c r="K141" s="1">
        <v>26.5</v>
      </c>
      <c r="N141" s="1">
        <v>18</v>
      </c>
      <c r="O141" s="3">
        <v>29</v>
      </c>
      <c r="P141" s="2">
        <f t="shared" si="44"/>
        <v>6</v>
      </c>
      <c r="Q141" s="3">
        <f t="shared" si="45"/>
        <v>8</v>
      </c>
      <c r="R141" s="1">
        <v>43</v>
      </c>
      <c r="U141" s="1">
        <v>35</v>
      </c>
      <c r="V141" s="3">
        <v>19</v>
      </c>
      <c r="W141" s="2">
        <f t="shared" si="46"/>
        <v>7</v>
      </c>
      <c r="X141" s="3">
        <f t="shared" si="47"/>
        <v>7</v>
      </c>
      <c r="Y141" s="1">
        <v>65</v>
      </c>
      <c r="AB141" s="1">
        <v>14</v>
      </c>
      <c r="AC141" s="3">
        <v>20</v>
      </c>
      <c r="AD141" s="2">
        <f t="shared" si="48"/>
        <v>4.5</v>
      </c>
      <c r="AE141" s="3">
        <f t="shared" si="49"/>
        <v>8.5</v>
      </c>
      <c r="AF141" s="1">
        <v>42.5</v>
      </c>
      <c r="AI141" s="1">
        <v>18</v>
      </c>
      <c r="AJ141" s="3">
        <v>13.5</v>
      </c>
      <c r="AK141" s="2">
        <f t="shared" si="50"/>
        <v>4</v>
      </c>
      <c r="AL141" s="3">
        <f t="shared" si="51"/>
        <v>4.5</v>
      </c>
      <c r="AM141" s="1">
        <v>29.5</v>
      </c>
      <c r="AN141" s="1">
        <f t="shared" si="52"/>
        <v>38</v>
      </c>
      <c r="AP141" s="1">
        <v>15</v>
      </c>
      <c r="AQ141" s="2" t="s">
        <v>218</v>
      </c>
      <c r="AR141" s="1">
        <v>13.5</v>
      </c>
      <c r="AS141" s="2">
        <v>3</v>
      </c>
      <c r="AU141" s="2">
        <v>7.5</v>
      </c>
      <c r="AV141" s="1">
        <v>29.5</v>
      </c>
      <c r="AX141" s="2">
        <v>6</v>
      </c>
      <c r="AY141" s="2">
        <v>4</v>
      </c>
      <c r="AZ141" s="2">
        <v>7</v>
      </c>
      <c r="BA141" s="2">
        <v>7</v>
      </c>
      <c r="BC141" t="s">
        <v>234</v>
      </c>
      <c r="BD141" t="s">
        <v>235</v>
      </c>
      <c r="BE141" t="s">
        <v>236</v>
      </c>
      <c r="BG141" t="s">
        <v>335</v>
      </c>
      <c r="BH141" t="s">
        <v>247</v>
      </c>
      <c r="BJ141" s="2" t="s">
        <v>214</v>
      </c>
      <c r="BK141" s="2" t="s">
        <v>381</v>
      </c>
      <c r="BL141" s="1" t="s">
        <v>221</v>
      </c>
      <c r="BM141" s="1">
        <v>3.5</v>
      </c>
      <c r="BN141" s="1">
        <v>7.5</v>
      </c>
      <c r="BO141" s="1">
        <v>6</v>
      </c>
      <c r="BP141" s="1">
        <v>10</v>
      </c>
      <c r="BQ141" s="1">
        <v>4.5</v>
      </c>
      <c r="BR141" s="2" t="s">
        <v>223</v>
      </c>
      <c r="BS141" s="2">
        <v>4.5</v>
      </c>
      <c r="BT141" s="2">
        <v>8</v>
      </c>
      <c r="BU141" s="2">
        <v>7.5</v>
      </c>
      <c r="BV141" s="2">
        <v>7</v>
      </c>
      <c r="BW141" s="2">
        <v>4.5</v>
      </c>
      <c r="BX141" s="3" t="s">
        <v>382</v>
      </c>
      <c r="BY141" s="1" t="s">
        <v>230</v>
      </c>
    </row>
    <row r="142" spans="1:77" x14ac:dyDescent="0.25">
      <c r="A142">
        <v>25</v>
      </c>
      <c r="B142" t="s">
        <v>18</v>
      </c>
      <c r="C142">
        <v>18461</v>
      </c>
      <c r="D142" t="s">
        <v>142</v>
      </c>
      <c r="E142" s="1" t="s">
        <v>13</v>
      </c>
      <c r="G142" s="1" t="s">
        <v>20</v>
      </c>
      <c r="H142" s="2">
        <v>19.5</v>
      </c>
      <c r="I142" s="2">
        <f t="shared" si="42"/>
        <v>2.5</v>
      </c>
      <c r="J142" s="3">
        <f t="shared" si="43"/>
        <v>7</v>
      </c>
      <c r="K142" s="1">
        <v>26.5</v>
      </c>
      <c r="N142" s="1">
        <v>6</v>
      </c>
      <c r="O142" s="3">
        <v>9</v>
      </c>
      <c r="P142" s="2">
        <f t="shared" si="44"/>
        <v>2</v>
      </c>
      <c r="Q142" s="3">
        <f t="shared" si="45"/>
        <v>4.5</v>
      </c>
      <c r="R142" s="1">
        <v>8</v>
      </c>
      <c r="U142" s="1">
        <v>23.5</v>
      </c>
      <c r="V142" s="3">
        <v>17.5</v>
      </c>
      <c r="W142" s="2">
        <f t="shared" si="46"/>
        <v>5.5</v>
      </c>
      <c r="X142" s="3">
        <f t="shared" si="47"/>
        <v>4</v>
      </c>
      <c r="Y142" s="1">
        <v>31.5</v>
      </c>
      <c r="AB142" s="1">
        <v>15.5</v>
      </c>
      <c r="AC142" s="3">
        <v>6</v>
      </c>
      <c r="AD142" s="2">
        <f t="shared" si="48"/>
        <v>3</v>
      </c>
      <c r="AE142" s="3">
        <f t="shared" si="49"/>
        <v>6.5</v>
      </c>
      <c r="AF142" s="1">
        <v>29.5</v>
      </c>
      <c r="AI142" s="1">
        <v>19.5</v>
      </c>
      <c r="AJ142" s="3">
        <v>6.5</v>
      </c>
      <c r="AK142" s="2">
        <f t="shared" si="50"/>
        <v>3.5</v>
      </c>
      <c r="AL142" s="3">
        <f t="shared" si="51"/>
        <v>4.5</v>
      </c>
      <c r="AM142" s="1">
        <v>24</v>
      </c>
      <c r="AN142" s="1">
        <f t="shared" si="52"/>
        <v>32</v>
      </c>
      <c r="AP142" s="1">
        <v>1</v>
      </c>
      <c r="AQ142" s="2">
        <v>2</v>
      </c>
      <c r="AR142" s="1">
        <v>5.5</v>
      </c>
      <c r="AS142" s="2">
        <v>6</v>
      </c>
      <c r="AU142" s="2">
        <v>12</v>
      </c>
      <c r="AV142" s="1">
        <v>22.5</v>
      </c>
      <c r="AX142" s="2">
        <v>7</v>
      </c>
      <c r="AY142" s="2">
        <v>5</v>
      </c>
      <c r="AZ142" s="2">
        <v>7</v>
      </c>
      <c r="BA142" s="2">
        <v>7</v>
      </c>
      <c r="BC142" t="s">
        <v>234</v>
      </c>
      <c r="BD142" t="s">
        <v>235</v>
      </c>
      <c r="BE142" t="s">
        <v>236</v>
      </c>
      <c r="BG142" t="s">
        <v>335</v>
      </c>
      <c r="BH142" t="s">
        <v>318</v>
      </c>
      <c r="BJ142" s="2" t="s">
        <v>214</v>
      </c>
      <c r="BK142" s="2" t="s">
        <v>381</v>
      </c>
      <c r="BL142" s="1" t="s">
        <v>221</v>
      </c>
      <c r="BM142" s="1">
        <v>5</v>
      </c>
      <c r="BN142" s="1">
        <v>6</v>
      </c>
      <c r="BO142" s="1">
        <v>3.5</v>
      </c>
      <c r="BP142" s="1">
        <v>7.5</v>
      </c>
      <c r="BQ142" s="1">
        <v>3.5</v>
      </c>
      <c r="BR142" s="2" t="s">
        <v>223</v>
      </c>
      <c r="BS142" s="2">
        <v>8.5</v>
      </c>
      <c r="BT142" s="2">
        <v>3</v>
      </c>
      <c r="BU142" s="2">
        <v>4</v>
      </c>
      <c r="BV142" s="2">
        <v>5.5</v>
      </c>
      <c r="BW142" s="2">
        <v>5</v>
      </c>
      <c r="BX142" s="3" t="s">
        <v>382</v>
      </c>
      <c r="BY142" s="1" t="s">
        <v>230</v>
      </c>
    </row>
    <row r="143" spans="1:77" x14ac:dyDescent="0.25">
      <c r="A143">
        <v>26</v>
      </c>
      <c r="B143" t="s">
        <v>18</v>
      </c>
      <c r="C143">
        <v>16537</v>
      </c>
      <c r="D143" t="s">
        <v>147</v>
      </c>
      <c r="E143" s="1" t="s">
        <v>13</v>
      </c>
      <c r="G143" s="1">
        <v>5</v>
      </c>
      <c r="H143" s="2">
        <v>8.5</v>
      </c>
      <c r="I143" s="2">
        <f t="shared" si="42"/>
        <v>2</v>
      </c>
      <c r="J143" s="3">
        <f t="shared" si="43"/>
        <v>3</v>
      </c>
      <c r="K143" s="1">
        <v>8.5</v>
      </c>
      <c r="N143" s="1">
        <v>11</v>
      </c>
      <c r="O143" s="3">
        <v>8</v>
      </c>
      <c r="P143" s="2">
        <f t="shared" si="44"/>
        <v>2.5</v>
      </c>
      <c r="Q143" s="3">
        <f t="shared" si="45"/>
        <v>8</v>
      </c>
      <c r="R143" s="1">
        <v>27.5</v>
      </c>
      <c r="U143" s="1">
        <v>4</v>
      </c>
      <c r="V143" s="3">
        <v>13.5</v>
      </c>
      <c r="W143" s="2">
        <f t="shared" si="46"/>
        <v>2.5</v>
      </c>
      <c r="X143" s="3">
        <f t="shared" si="47"/>
        <v>2.5</v>
      </c>
      <c r="Y143" s="1">
        <v>20.5</v>
      </c>
      <c r="AB143" s="1">
        <v>4.5</v>
      </c>
      <c r="AC143" s="3">
        <v>3</v>
      </c>
      <c r="AD143" s="2">
        <f t="shared" si="48"/>
        <v>1</v>
      </c>
      <c r="AE143" s="3">
        <f t="shared" si="49"/>
        <v>5.5</v>
      </c>
      <c r="AF143" s="1">
        <v>15.5</v>
      </c>
      <c r="AI143" s="1">
        <v>3</v>
      </c>
      <c r="AJ143" s="3">
        <v>7</v>
      </c>
      <c r="AK143" s="2">
        <f t="shared" si="50"/>
        <v>1.5</v>
      </c>
      <c r="AL143" s="3">
        <f t="shared" si="51"/>
        <v>2.5</v>
      </c>
      <c r="AM143" s="1">
        <v>7</v>
      </c>
      <c r="AN143" s="1">
        <f t="shared" si="52"/>
        <v>11</v>
      </c>
      <c r="AP143" s="1">
        <v>1</v>
      </c>
      <c r="AQ143" s="2">
        <v>5</v>
      </c>
      <c r="AR143" s="1">
        <v>5</v>
      </c>
      <c r="AS143" s="2">
        <v>8</v>
      </c>
      <c r="AU143" s="2">
        <v>12</v>
      </c>
      <c r="AV143" s="1">
        <v>24.5</v>
      </c>
      <c r="AX143" s="2">
        <v>3.5</v>
      </c>
      <c r="AY143" s="2">
        <v>7</v>
      </c>
      <c r="AZ143" s="2">
        <v>8</v>
      </c>
      <c r="BA143" s="2">
        <v>1</v>
      </c>
      <c r="BC143" t="s">
        <v>234</v>
      </c>
      <c r="BD143" t="s">
        <v>235</v>
      </c>
      <c r="BE143" t="s">
        <v>236</v>
      </c>
      <c r="BG143" t="s">
        <v>335</v>
      </c>
      <c r="BH143" t="s">
        <v>237</v>
      </c>
      <c r="BJ143" s="2" t="s">
        <v>214</v>
      </c>
      <c r="BK143" s="2" t="s">
        <v>381</v>
      </c>
      <c r="BL143" s="1" t="s">
        <v>221</v>
      </c>
      <c r="BM143" s="1">
        <v>3</v>
      </c>
      <c r="BN143" s="1">
        <v>9.5</v>
      </c>
      <c r="BO143" s="1">
        <v>2</v>
      </c>
      <c r="BP143" s="1">
        <v>6.5</v>
      </c>
      <c r="BQ143" s="1">
        <v>3</v>
      </c>
      <c r="BR143" s="2" t="s">
        <v>223</v>
      </c>
      <c r="BS143" s="2">
        <v>3</v>
      </c>
      <c r="BT143" s="2">
        <v>6</v>
      </c>
      <c r="BU143" s="2">
        <v>3</v>
      </c>
      <c r="BV143" s="2">
        <v>4</v>
      </c>
      <c r="BW143" s="2">
        <v>2</v>
      </c>
      <c r="BX143" s="3" t="s">
        <v>382</v>
      </c>
      <c r="BY143" s="1" t="s">
        <v>230</v>
      </c>
    </row>
    <row r="144" spans="1:77" x14ac:dyDescent="0.25">
      <c r="A144">
        <v>27</v>
      </c>
      <c r="B144" t="s">
        <v>18</v>
      </c>
      <c r="C144">
        <v>17608</v>
      </c>
      <c r="D144" t="s">
        <v>152</v>
      </c>
      <c r="E144" s="1" t="s">
        <v>13</v>
      </c>
      <c r="G144" s="1">
        <v>27.5</v>
      </c>
      <c r="H144" s="2">
        <v>20.5</v>
      </c>
      <c r="I144" s="2">
        <f t="shared" si="42"/>
        <v>6</v>
      </c>
      <c r="J144" s="3">
        <f t="shared" si="43"/>
        <v>8</v>
      </c>
      <c r="K144" s="1" t="s">
        <v>20</v>
      </c>
      <c r="N144" s="1">
        <v>9.5</v>
      </c>
      <c r="O144" s="3">
        <v>14</v>
      </c>
      <c r="P144" s="2">
        <f t="shared" si="44"/>
        <v>3</v>
      </c>
      <c r="Q144" s="3">
        <f t="shared" si="45"/>
        <v>7.5</v>
      </c>
      <c r="R144" s="1">
        <v>31.5</v>
      </c>
      <c r="U144" s="1">
        <v>26.5</v>
      </c>
      <c r="V144" s="3">
        <v>24</v>
      </c>
      <c r="W144" s="2">
        <f t="shared" si="46"/>
        <v>6.5</v>
      </c>
      <c r="X144" s="3">
        <f t="shared" si="47"/>
        <v>4</v>
      </c>
      <c r="Y144" s="1" t="s">
        <v>21</v>
      </c>
      <c r="AB144" s="1">
        <v>18.5</v>
      </c>
      <c r="AC144" s="3">
        <v>18</v>
      </c>
      <c r="AD144" s="2">
        <f t="shared" si="48"/>
        <v>5</v>
      </c>
      <c r="AE144" s="3">
        <f t="shared" si="49"/>
        <v>9.5</v>
      </c>
      <c r="AF144" s="1">
        <v>33.5</v>
      </c>
      <c r="AI144" s="1" t="s">
        <v>21</v>
      </c>
      <c r="AJ144" s="3">
        <v>17</v>
      </c>
      <c r="AK144" s="2">
        <f t="shared" si="50"/>
        <v>2.5</v>
      </c>
      <c r="AL144" s="3">
        <f t="shared" si="51"/>
        <v>6.5</v>
      </c>
      <c r="AM144" s="1" t="s">
        <v>21</v>
      </c>
      <c r="AN144" s="1" t="e">
        <f t="shared" si="52"/>
        <v>#VALUE!</v>
      </c>
      <c r="AP144" s="1">
        <v>11</v>
      </c>
      <c r="AQ144" s="2">
        <v>10</v>
      </c>
      <c r="AR144" s="1">
        <v>17</v>
      </c>
      <c r="AS144" s="2">
        <v>5</v>
      </c>
      <c r="AU144" s="2">
        <v>20.5</v>
      </c>
      <c r="AV144" s="1">
        <v>31</v>
      </c>
      <c r="AX144" s="2">
        <v>7.5</v>
      </c>
      <c r="AY144" s="2">
        <v>5</v>
      </c>
      <c r="AZ144" s="2">
        <v>8</v>
      </c>
      <c r="BA144" s="2">
        <v>5.5</v>
      </c>
      <c r="BC144" t="s">
        <v>234</v>
      </c>
      <c r="BD144" t="s">
        <v>235</v>
      </c>
      <c r="BE144" t="s">
        <v>236</v>
      </c>
      <c r="BG144" t="s">
        <v>335</v>
      </c>
      <c r="BH144" t="s">
        <v>240</v>
      </c>
      <c r="BJ144" s="2" t="s">
        <v>214</v>
      </c>
      <c r="BK144" s="2" t="s">
        <v>381</v>
      </c>
      <c r="BL144" s="1" t="s">
        <v>221</v>
      </c>
      <c r="BM144" s="1">
        <v>8.5</v>
      </c>
      <c r="BN144" s="1">
        <v>7</v>
      </c>
      <c r="BO144" s="1">
        <v>2</v>
      </c>
      <c r="BP144" s="1">
        <v>10</v>
      </c>
      <c r="BQ144" s="1">
        <v>4.5</v>
      </c>
      <c r="BR144" s="2" t="s">
        <v>223</v>
      </c>
      <c r="BS144" s="2">
        <v>7.5</v>
      </c>
      <c r="BT144" s="2">
        <v>8</v>
      </c>
      <c r="BU144" s="2">
        <v>6</v>
      </c>
      <c r="BV144" s="2">
        <v>8.5</v>
      </c>
      <c r="BW144" s="2">
        <v>8.5</v>
      </c>
      <c r="BX144" s="3" t="s">
        <v>382</v>
      </c>
      <c r="BY144" s="1" t="s">
        <v>230</v>
      </c>
    </row>
    <row r="145" spans="1:77" x14ac:dyDescent="0.25">
      <c r="A145">
        <v>28</v>
      </c>
      <c r="B145" t="s">
        <v>18</v>
      </c>
      <c r="C145">
        <v>17699</v>
      </c>
      <c r="D145" t="s">
        <v>157</v>
      </c>
      <c r="E145" s="1" t="s">
        <v>13</v>
      </c>
      <c r="G145" s="1">
        <v>6.5</v>
      </c>
      <c r="H145" s="2">
        <v>7</v>
      </c>
      <c r="I145" s="2">
        <f t="shared" si="42"/>
        <v>2</v>
      </c>
      <c r="J145" s="3">
        <f t="shared" si="43"/>
        <v>3.5</v>
      </c>
      <c r="K145" s="1">
        <v>7.5</v>
      </c>
      <c r="N145" s="1">
        <v>12</v>
      </c>
      <c r="O145" s="3">
        <v>3</v>
      </c>
      <c r="P145" s="2">
        <f t="shared" si="44"/>
        <v>2</v>
      </c>
      <c r="Q145" s="3">
        <f t="shared" si="45"/>
        <v>7</v>
      </c>
      <c r="R145" s="1">
        <v>18.5</v>
      </c>
      <c r="U145" s="1">
        <v>8</v>
      </c>
      <c r="V145" s="3">
        <v>1</v>
      </c>
      <c r="W145" s="2">
        <f t="shared" si="46"/>
        <v>1.5</v>
      </c>
      <c r="X145" s="3">
        <f t="shared" si="47"/>
        <v>2</v>
      </c>
      <c r="Y145" s="1">
        <v>11.5</v>
      </c>
      <c r="AB145" s="1">
        <v>3</v>
      </c>
      <c r="AC145" s="3">
        <v>5</v>
      </c>
      <c r="AD145" s="2">
        <f t="shared" si="48"/>
        <v>1</v>
      </c>
      <c r="AE145" s="3">
        <f t="shared" si="49"/>
        <v>5.5</v>
      </c>
      <c r="AF145" s="1">
        <v>14</v>
      </c>
      <c r="AI145" s="1">
        <v>3</v>
      </c>
      <c r="AJ145" s="3">
        <v>0.5</v>
      </c>
      <c r="AK145" s="2">
        <f t="shared" si="50"/>
        <v>0.5</v>
      </c>
      <c r="AL145" s="3">
        <f t="shared" si="51"/>
        <v>1</v>
      </c>
      <c r="AM145" s="1">
        <v>6</v>
      </c>
      <c r="AN145" s="1">
        <f t="shared" si="52"/>
        <v>7.5</v>
      </c>
      <c r="AP145" s="1">
        <v>4</v>
      </c>
      <c r="AQ145" s="2">
        <v>2</v>
      </c>
      <c r="AR145" s="1">
        <v>2</v>
      </c>
      <c r="AS145" s="2">
        <v>5</v>
      </c>
      <c r="AU145" s="2">
        <v>7</v>
      </c>
      <c r="AV145" s="1">
        <v>20.5</v>
      </c>
      <c r="AX145" s="2">
        <v>1</v>
      </c>
      <c r="AY145" s="2">
        <v>5</v>
      </c>
      <c r="AZ145" s="2">
        <v>7</v>
      </c>
      <c r="BA145" s="2">
        <v>3</v>
      </c>
      <c r="BC145" t="s">
        <v>234</v>
      </c>
      <c r="BD145" t="s">
        <v>235</v>
      </c>
      <c r="BE145" t="s">
        <v>236</v>
      </c>
      <c r="BG145" t="s">
        <v>335</v>
      </c>
      <c r="BH145" t="s">
        <v>237</v>
      </c>
      <c r="BJ145" s="2" t="s">
        <v>214</v>
      </c>
      <c r="BK145" s="2" t="s">
        <v>381</v>
      </c>
      <c r="BL145" s="1" t="s">
        <v>221</v>
      </c>
      <c r="BM145" s="1">
        <v>5</v>
      </c>
      <c r="BN145" s="1">
        <v>6</v>
      </c>
      <c r="BO145" s="1">
        <v>2</v>
      </c>
      <c r="BP145" s="1">
        <v>7</v>
      </c>
      <c r="BQ145" s="1">
        <v>1</v>
      </c>
      <c r="BR145" s="2" t="s">
        <v>223</v>
      </c>
      <c r="BS145" s="2">
        <v>1.5</v>
      </c>
      <c r="BT145" s="2">
        <v>8</v>
      </c>
      <c r="BU145" s="2">
        <v>2</v>
      </c>
      <c r="BV145" s="2">
        <v>4</v>
      </c>
      <c r="BW145" s="2">
        <v>0.5</v>
      </c>
      <c r="BX145" s="3" t="s">
        <v>382</v>
      </c>
      <c r="BY145" s="1" t="s">
        <v>230</v>
      </c>
    </row>
    <row r="146" spans="1:77" x14ac:dyDescent="0.25">
      <c r="A146">
        <v>29</v>
      </c>
      <c r="B146" t="s">
        <v>18</v>
      </c>
      <c r="C146">
        <v>16553</v>
      </c>
      <c r="D146" t="s">
        <v>162</v>
      </c>
      <c r="E146" s="1" t="s">
        <v>13</v>
      </c>
      <c r="G146" s="1">
        <v>37</v>
      </c>
      <c r="H146" s="2">
        <v>34.5</v>
      </c>
      <c r="I146" s="2">
        <f t="shared" si="42"/>
        <v>9</v>
      </c>
      <c r="J146" s="3">
        <f t="shared" si="43"/>
        <v>9.5</v>
      </c>
      <c r="K146" s="1">
        <v>71</v>
      </c>
      <c r="N146" s="1">
        <v>39</v>
      </c>
      <c r="O146" s="3">
        <v>39.5</v>
      </c>
      <c r="P146" s="2">
        <f t="shared" si="44"/>
        <v>10</v>
      </c>
      <c r="Q146" s="3">
        <f t="shared" si="45"/>
        <v>10</v>
      </c>
      <c r="R146" s="1">
        <v>77.5</v>
      </c>
      <c r="U146" s="1">
        <v>34.5</v>
      </c>
      <c r="V146" s="3">
        <v>38</v>
      </c>
      <c r="W146" s="2">
        <f t="shared" si="46"/>
        <v>9.5</v>
      </c>
      <c r="X146" s="3">
        <f t="shared" si="47"/>
        <v>9.5</v>
      </c>
      <c r="Y146" s="1">
        <v>72.5</v>
      </c>
      <c r="AB146" s="1">
        <v>37.5</v>
      </c>
      <c r="AC146" s="3">
        <v>36</v>
      </c>
      <c r="AD146" s="2">
        <f t="shared" si="48"/>
        <v>9.5</v>
      </c>
      <c r="AE146" s="3">
        <f t="shared" si="49"/>
        <v>9.5</v>
      </c>
      <c r="AF146" s="1">
        <v>74.5</v>
      </c>
      <c r="AI146" s="1">
        <v>39</v>
      </c>
      <c r="AJ146" s="3">
        <v>39.5</v>
      </c>
      <c r="AK146" s="2">
        <f t="shared" si="50"/>
        <v>10</v>
      </c>
      <c r="AL146" s="3">
        <f t="shared" si="51"/>
        <v>9.5</v>
      </c>
      <c r="AM146" s="1">
        <v>66.5</v>
      </c>
      <c r="AN146" s="1">
        <f t="shared" si="52"/>
        <v>86</v>
      </c>
      <c r="AP146" s="1">
        <v>24</v>
      </c>
      <c r="AQ146" s="2">
        <v>24.6</v>
      </c>
      <c r="AR146" s="1">
        <v>29</v>
      </c>
      <c r="AS146" s="2">
        <v>9</v>
      </c>
      <c r="AU146" s="2">
        <v>24</v>
      </c>
      <c r="AV146" s="1">
        <v>37.5</v>
      </c>
      <c r="AX146" s="2">
        <v>9</v>
      </c>
      <c r="AY146" s="2">
        <v>10</v>
      </c>
      <c r="AZ146" s="2">
        <v>8</v>
      </c>
      <c r="BA146" s="2">
        <v>9</v>
      </c>
      <c r="BC146" t="s">
        <v>234</v>
      </c>
      <c r="BD146" t="s">
        <v>235</v>
      </c>
      <c r="BE146" t="s">
        <v>236</v>
      </c>
      <c r="BF146" t="s">
        <v>345</v>
      </c>
      <c r="BG146" t="s">
        <v>346</v>
      </c>
      <c r="BH146" t="s">
        <v>244</v>
      </c>
      <c r="BJ146" s="2" t="s">
        <v>214</v>
      </c>
      <c r="BK146" s="2" t="s">
        <v>381</v>
      </c>
      <c r="BL146" s="1" t="s">
        <v>221</v>
      </c>
      <c r="BM146" s="1">
        <v>9</v>
      </c>
      <c r="BN146" s="1">
        <v>10</v>
      </c>
      <c r="BO146" s="1">
        <v>10</v>
      </c>
      <c r="BP146" s="1">
        <v>10</v>
      </c>
      <c r="BQ146" s="1">
        <v>9.5</v>
      </c>
      <c r="BR146" s="2" t="s">
        <v>223</v>
      </c>
      <c r="BS146" s="2">
        <v>10</v>
      </c>
      <c r="BT146" s="2">
        <v>10</v>
      </c>
      <c r="BU146" s="2">
        <v>9</v>
      </c>
      <c r="BV146" s="2">
        <v>9</v>
      </c>
      <c r="BW146" s="2">
        <v>9</v>
      </c>
      <c r="BX146" s="3" t="s">
        <v>382</v>
      </c>
      <c r="BY146" s="1" t="s">
        <v>230</v>
      </c>
    </row>
    <row r="147" spans="1:77" x14ac:dyDescent="0.25">
      <c r="A147">
        <v>30</v>
      </c>
      <c r="B147" t="s">
        <v>18</v>
      </c>
      <c r="C147">
        <v>16502</v>
      </c>
      <c r="D147" t="s">
        <v>167</v>
      </c>
      <c r="E147" s="1" t="s">
        <v>13</v>
      </c>
      <c r="G147" s="1">
        <v>21.5</v>
      </c>
      <c r="H147" s="2">
        <v>12</v>
      </c>
      <c r="I147" s="2">
        <f t="shared" si="42"/>
        <v>4.5</v>
      </c>
      <c r="J147" s="3">
        <f t="shared" si="43"/>
        <v>4.5</v>
      </c>
      <c r="K147" s="1">
        <v>19.5</v>
      </c>
      <c r="N147" s="1">
        <v>14</v>
      </c>
      <c r="O147" s="3">
        <v>16.5</v>
      </c>
      <c r="P147" s="2">
        <f t="shared" si="44"/>
        <v>4</v>
      </c>
      <c r="Q147" s="3">
        <f t="shared" si="45"/>
        <v>6.5</v>
      </c>
      <c r="R147" s="1">
        <v>29.5</v>
      </c>
      <c r="U147" s="1">
        <v>17</v>
      </c>
      <c r="V147" s="3">
        <v>13.5</v>
      </c>
      <c r="W147" s="2">
        <f t="shared" si="46"/>
        <v>4</v>
      </c>
      <c r="X147" s="3">
        <f t="shared" si="47"/>
        <v>4</v>
      </c>
      <c r="Y147" s="1">
        <v>21.5</v>
      </c>
      <c r="AB147" s="1">
        <v>14</v>
      </c>
      <c r="AC147" s="3">
        <v>7.5</v>
      </c>
      <c r="AD147" s="2">
        <f t="shared" si="48"/>
        <v>3</v>
      </c>
      <c r="AE147" s="3">
        <f t="shared" si="49"/>
        <v>7</v>
      </c>
      <c r="AF147" s="1">
        <v>26</v>
      </c>
      <c r="AI147" s="1">
        <v>14</v>
      </c>
      <c r="AJ147" s="3">
        <v>7</v>
      </c>
      <c r="AK147" s="2">
        <f t="shared" si="50"/>
        <v>3</v>
      </c>
      <c r="AL147" s="3">
        <f t="shared" si="51"/>
        <v>6</v>
      </c>
      <c r="AM147" s="1" t="s">
        <v>21</v>
      </c>
      <c r="AN147" s="1" t="e">
        <f t="shared" si="52"/>
        <v>#VALUE!</v>
      </c>
      <c r="AP147" s="1">
        <v>7</v>
      </c>
      <c r="AQ147" s="2">
        <v>4</v>
      </c>
      <c r="AR147" s="1">
        <v>2</v>
      </c>
      <c r="AS147" s="2">
        <v>3</v>
      </c>
      <c r="AU147" s="2">
        <v>15.5</v>
      </c>
      <c r="AV147" s="1">
        <v>23</v>
      </c>
      <c r="AX147" s="2">
        <v>7.5</v>
      </c>
      <c r="AY147" s="2">
        <v>8</v>
      </c>
      <c r="AZ147" s="2">
        <v>7</v>
      </c>
      <c r="BA147" s="2">
        <v>2.5</v>
      </c>
      <c r="BC147" t="s">
        <v>234</v>
      </c>
      <c r="BD147" t="s">
        <v>235</v>
      </c>
      <c r="BE147" t="s">
        <v>236</v>
      </c>
      <c r="BG147" t="s">
        <v>335</v>
      </c>
      <c r="BH147" t="s">
        <v>237</v>
      </c>
      <c r="BJ147" s="2" t="s">
        <v>214</v>
      </c>
      <c r="BK147" s="2" t="s">
        <v>381</v>
      </c>
      <c r="BL147" s="1" t="s">
        <v>221</v>
      </c>
      <c r="BM147" s="1">
        <v>5</v>
      </c>
      <c r="BN147" s="1">
        <v>6</v>
      </c>
      <c r="BO147" s="1">
        <v>4</v>
      </c>
      <c r="BP147" s="1">
        <v>8</v>
      </c>
      <c r="BQ147" s="1">
        <v>7.5</v>
      </c>
      <c r="BR147" s="2" t="s">
        <v>223</v>
      </c>
      <c r="BS147" s="2">
        <v>4</v>
      </c>
      <c r="BT147" s="2">
        <v>7</v>
      </c>
      <c r="BU147" s="2">
        <v>3.5</v>
      </c>
      <c r="BV147" s="2">
        <v>5.5</v>
      </c>
      <c r="BW147" s="2">
        <v>4</v>
      </c>
      <c r="BX147" s="3" t="s">
        <v>382</v>
      </c>
      <c r="BY147" s="1" t="s">
        <v>230</v>
      </c>
    </row>
    <row r="148" spans="1:77" x14ac:dyDescent="0.25">
      <c r="A148">
        <v>31</v>
      </c>
      <c r="B148" t="s">
        <v>18</v>
      </c>
      <c r="C148">
        <v>18656</v>
      </c>
      <c r="D148" t="s">
        <v>172</v>
      </c>
      <c r="E148" s="1" t="s">
        <v>13</v>
      </c>
      <c r="G148" s="1">
        <v>29.5</v>
      </c>
      <c r="H148" s="2">
        <v>29</v>
      </c>
      <c r="I148" s="2">
        <f t="shared" si="42"/>
        <v>7.5</v>
      </c>
      <c r="J148" s="3">
        <f t="shared" si="43"/>
        <v>8.5</v>
      </c>
      <c r="K148" s="1">
        <v>69.5</v>
      </c>
      <c r="N148" s="1">
        <v>20.5</v>
      </c>
      <c r="O148" s="3">
        <v>26.5</v>
      </c>
      <c r="P148" s="2">
        <f t="shared" si="44"/>
        <v>6</v>
      </c>
      <c r="Q148" s="3">
        <f t="shared" si="45"/>
        <v>10</v>
      </c>
      <c r="R148" s="1">
        <v>62.5</v>
      </c>
      <c r="U148" s="1">
        <v>33</v>
      </c>
      <c r="V148" s="3">
        <v>23</v>
      </c>
      <c r="W148" s="2">
        <f t="shared" si="46"/>
        <v>7</v>
      </c>
      <c r="X148" s="3">
        <f t="shared" si="47"/>
        <v>5.5</v>
      </c>
      <c r="Y148" s="1">
        <v>62.5</v>
      </c>
      <c r="AB148" s="1">
        <v>27</v>
      </c>
      <c r="AC148" s="3">
        <v>22.5</v>
      </c>
      <c r="AD148" s="2">
        <f t="shared" si="48"/>
        <v>6.5</v>
      </c>
      <c r="AE148" s="3">
        <f t="shared" si="49"/>
        <v>9.5</v>
      </c>
      <c r="AF148" s="1">
        <v>59.5</v>
      </c>
      <c r="AI148" s="1">
        <v>30.5</v>
      </c>
      <c r="AJ148" s="3">
        <v>38</v>
      </c>
      <c r="AK148" s="2">
        <f t="shared" si="50"/>
        <v>9</v>
      </c>
      <c r="AL148" s="3">
        <f t="shared" si="51"/>
        <v>8.5</v>
      </c>
      <c r="AM148" s="1">
        <v>52</v>
      </c>
      <c r="AN148" s="1">
        <f t="shared" si="52"/>
        <v>69.5</v>
      </c>
      <c r="AP148" s="1">
        <v>23.5</v>
      </c>
      <c r="AQ148" s="2">
        <v>23.5</v>
      </c>
      <c r="AR148" s="1">
        <v>29</v>
      </c>
      <c r="AS148" s="2">
        <v>10</v>
      </c>
      <c r="AU148" s="2">
        <v>20.5</v>
      </c>
      <c r="AV148" s="1">
        <v>31</v>
      </c>
      <c r="AX148" s="2">
        <v>8.5</v>
      </c>
      <c r="AY148" s="2">
        <v>10</v>
      </c>
      <c r="AZ148" s="2">
        <v>8</v>
      </c>
      <c r="BA148" s="2">
        <v>9.5</v>
      </c>
      <c r="BC148" t="s">
        <v>234</v>
      </c>
      <c r="BD148" t="s">
        <v>235</v>
      </c>
      <c r="BE148" t="s">
        <v>236</v>
      </c>
      <c r="BF148" t="s">
        <v>348</v>
      </c>
      <c r="BG148" t="s">
        <v>349</v>
      </c>
      <c r="BH148" t="s">
        <v>347</v>
      </c>
      <c r="BJ148" s="2" t="s">
        <v>214</v>
      </c>
      <c r="BK148" s="2" t="s">
        <v>381</v>
      </c>
      <c r="BL148" s="1" t="s">
        <v>221</v>
      </c>
      <c r="BM148" s="1">
        <v>8.5</v>
      </c>
      <c r="BN148" s="1">
        <v>10</v>
      </c>
      <c r="BO148" s="1">
        <v>4</v>
      </c>
      <c r="BP148" s="1">
        <v>10</v>
      </c>
      <c r="BQ148" s="1">
        <v>9.5</v>
      </c>
      <c r="BR148" s="2" t="s">
        <v>223</v>
      </c>
      <c r="BS148" s="2">
        <v>8.5</v>
      </c>
      <c r="BT148" s="2">
        <v>10</v>
      </c>
      <c r="BU148" s="2">
        <v>7</v>
      </c>
      <c r="BV148" s="2">
        <v>8.5</v>
      </c>
      <c r="BW148" s="2">
        <v>7</v>
      </c>
      <c r="BX148" s="3" t="s">
        <v>382</v>
      </c>
      <c r="BY148" s="1" t="s">
        <v>230</v>
      </c>
    </row>
    <row r="149" spans="1:77" x14ac:dyDescent="0.25">
      <c r="A149">
        <v>32</v>
      </c>
      <c r="B149" t="s">
        <v>18</v>
      </c>
      <c r="C149">
        <v>17383</v>
      </c>
      <c r="D149" t="s">
        <v>177</v>
      </c>
      <c r="E149" s="1" t="s">
        <v>13</v>
      </c>
      <c r="G149" s="1">
        <v>36.5</v>
      </c>
      <c r="H149" s="2">
        <v>32.5</v>
      </c>
      <c r="I149" s="2">
        <f t="shared" si="42"/>
        <v>9</v>
      </c>
      <c r="J149" s="3">
        <f t="shared" si="43"/>
        <v>10</v>
      </c>
      <c r="K149" s="1">
        <v>62.5</v>
      </c>
      <c r="N149" s="1">
        <v>37</v>
      </c>
      <c r="O149" s="3">
        <v>38</v>
      </c>
      <c r="P149" s="2">
        <f t="shared" si="44"/>
        <v>9.5</v>
      </c>
      <c r="Q149" s="3">
        <f t="shared" si="45"/>
        <v>10</v>
      </c>
      <c r="R149" s="1">
        <v>76.5</v>
      </c>
      <c r="U149" s="1">
        <v>33.5</v>
      </c>
      <c r="V149" s="3">
        <v>33</v>
      </c>
      <c r="W149" s="2">
        <f t="shared" si="46"/>
        <v>8.5</v>
      </c>
      <c r="X149" s="3">
        <f t="shared" si="47"/>
        <v>9</v>
      </c>
      <c r="Y149" s="1">
        <v>68.5</v>
      </c>
      <c r="AB149" s="1">
        <v>31.5</v>
      </c>
      <c r="AC149" s="3">
        <v>32.5</v>
      </c>
      <c r="AD149" s="2">
        <f t="shared" si="48"/>
        <v>8</v>
      </c>
      <c r="AE149" s="3">
        <f t="shared" si="49"/>
        <v>9.5</v>
      </c>
      <c r="AF149" s="1">
        <v>72.5</v>
      </c>
      <c r="AI149" s="1">
        <v>37.5</v>
      </c>
      <c r="AJ149" s="3">
        <v>37.5</v>
      </c>
      <c r="AK149" s="2">
        <f t="shared" si="50"/>
        <v>9.5</v>
      </c>
      <c r="AL149" s="3">
        <f t="shared" si="51"/>
        <v>9.5</v>
      </c>
      <c r="AM149" s="1">
        <v>62.5</v>
      </c>
      <c r="AN149" s="1">
        <f t="shared" si="52"/>
        <v>81.5</v>
      </c>
      <c r="AP149" s="1">
        <v>24</v>
      </c>
      <c r="AQ149" s="2">
        <v>20</v>
      </c>
      <c r="AR149" s="1">
        <v>28</v>
      </c>
      <c r="AS149" s="2">
        <v>9</v>
      </c>
      <c r="AU149" s="2">
        <v>20</v>
      </c>
      <c r="AV149" s="1">
        <v>36.5</v>
      </c>
      <c r="AX149" s="2">
        <v>9</v>
      </c>
      <c r="AY149" s="2">
        <v>10</v>
      </c>
      <c r="AZ149" s="2">
        <v>8</v>
      </c>
      <c r="BA149" s="2">
        <v>9.5</v>
      </c>
      <c r="BC149" t="s">
        <v>234</v>
      </c>
      <c r="BD149" t="s">
        <v>235</v>
      </c>
      <c r="BE149" t="s">
        <v>236</v>
      </c>
      <c r="BF149" t="s">
        <v>350</v>
      </c>
      <c r="BG149" t="s">
        <v>351</v>
      </c>
      <c r="BH149" t="s">
        <v>237</v>
      </c>
      <c r="BJ149" s="2" t="s">
        <v>214</v>
      </c>
      <c r="BK149" s="2" t="s">
        <v>381</v>
      </c>
      <c r="BL149" s="1" t="s">
        <v>221</v>
      </c>
      <c r="BM149" s="1">
        <v>9.5</v>
      </c>
      <c r="BN149" s="1">
        <v>10</v>
      </c>
      <c r="BO149" s="1">
        <v>9</v>
      </c>
      <c r="BP149" s="1">
        <v>10</v>
      </c>
      <c r="BQ149" s="1">
        <v>9</v>
      </c>
      <c r="BR149" s="2" t="s">
        <v>223</v>
      </c>
      <c r="BS149" s="2">
        <v>10</v>
      </c>
      <c r="BT149" s="2">
        <v>10</v>
      </c>
      <c r="BU149" s="2">
        <v>8.5</v>
      </c>
      <c r="BV149" s="2">
        <v>9</v>
      </c>
      <c r="BW149" s="2">
        <v>10</v>
      </c>
      <c r="BX149" s="3" t="s">
        <v>382</v>
      </c>
      <c r="BY149" s="1" t="s">
        <v>230</v>
      </c>
    </row>
    <row r="150" spans="1:77" x14ac:dyDescent="0.25">
      <c r="A150">
        <v>33</v>
      </c>
      <c r="B150" t="s">
        <v>18</v>
      </c>
      <c r="C150">
        <v>17277</v>
      </c>
      <c r="D150" t="s">
        <v>182</v>
      </c>
      <c r="E150" s="1" t="s">
        <v>13</v>
      </c>
      <c r="G150" s="1" t="s">
        <v>20</v>
      </c>
      <c r="H150" s="2">
        <v>20</v>
      </c>
      <c r="I150" s="2">
        <f t="shared" si="42"/>
        <v>2.5</v>
      </c>
      <c r="J150" s="3">
        <f t="shared" si="43"/>
        <v>8</v>
      </c>
      <c r="K150" s="1" t="s">
        <v>20</v>
      </c>
      <c r="N150" s="1">
        <v>36</v>
      </c>
      <c r="O150" s="3">
        <v>38</v>
      </c>
      <c r="P150" s="2">
        <f t="shared" si="44"/>
        <v>9.5</v>
      </c>
      <c r="Q150" s="3">
        <f t="shared" si="45"/>
        <v>10</v>
      </c>
      <c r="R150" s="1">
        <v>75.5</v>
      </c>
      <c r="U150" s="1">
        <v>33.5</v>
      </c>
      <c r="V150" s="3">
        <v>32</v>
      </c>
      <c r="W150" s="2">
        <f t="shared" si="46"/>
        <v>8.5</v>
      </c>
      <c r="X150" s="3">
        <f t="shared" si="47"/>
        <v>4.5</v>
      </c>
      <c r="Y150" s="1">
        <v>65</v>
      </c>
      <c r="AB150" s="1" t="s">
        <v>20</v>
      </c>
      <c r="AC150" s="3">
        <v>26.5</v>
      </c>
      <c r="AD150" s="2">
        <f t="shared" si="48"/>
        <v>3.5</v>
      </c>
      <c r="AE150" s="3">
        <f t="shared" si="49"/>
        <v>4</v>
      </c>
      <c r="AF150" s="1">
        <v>61.5</v>
      </c>
      <c r="AI150" s="1">
        <v>33.5</v>
      </c>
      <c r="AJ150" s="3">
        <v>30</v>
      </c>
      <c r="AK150" s="2">
        <f t="shared" si="50"/>
        <v>8</v>
      </c>
      <c r="AL150" s="3">
        <f t="shared" si="51"/>
        <v>8</v>
      </c>
      <c r="AM150" s="1" t="s">
        <v>21</v>
      </c>
      <c r="AN150" s="1" t="e">
        <f t="shared" si="52"/>
        <v>#VALUE!</v>
      </c>
      <c r="AP150" s="1">
        <v>23</v>
      </c>
      <c r="AQ150" s="2" t="s">
        <v>20</v>
      </c>
      <c r="AR150" s="1">
        <v>26.5</v>
      </c>
      <c r="AS150" s="2">
        <v>6</v>
      </c>
      <c r="AU150" s="2" t="s">
        <v>21</v>
      </c>
      <c r="AV150" s="1">
        <v>33.5</v>
      </c>
      <c r="AX150" s="2">
        <v>9</v>
      </c>
      <c r="AY150" s="2">
        <v>10</v>
      </c>
      <c r="AZ150" s="2">
        <v>8</v>
      </c>
      <c r="BA150" s="2">
        <v>9.5</v>
      </c>
      <c r="BC150" t="s">
        <v>234</v>
      </c>
      <c r="BD150" t="s">
        <v>235</v>
      </c>
      <c r="BE150" t="s">
        <v>236</v>
      </c>
      <c r="BF150" t="s">
        <v>352</v>
      </c>
      <c r="BG150" t="s">
        <v>353</v>
      </c>
      <c r="BH150">
        <v>72.5</v>
      </c>
      <c r="BJ150" s="2" t="s">
        <v>214</v>
      </c>
      <c r="BK150" s="2" t="s">
        <v>381</v>
      </c>
      <c r="BL150" s="1" t="s">
        <v>221</v>
      </c>
      <c r="BM150" s="1">
        <v>8</v>
      </c>
      <c r="BN150" s="1">
        <v>9.5</v>
      </c>
      <c r="BO150" s="1" t="s">
        <v>21</v>
      </c>
      <c r="BP150" s="1" t="s">
        <v>21</v>
      </c>
      <c r="BQ150" s="1">
        <v>9</v>
      </c>
      <c r="BR150" s="2" t="s">
        <v>223</v>
      </c>
      <c r="BS150" s="2">
        <v>8</v>
      </c>
      <c r="BT150" s="2">
        <v>10</v>
      </c>
      <c r="BU150" s="2">
        <v>9</v>
      </c>
      <c r="BV150" s="2">
        <v>8</v>
      </c>
      <c r="BW150" s="2">
        <v>7</v>
      </c>
      <c r="BX150" s="3" t="s">
        <v>382</v>
      </c>
      <c r="BY150" s="1" t="s">
        <v>230</v>
      </c>
    </row>
    <row r="151" spans="1:77" x14ac:dyDescent="0.25">
      <c r="A151">
        <v>34</v>
      </c>
      <c r="B151" t="s">
        <v>18</v>
      </c>
      <c r="C151">
        <v>17625</v>
      </c>
      <c r="D151" t="s">
        <v>187</v>
      </c>
      <c r="E151" s="1" t="s">
        <v>13</v>
      </c>
      <c r="G151" s="1">
        <v>36.5</v>
      </c>
      <c r="H151" s="2">
        <v>32.5</v>
      </c>
      <c r="I151" s="2">
        <f t="shared" si="42"/>
        <v>9</v>
      </c>
      <c r="J151" s="3">
        <f t="shared" si="43"/>
        <v>9</v>
      </c>
      <c r="K151" s="1">
        <v>69.5</v>
      </c>
      <c r="N151" s="1">
        <v>38.5</v>
      </c>
      <c r="O151" s="3">
        <v>38</v>
      </c>
      <c r="P151" s="2">
        <f t="shared" si="44"/>
        <v>10</v>
      </c>
      <c r="Q151" s="3">
        <f t="shared" si="45"/>
        <v>10</v>
      </c>
      <c r="R151" s="1">
        <v>77</v>
      </c>
      <c r="U151" s="1">
        <v>39</v>
      </c>
      <c r="V151" s="3">
        <v>33</v>
      </c>
      <c r="W151" s="2">
        <f t="shared" si="46"/>
        <v>9</v>
      </c>
      <c r="X151" s="3">
        <f t="shared" si="47"/>
        <v>8.5</v>
      </c>
      <c r="Y151" s="1">
        <v>68</v>
      </c>
      <c r="AB151" s="1">
        <v>33.5</v>
      </c>
      <c r="AC151" s="3">
        <v>31</v>
      </c>
      <c r="AD151" s="2">
        <f t="shared" si="48"/>
        <v>8.5</v>
      </c>
      <c r="AE151" s="3">
        <f t="shared" si="49"/>
        <v>9</v>
      </c>
      <c r="AF151" s="1">
        <v>65.5</v>
      </c>
      <c r="AI151" s="1">
        <v>38.5</v>
      </c>
      <c r="AJ151" s="3">
        <v>34</v>
      </c>
      <c r="AK151" s="2">
        <f t="shared" si="50"/>
        <v>9.5</v>
      </c>
      <c r="AL151" s="3">
        <f t="shared" si="51"/>
        <v>9</v>
      </c>
      <c r="AM151" s="1" t="s">
        <v>21</v>
      </c>
      <c r="AN151" s="1" t="e">
        <f t="shared" si="52"/>
        <v>#VALUE!</v>
      </c>
      <c r="AP151" s="1">
        <v>22</v>
      </c>
      <c r="AQ151" s="2">
        <v>20</v>
      </c>
      <c r="AR151" s="1">
        <v>26</v>
      </c>
      <c r="AS151" s="2">
        <v>3</v>
      </c>
      <c r="AU151" s="2">
        <v>16</v>
      </c>
      <c r="AV151" s="1">
        <v>32.5</v>
      </c>
      <c r="AX151" s="2">
        <v>8.5</v>
      </c>
      <c r="AY151" s="2">
        <v>10</v>
      </c>
      <c r="AZ151" s="2">
        <v>8</v>
      </c>
      <c r="BA151" s="2">
        <v>8.5</v>
      </c>
      <c r="BC151" t="s">
        <v>234</v>
      </c>
      <c r="BD151" t="s">
        <v>235</v>
      </c>
      <c r="BE151" t="s">
        <v>236</v>
      </c>
      <c r="BF151" t="s">
        <v>354</v>
      </c>
      <c r="BG151" t="s">
        <v>335</v>
      </c>
      <c r="BH151" t="s">
        <v>244</v>
      </c>
      <c r="BJ151" s="2" t="s">
        <v>214</v>
      </c>
      <c r="BK151" s="2" t="s">
        <v>381</v>
      </c>
      <c r="BL151" s="1" t="s">
        <v>221</v>
      </c>
      <c r="BM151" s="1">
        <v>8.5</v>
      </c>
      <c r="BN151" s="1">
        <v>10</v>
      </c>
      <c r="BO151" s="1">
        <v>8</v>
      </c>
      <c r="BP151" s="1">
        <v>9</v>
      </c>
      <c r="BQ151" s="1">
        <v>7.5</v>
      </c>
      <c r="BR151" s="2" t="s">
        <v>223</v>
      </c>
      <c r="BS151" s="2">
        <v>9.5</v>
      </c>
      <c r="BT151" s="2">
        <v>10</v>
      </c>
      <c r="BU151" s="2">
        <v>9</v>
      </c>
      <c r="BV151" s="2">
        <v>9</v>
      </c>
      <c r="BW151" s="2">
        <v>10</v>
      </c>
      <c r="BX151" s="3" t="s">
        <v>382</v>
      </c>
      <c r="BY151" s="1" t="s">
        <v>230</v>
      </c>
    </row>
    <row r="152" spans="1:77" x14ac:dyDescent="0.25">
      <c r="A152">
        <v>35</v>
      </c>
      <c r="B152" t="s">
        <v>18</v>
      </c>
      <c r="C152">
        <v>16527</v>
      </c>
      <c r="D152" t="s">
        <v>192</v>
      </c>
      <c r="E152" s="1" t="s">
        <v>13</v>
      </c>
      <c r="G152" s="1">
        <v>13.5</v>
      </c>
      <c r="H152" s="2">
        <v>9</v>
      </c>
      <c r="I152" s="2">
        <f t="shared" si="42"/>
        <v>3</v>
      </c>
      <c r="J152" s="3">
        <f t="shared" si="43"/>
        <v>3</v>
      </c>
      <c r="K152" s="1">
        <v>31</v>
      </c>
      <c r="N152" s="1">
        <v>13.5</v>
      </c>
      <c r="O152" s="3">
        <v>22.5</v>
      </c>
      <c r="P152" s="2">
        <f t="shared" si="44"/>
        <v>4.5</v>
      </c>
      <c r="Q152" s="3">
        <f t="shared" si="45"/>
        <v>3</v>
      </c>
      <c r="R152" s="1">
        <v>45</v>
      </c>
      <c r="U152" s="1">
        <v>18</v>
      </c>
      <c r="V152" s="3">
        <v>18.5</v>
      </c>
      <c r="W152" s="2">
        <f t="shared" si="46"/>
        <v>5</v>
      </c>
      <c r="X152" s="3">
        <f t="shared" si="47"/>
        <v>2.5</v>
      </c>
      <c r="Y152" s="1">
        <v>28.5</v>
      </c>
      <c r="AB152" s="1">
        <v>16</v>
      </c>
      <c r="AC152" s="3">
        <v>14</v>
      </c>
      <c r="AD152" s="2">
        <f t="shared" si="48"/>
        <v>4</v>
      </c>
      <c r="AE152" s="3">
        <f t="shared" si="49"/>
        <v>6</v>
      </c>
      <c r="AF152" s="1">
        <v>49</v>
      </c>
      <c r="AI152" s="1">
        <v>17</v>
      </c>
      <c r="AJ152" s="3">
        <v>14.5</v>
      </c>
      <c r="AK152" s="2">
        <f t="shared" si="50"/>
        <v>4</v>
      </c>
      <c r="AL152" s="3">
        <f t="shared" si="51"/>
        <v>3</v>
      </c>
      <c r="AM152" s="1">
        <v>32</v>
      </c>
      <c r="AN152" s="1">
        <f t="shared" si="52"/>
        <v>39</v>
      </c>
      <c r="AP152" s="1">
        <v>8</v>
      </c>
      <c r="AQ152" s="2">
        <v>5</v>
      </c>
      <c r="AR152" s="1">
        <v>3</v>
      </c>
      <c r="AS152" s="2">
        <v>6</v>
      </c>
      <c r="AU152" s="2">
        <v>12.5</v>
      </c>
      <c r="AV152" s="1">
        <v>28</v>
      </c>
      <c r="AX152" s="2">
        <v>8</v>
      </c>
      <c r="AY152" s="2">
        <v>7</v>
      </c>
      <c r="AZ152" s="2">
        <v>8</v>
      </c>
      <c r="BA152" s="2">
        <v>3</v>
      </c>
      <c r="BC152" t="s">
        <v>234</v>
      </c>
      <c r="BD152" t="s">
        <v>235</v>
      </c>
      <c r="BE152" t="s">
        <v>236</v>
      </c>
      <c r="BG152" t="s">
        <v>335</v>
      </c>
      <c r="BH152" t="s">
        <v>318</v>
      </c>
      <c r="BJ152" s="2" t="s">
        <v>214</v>
      </c>
      <c r="BK152" s="2" t="s">
        <v>381</v>
      </c>
      <c r="BL152" s="1" t="s">
        <v>221</v>
      </c>
      <c r="BM152" s="1" t="s">
        <v>215</v>
      </c>
      <c r="BN152" s="1" t="s">
        <v>20</v>
      </c>
      <c r="BO152" s="1" t="s">
        <v>21</v>
      </c>
      <c r="BP152" s="1">
        <v>5</v>
      </c>
      <c r="BQ152" s="1">
        <v>5.5</v>
      </c>
      <c r="BR152" s="2" t="s">
        <v>223</v>
      </c>
      <c r="BS152" s="2">
        <v>5.5</v>
      </c>
      <c r="BT152" s="2">
        <v>6</v>
      </c>
      <c r="BU152" s="2">
        <v>4.5</v>
      </c>
      <c r="BV152" s="2">
        <v>6.5</v>
      </c>
      <c r="BW152" s="2" t="s">
        <v>21</v>
      </c>
      <c r="BX152" s="3" t="s">
        <v>382</v>
      </c>
      <c r="BY152" s="1" t="s">
        <v>230</v>
      </c>
    </row>
    <row r="153" spans="1:77" x14ac:dyDescent="0.25">
      <c r="A153">
        <v>36</v>
      </c>
      <c r="B153" t="s">
        <v>18</v>
      </c>
      <c r="C153">
        <v>16506</v>
      </c>
      <c r="D153" t="s">
        <v>197</v>
      </c>
      <c r="E153" s="1" t="s">
        <v>13</v>
      </c>
      <c r="G153" s="1">
        <v>29</v>
      </c>
      <c r="H153" s="2">
        <v>16</v>
      </c>
      <c r="I153" s="2">
        <f t="shared" si="42"/>
        <v>6</v>
      </c>
      <c r="J153" s="3">
        <f t="shared" si="43"/>
        <v>6.5</v>
      </c>
      <c r="K153" s="1">
        <v>32.5</v>
      </c>
      <c r="N153" s="1">
        <v>24.5</v>
      </c>
      <c r="O153" s="3">
        <v>25.5</v>
      </c>
      <c r="P153" s="2">
        <f t="shared" si="44"/>
        <v>6.5</v>
      </c>
      <c r="Q153" s="3">
        <f t="shared" si="45"/>
        <v>10</v>
      </c>
      <c r="R153" s="1">
        <v>28</v>
      </c>
      <c r="U153" s="1">
        <v>25.5</v>
      </c>
      <c r="V153" s="3">
        <v>17.5</v>
      </c>
      <c r="W153" s="2">
        <f t="shared" si="46"/>
        <v>5.5</v>
      </c>
      <c r="X153" s="3">
        <f t="shared" si="47"/>
        <v>4.5</v>
      </c>
      <c r="Y153" s="1">
        <v>22.5</v>
      </c>
      <c r="AB153" s="1">
        <v>22.5</v>
      </c>
      <c r="AC153" s="3">
        <v>18.5</v>
      </c>
      <c r="AD153" s="2">
        <f t="shared" si="48"/>
        <v>5.5</v>
      </c>
      <c r="AE153" s="3">
        <f t="shared" si="49"/>
        <v>8</v>
      </c>
      <c r="AF153" s="1">
        <v>29</v>
      </c>
      <c r="AI153" s="1">
        <v>19.5</v>
      </c>
      <c r="AJ153" s="3">
        <v>11</v>
      </c>
      <c r="AK153" s="2">
        <f t="shared" si="50"/>
        <v>4</v>
      </c>
      <c r="AL153" s="3">
        <f t="shared" si="51"/>
        <v>6.5</v>
      </c>
      <c r="AM153" s="1">
        <v>19.5</v>
      </c>
      <c r="AN153" s="1">
        <f t="shared" si="52"/>
        <v>30</v>
      </c>
      <c r="AP153" s="1">
        <v>12</v>
      </c>
      <c r="AQ153" s="2">
        <v>8</v>
      </c>
      <c r="AR153" s="1">
        <v>8.5</v>
      </c>
      <c r="AS153" s="2">
        <v>9</v>
      </c>
      <c r="AU153" s="2">
        <v>15</v>
      </c>
      <c r="AV153" s="1">
        <v>27.5</v>
      </c>
      <c r="AX153" s="2">
        <v>8</v>
      </c>
      <c r="AY153" s="2">
        <v>9</v>
      </c>
      <c r="AZ153" s="2">
        <v>8</v>
      </c>
      <c r="BA153" s="2">
        <v>5</v>
      </c>
      <c r="BC153" t="s">
        <v>234</v>
      </c>
      <c r="BD153" t="s">
        <v>235</v>
      </c>
      <c r="BE153" t="s">
        <v>236</v>
      </c>
      <c r="BG153" t="s">
        <v>355</v>
      </c>
      <c r="BH153" t="s">
        <v>244</v>
      </c>
      <c r="BJ153" s="2" t="s">
        <v>214</v>
      </c>
      <c r="BK153" s="2" t="s">
        <v>381</v>
      </c>
      <c r="BL153" s="1" t="s">
        <v>221</v>
      </c>
      <c r="BM153" s="1">
        <v>6.5</v>
      </c>
      <c r="BN153" s="1">
        <v>9.5</v>
      </c>
      <c r="BO153" s="1">
        <v>6</v>
      </c>
      <c r="BP153" s="1">
        <v>10</v>
      </c>
      <c r="BQ153" s="1">
        <v>4</v>
      </c>
      <c r="BR153" s="2" t="s">
        <v>223</v>
      </c>
      <c r="BS153" s="2">
        <v>6</v>
      </c>
      <c r="BT153" s="2">
        <v>10</v>
      </c>
      <c r="BU153" s="2">
        <v>3</v>
      </c>
      <c r="BV153" s="2">
        <v>6</v>
      </c>
      <c r="BW153" s="2">
        <v>8.5</v>
      </c>
      <c r="BX153" s="3" t="s">
        <v>382</v>
      </c>
      <c r="BY153" s="1" t="s">
        <v>230</v>
      </c>
    </row>
    <row r="154" spans="1:77" x14ac:dyDescent="0.25">
      <c r="A154">
        <v>37</v>
      </c>
      <c r="B154" t="s">
        <v>18</v>
      </c>
      <c r="C154">
        <v>17613</v>
      </c>
      <c r="D154" t="s">
        <v>202</v>
      </c>
      <c r="E154" s="1" t="s">
        <v>13</v>
      </c>
      <c r="G154" s="1">
        <v>13.5</v>
      </c>
      <c r="H154" s="2">
        <v>12.5</v>
      </c>
      <c r="I154" s="2">
        <f t="shared" si="42"/>
        <v>3.5</v>
      </c>
      <c r="J154" s="3">
        <f t="shared" si="43"/>
        <v>4.5</v>
      </c>
      <c r="K154" s="1">
        <v>19.5</v>
      </c>
      <c r="N154" s="1">
        <v>8</v>
      </c>
      <c r="O154" s="3">
        <v>12</v>
      </c>
      <c r="P154" s="2">
        <f t="shared" si="44"/>
        <v>2.5</v>
      </c>
      <c r="Q154" s="3">
        <f t="shared" si="45"/>
        <v>8.5</v>
      </c>
      <c r="R154" s="1">
        <v>24.5</v>
      </c>
      <c r="U154" s="1">
        <v>13.5</v>
      </c>
      <c r="V154" s="3">
        <v>14</v>
      </c>
      <c r="W154" s="2">
        <f t="shared" si="46"/>
        <v>3.5</v>
      </c>
      <c r="X154" s="3">
        <f t="shared" si="47"/>
        <v>2</v>
      </c>
      <c r="Y154" s="1">
        <v>53.5</v>
      </c>
      <c r="AB154" s="1">
        <v>5.5</v>
      </c>
      <c r="AC154" s="3">
        <v>11.5</v>
      </c>
      <c r="AD154" s="2">
        <f t="shared" si="48"/>
        <v>2.5</v>
      </c>
      <c r="AE154" s="3">
        <f t="shared" si="49"/>
        <v>5</v>
      </c>
      <c r="AF154" s="1">
        <v>27</v>
      </c>
      <c r="AI154" s="1">
        <v>13.5</v>
      </c>
      <c r="AJ154" s="3">
        <v>13.5</v>
      </c>
      <c r="AK154" s="2">
        <f t="shared" si="50"/>
        <v>3.5</v>
      </c>
      <c r="AL154" s="3">
        <f t="shared" si="51"/>
        <v>4</v>
      </c>
      <c r="AM154" s="1">
        <v>11.5</v>
      </c>
      <c r="AN154" s="1">
        <f t="shared" si="52"/>
        <v>19</v>
      </c>
      <c r="AP154" s="1">
        <v>4</v>
      </c>
      <c r="AQ154" s="2">
        <v>4.5</v>
      </c>
      <c r="AR154" s="1">
        <v>2</v>
      </c>
      <c r="AS154" s="2">
        <v>3</v>
      </c>
      <c r="AU154" s="2">
        <v>12.5</v>
      </c>
      <c r="AV154" s="1">
        <v>24.5</v>
      </c>
      <c r="AX154" s="2">
        <v>5</v>
      </c>
      <c r="AY154" s="2">
        <v>9</v>
      </c>
      <c r="AZ154" s="2">
        <v>8</v>
      </c>
      <c r="BA154" s="2">
        <v>2</v>
      </c>
      <c r="BC154" t="s">
        <v>234</v>
      </c>
      <c r="BD154" t="s">
        <v>235</v>
      </c>
      <c r="BE154" t="s">
        <v>236</v>
      </c>
      <c r="BG154" t="s">
        <v>335</v>
      </c>
      <c r="BH154" t="s">
        <v>246</v>
      </c>
      <c r="BJ154" s="2" t="s">
        <v>214</v>
      </c>
      <c r="BK154" s="2" t="s">
        <v>381</v>
      </c>
      <c r="BL154" s="1" t="s">
        <v>221</v>
      </c>
      <c r="BM154" s="1">
        <v>6</v>
      </c>
      <c r="BN154" s="1">
        <v>9</v>
      </c>
      <c r="BO154" s="1">
        <v>1</v>
      </c>
      <c r="BP154" s="1">
        <v>4.5</v>
      </c>
      <c r="BQ154" s="1">
        <v>5</v>
      </c>
      <c r="BR154" s="2" t="s">
        <v>223</v>
      </c>
      <c r="BS154" s="2">
        <v>2.5</v>
      </c>
      <c r="BT154" s="2">
        <v>8</v>
      </c>
      <c r="BU154" s="2">
        <v>3</v>
      </c>
      <c r="BV154" s="2">
        <v>5.5</v>
      </c>
      <c r="BW154" s="2">
        <v>3</v>
      </c>
      <c r="BX154" s="3" t="s">
        <v>382</v>
      </c>
      <c r="BY154" s="1" t="s">
        <v>230</v>
      </c>
    </row>
    <row r="155" spans="1:77" x14ac:dyDescent="0.25">
      <c r="A155">
        <v>38</v>
      </c>
      <c r="B155" t="s">
        <v>18</v>
      </c>
      <c r="C155">
        <v>16495</v>
      </c>
      <c r="D155" t="s">
        <v>207</v>
      </c>
      <c r="E155" s="1" t="s">
        <v>13</v>
      </c>
      <c r="G155" s="1">
        <v>34.5</v>
      </c>
      <c r="H155" s="2">
        <v>24</v>
      </c>
      <c r="I155" s="2">
        <f t="shared" si="42"/>
        <v>7.5</v>
      </c>
      <c r="J155" s="3">
        <f t="shared" si="43"/>
        <v>8.5</v>
      </c>
      <c r="K155" s="1">
        <v>53.5</v>
      </c>
      <c r="N155" s="1">
        <v>34</v>
      </c>
      <c r="O155" s="3">
        <v>39</v>
      </c>
      <c r="P155" s="2">
        <f t="shared" si="44"/>
        <v>9.5</v>
      </c>
      <c r="Q155" s="3">
        <f t="shared" si="45"/>
        <v>10</v>
      </c>
      <c r="R155" s="1">
        <v>74.5</v>
      </c>
      <c r="U155" s="1">
        <v>39</v>
      </c>
      <c r="V155" s="3">
        <v>37.5</v>
      </c>
      <c r="W155" s="2">
        <f t="shared" si="46"/>
        <v>10</v>
      </c>
      <c r="X155" s="3">
        <f t="shared" si="47"/>
        <v>6</v>
      </c>
      <c r="Y155" s="1">
        <v>69</v>
      </c>
      <c r="AB155" s="1">
        <v>32.5</v>
      </c>
      <c r="AC155" s="3">
        <v>34</v>
      </c>
      <c r="AD155" s="2">
        <f t="shared" si="48"/>
        <v>8.5</v>
      </c>
      <c r="AE155" s="3">
        <f t="shared" si="49"/>
        <v>9.5</v>
      </c>
      <c r="AF155" s="1">
        <v>64</v>
      </c>
      <c r="AI155" s="1">
        <v>31</v>
      </c>
      <c r="AJ155" s="3">
        <v>36</v>
      </c>
      <c r="AK155" s="2">
        <f t="shared" si="50"/>
        <v>8.5</v>
      </c>
      <c r="AL155" s="3">
        <f t="shared" si="51"/>
        <v>8.5</v>
      </c>
      <c r="AM155" s="1">
        <v>58</v>
      </c>
      <c r="AN155" s="1">
        <f t="shared" si="52"/>
        <v>75</v>
      </c>
      <c r="AP155" s="1">
        <v>22</v>
      </c>
      <c r="AQ155" s="2">
        <v>21.5</v>
      </c>
      <c r="AR155" s="1">
        <v>21.5</v>
      </c>
      <c r="AS155" s="2">
        <v>5</v>
      </c>
      <c r="AU155" s="2">
        <v>22</v>
      </c>
      <c r="AV155" s="1">
        <v>33.5</v>
      </c>
      <c r="AX155" s="2">
        <v>8</v>
      </c>
      <c r="AY155" s="2">
        <v>10</v>
      </c>
      <c r="AZ155" s="2">
        <v>8</v>
      </c>
      <c r="BA155" s="2">
        <v>9</v>
      </c>
      <c r="BC155" t="s">
        <v>234</v>
      </c>
      <c r="BD155" t="s">
        <v>235</v>
      </c>
      <c r="BE155" t="s">
        <v>236</v>
      </c>
      <c r="BF155" t="s">
        <v>354</v>
      </c>
      <c r="BG155" t="s">
        <v>335</v>
      </c>
      <c r="BH155" t="s">
        <v>241</v>
      </c>
      <c r="BJ155" s="2" t="s">
        <v>214</v>
      </c>
      <c r="BK155" s="2" t="s">
        <v>381</v>
      </c>
      <c r="BL155" s="1" t="s">
        <v>221</v>
      </c>
      <c r="BM155" s="1">
        <v>9</v>
      </c>
      <c r="BN155" s="1">
        <v>10</v>
      </c>
      <c r="BO155" s="1">
        <v>4</v>
      </c>
      <c r="BP155" s="1">
        <v>10</v>
      </c>
      <c r="BQ155" s="1">
        <v>10</v>
      </c>
      <c r="BR155" s="2" t="s">
        <v>223</v>
      </c>
      <c r="BS155" s="2">
        <v>7.5</v>
      </c>
      <c r="BT155" s="2">
        <v>10</v>
      </c>
      <c r="BU155" s="2">
        <v>7.8</v>
      </c>
      <c r="BV155" s="2">
        <v>8.5</v>
      </c>
      <c r="BW155" s="2">
        <v>7</v>
      </c>
      <c r="BX155" s="3" t="s">
        <v>382</v>
      </c>
      <c r="BY155" s="1" t="s">
        <v>230</v>
      </c>
    </row>
    <row r="156" spans="1:77" x14ac:dyDescent="0.25">
      <c r="A156">
        <v>39</v>
      </c>
      <c r="B156" t="s">
        <v>18</v>
      </c>
      <c r="C156">
        <v>16481</v>
      </c>
      <c r="D156" t="s">
        <v>211</v>
      </c>
      <c r="E156" s="1" t="s">
        <v>13</v>
      </c>
      <c r="G156" s="1">
        <v>32.5</v>
      </c>
      <c r="H156" s="2">
        <v>24</v>
      </c>
      <c r="I156" s="2">
        <f t="shared" si="42"/>
        <v>7.5</v>
      </c>
      <c r="J156" s="3">
        <f t="shared" si="43"/>
        <v>7</v>
      </c>
      <c r="K156" s="1">
        <v>35</v>
      </c>
      <c r="N156" s="1">
        <v>33.5</v>
      </c>
      <c r="O156" s="3">
        <v>36</v>
      </c>
      <c r="P156" s="2">
        <f t="shared" si="44"/>
        <v>9</v>
      </c>
      <c r="Q156" s="3">
        <f t="shared" si="45"/>
        <v>10</v>
      </c>
      <c r="R156" s="1">
        <v>66</v>
      </c>
      <c r="U156" s="1">
        <v>30.5</v>
      </c>
      <c r="V156" s="3">
        <v>29</v>
      </c>
      <c r="W156" s="2">
        <f t="shared" si="46"/>
        <v>7.5</v>
      </c>
      <c r="X156" s="3">
        <f t="shared" si="47"/>
        <v>6</v>
      </c>
      <c r="Y156" s="1">
        <v>50</v>
      </c>
      <c r="AB156" s="1">
        <v>23</v>
      </c>
      <c r="AC156" s="3">
        <v>13.5</v>
      </c>
      <c r="AD156" s="2">
        <f t="shared" si="48"/>
        <v>5</v>
      </c>
      <c r="AE156" s="3">
        <f t="shared" si="49"/>
        <v>8</v>
      </c>
      <c r="AF156" s="1">
        <v>44</v>
      </c>
      <c r="AI156" s="1">
        <v>25.5</v>
      </c>
      <c r="AJ156" s="3">
        <v>16</v>
      </c>
      <c r="AK156" s="2">
        <f t="shared" si="50"/>
        <v>5.5</v>
      </c>
      <c r="AL156" s="3">
        <f t="shared" si="51"/>
        <v>7.5</v>
      </c>
      <c r="AM156" s="1">
        <v>35</v>
      </c>
      <c r="AN156" s="1">
        <f t="shared" si="52"/>
        <v>48</v>
      </c>
      <c r="AP156" s="1">
        <v>7</v>
      </c>
      <c r="AQ156" s="2">
        <v>7.5</v>
      </c>
      <c r="AR156" s="1">
        <v>10</v>
      </c>
      <c r="AS156" s="2">
        <v>5</v>
      </c>
      <c r="AU156" s="2">
        <v>20.5</v>
      </c>
      <c r="AV156" s="1">
        <v>23.5</v>
      </c>
      <c r="AX156" s="2">
        <v>8</v>
      </c>
      <c r="AY156" s="2">
        <v>10</v>
      </c>
      <c r="AZ156" s="2">
        <v>8</v>
      </c>
      <c r="BA156" s="2">
        <v>5.5</v>
      </c>
      <c r="BC156" t="s">
        <v>234</v>
      </c>
      <c r="BD156" t="s">
        <v>235</v>
      </c>
      <c r="BE156" t="s">
        <v>236</v>
      </c>
      <c r="BF156" t="s">
        <v>343</v>
      </c>
      <c r="BG156" t="s">
        <v>335</v>
      </c>
      <c r="BH156" t="s">
        <v>318</v>
      </c>
      <c r="BJ156" s="2" t="s">
        <v>214</v>
      </c>
      <c r="BK156" s="2" t="s">
        <v>381</v>
      </c>
      <c r="BL156" s="1" t="s">
        <v>221</v>
      </c>
      <c r="BM156" s="1">
        <v>6.5</v>
      </c>
      <c r="BN156" s="1">
        <v>10</v>
      </c>
      <c r="BO156" s="1">
        <v>6</v>
      </c>
      <c r="BP156" s="1">
        <v>9.5</v>
      </c>
      <c r="BQ156" s="1">
        <v>8</v>
      </c>
      <c r="BR156" s="2" t="s">
        <v>223</v>
      </c>
      <c r="BS156" s="2">
        <v>7</v>
      </c>
      <c r="BT156" s="2">
        <v>10</v>
      </c>
      <c r="BU156" s="2">
        <v>6</v>
      </c>
      <c r="BV156" s="2">
        <v>6</v>
      </c>
      <c r="BW156" s="2">
        <v>7</v>
      </c>
      <c r="BX156" s="3" t="s">
        <v>382</v>
      </c>
      <c r="BY156" s="1" t="s">
        <v>230</v>
      </c>
    </row>
    <row r="157" spans="1:77" x14ac:dyDescent="0.25">
      <c r="A157">
        <v>40</v>
      </c>
      <c r="B157" t="s">
        <v>18</v>
      </c>
      <c r="C157">
        <v>16480</v>
      </c>
      <c r="D157" t="s">
        <v>212</v>
      </c>
      <c r="E157" s="1" t="s">
        <v>13</v>
      </c>
      <c r="G157" s="1">
        <v>19</v>
      </c>
      <c r="H157" s="2">
        <v>10.5</v>
      </c>
      <c r="I157" s="2">
        <f t="shared" si="42"/>
        <v>4</v>
      </c>
      <c r="J157" s="3">
        <f t="shared" si="43"/>
        <v>4.5</v>
      </c>
      <c r="K157" s="1">
        <v>25</v>
      </c>
      <c r="N157" s="1">
        <v>27.5</v>
      </c>
      <c r="O157" s="3">
        <v>32</v>
      </c>
      <c r="P157" s="2">
        <f t="shared" si="44"/>
        <v>7.5</v>
      </c>
      <c r="Q157" s="3">
        <f t="shared" si="45"/>
        <v>9.5</v>
      </c>
      <c r="R157" s="1">
        <v>67</v>
      </c>
      <c r="U157" s="1">
        <v>18</v>
      </c>
      <c r="V157" s="3">
        <v>16</v>
      </c>
      <c r="W157" s="2">
        <f t="shared" si="46"/>
        <v>4.5</v>
      </c>
      <c r="X157" s="3">
        <f t="shared" si="47"/>
        <v>3</v>
      </c>
      <c r="Y157" s="1">
        <v>24</v>
      </c>
      <c r="AB157" s="1">
        <v>13</v>
      </c>
      <c r="AC157" s="3">
        <v>7</v>
      </c>
      <c r="AD157" s="2">
        <f t="shared" si="48"/>
        <v>2.5</v>
      </c>
      <c r="AE157" s="3">
        <f t="shared" si="49"/>
        <v>7.5</v>
      </c>
      <c r="AF157" s="1">
        <v>15</v>
      </c>
      <c r="AI157" s="1">
        <v>14</v>
      </c>
      <c r="AJ157" s="3">
        <v>5.5</v>
      </c>
      <c r="AK157" s="2">
        <f t="shared" si="50"/>
        <v>2.5</v>
      </c>
      <c r="AL157" s="3">
        <f t="shared" si="51"/>
        <v>6.5</v>
      </c>
      <c r="AM157" s="1">
        <v>7.5</v>
      </c>
      <c r="AN157" s="1">
        <f t="shared" si="52"/>
        <v>16.5</v>
      </c>
      <c r="AP157" s="1">
        <v>17.5</v>
      </c>
      <c r="AQ157" s="2">
        <v>17</v>
      </c>
      <c r="AR157" s="1">
        <v>19.5</v>
      </c>
      <c r="AS157" s="2">
        <v>9</v>
      </c>
      <c r="AU157" s="2">
        <v>10.5</v>
      </c>
      <c r="AV157" s="1">
        <v>20.5</v>
      </c>
      <c r="AX157" s="2">
        <v>7</v>
      </c>
      <c r="AY157" s="2">
        <v>10</v>
      </c>
      <c r="AZ157" s="2">
        <v>8</v>
      </c>
      <c r="BA157" s="2">
        <v>4</v>
      </c>
      <c r="BC157" t="s">
        <v>234</v>
      </c>
      <c r="BD157" t="s">
        <v>235</v>
      </c>
      <c r="BE157" t="s">
        <v>236</v>
      </c>
      <c r="BG157" t="s">
        <v>335</v>
      </c>
      <c r="BH157" t="s">
        <v>244</v>
      </c>
      <c r="BJ157" s="2" t="s">
        <v>214</v>
      </c>
      <c r="BK157" s="2" t="s">
        <v>381</v>
      </c>
      <c r="BL157" s="1" t="s">
        <v>221</v>
      </c>
      <c r="BM157" s="1">
        <v>5</v>
      </c>
      <c r="BN157" s="1">
        <v>9</v>
      </c>
      <c r="BO157" s="1">
        <v>3</v>
      </c>
      <c r="BP157" s="1">
        <v>10</v>
      </c>
      <c r="BQ157" s="1">
        <v>5.5</v>
      </c>
      <c r="BR157" s="2" t="s">
        <v>223</v>
      </c>
      <c r="BS157" s="2">
        <v>4</v>
      </c>
      <c r="BT157" s="2">
        <v>10</v>
      </c>
      <c r="BU157" s="2">
        <v>2.5</v>
      </c>
      <c r="BV157" s="2">
        <v>4.5</v>
      </c>
      <c r="BW157" s="2">
        <v>7.5</v>
      </c>
      <c r="BX157" s="3" t="s">
        <v>382</v>
      </c>
      <c r="BY157" s="1" t="s">
        <v>230</v>
      </c>
    </row>
    <row r="158" spans="1:77" x14ac:dyDescent="0.25">
      <c r="A158">
        <v>1</v>
      </c>
      <c r="B158" t="s">
        <v>22</v>
      </c>
      <c r="C158">
        <v>17939</v>
      </c>
      <c r="D158" t="s">
        <v>23</v>
      </c>
      <c r="E158" s="1" t="s">
        <v>13</v>
      </c>
      <c r="G158" s="1">
        <v>32</v>
      </c>
      <c r="H158" s="2">
        <v>30</v>
      </c>
      <c r="I158" s="2">
        <f t="shared" si="42"/>
        <v>8</v>
      </c>
      <c r="J158" s="3">
        <f t="shared" si="43"/>
        <v>9.5</v>
      </c>
      <c r="K158" s="1">
        <v>53</v>
      </c>
      <c r="N158" s="1">
        <v>30.5</v>
      </c>
      <c r="O158" s="3">
        <v>35</v>
      </c>
      <c r="P158" s="2">
        <f t="shared" si="44"/>
        <v>8.5</v>
      </c>
      <c r="Q158" s="3">
        <f t="shared" si="45"/>
        <v>9.5</v>
      </c>
      <c r="R158" s="1">
        <v>68.5</v>
      </c>
      <c r="U158" s="1">
        <v>36</v>
      </c>
      <c r="V158" s="3">
        <v>36.5</v>
      </c>
      <c r="W158" s="2">
        <f t="shared" si="46"/>
        <v>9.5</v>
      </c>
      <c r="X158" s="3">
        <f t="shared" si="47"/>
        <v>9</v>
      </c>
      <c r="Y158" s="1">
        <v>65</v>
      </c>
      <c r="AB158" s="1">
        <v>37.5</v>
      </c>
      <c r="AC158" s="3">
        <v>36</v>
      </c>
      <c r="AD158" s="2">
        <f t="shared" si="48"/>
        <v>9.5</v>
      </c>
      <c r="AE158" s="3">
        <f t="shared" si="49"/>
        <v>9.5</v>
      </c>
      <c r="AF158" s="1">
        <v>62.5</v>
      </c>
      <c r="AI158" s="1">
        <v>33</v>
      </c>
      <c r="AJ158" s="3">
        <v>33.5</v>
      </c>
      <c r="AK158" s="2">
        <f t="shared" si="50"/>
        <v>8.5</v>
      </c>
      <c r="AL158" s="3">
        <f t="shared" si="51"/>
        <v>7</v>
      </c>
      <c r="AM158" s="1">
        <v>59.5</v>
      </c>
      <c r="AN158" s="1">
        <f t="shared" si="52"/>
        <v>75</v>
      </c>
      <c r="AP158" s="1">
        <v>24.5</v>
      </c>
      <c r="AQ158" s="2">
        <v>23</v>
      </c>
      <c r="AR158" s="1">
        <v>28.5</v>
      </c>
      <c r="AS158" s="2">
        <v>9</v>
      </c>
      <c r="AU158" s="2">
        <v>24</v>
      </c>
      <c r="AV158" s="1">
        <v>36.5</v>
      </c>
      <c r="AX158" s="2">
        <v>9.5</v>
      </c>
      <c r="AY158" s="2">
        <v>9</v>
      </c>
      <c r="AZ158" s="2">
        <v>8</v>
      </c>
      <c r="BA158" s="2">
        <v>16</v>
      </c>
      <c r="BC158" t="s">
        <v>234</v>
      </c>
      <c r="BD158" t="s">
        <v>235</v>
      </c>
      <c r="BE158" t="s">
        <v>236</v>
      </c>
      <c r="BF158" t="s">
        <v>263</v>
      </c>
      <c r="BG158" t="s">
        <v>238</v>
      </c>
      <c r="BH158" t="s">
        <v>247</v>
      </c>
      <c r="BJ158" s="2" t="s">
        <v>214</v>
      </c>
      <c r="BK158" s="2" t="s">
        <v>381</v>
      </c>
      <c r="BL158" s="1" t="s">
        <v>221</v>
      </c>
      <c r="BM158" s="1">
        <v>10</v>
      </c>
      <c r="BN158" s="1">
        <v>9.5</v>
      </c>
      <c r="BO158" s="1">
        <v>9.5</v>
      </c>
      <c r="BP158" s="1">
        <v>10</v>
      </c>
      <c r="BQ158" s="1">
        <v>7.5</v>
      </c>
      <c r="BR158" s="2" t="s">
        <v>223</v>
      </c>
      <c r="BS158" s="2">
        <v>9</v>
      </c>
      <c r="BT158" s="2">
        <v>9</v>
      </c>
      <c r="BU158" s="2">
        <v>8</v>
      </c>
      <c r="BV158" s="2">
        <v>8.5</v>
      </c>
      <c r="BW158" s="2">
        <v>6</v>
      </c>
      <c r="BX158" s="3" t="s">
        <v>382</v>
      </c>
      <c r="BY158" s="1" t="s">
        <v>230</v>
      </c>
    </row>
    <row r="159" spans="1:77" x14ac:dyDescent="0.25">
      <c r="A159">
        <v>2</v>
      </c>
      <c r="B159" t="s">
        <v>22</v>
      </c>
      <c r="C159">
        <v>16542</v>
      </c>
      <c r="D159" t="s">
        <v>28</v>
      </c>
      <c r="E159" s="1" t="s">
        <v>13</v>
      </c>
      <c r="G159" s="1">
        <v>8.5</v>
      </c>
      <c r="H159" s="2">
        <v>16</v>
      </c>
      <c r="I159" s="2">
        <f t="shared" si="42"/>
        <v>3.5</v>
      </c>
      <c r="J159" s="3">
        <f t="shared" si="43"/>
        <v>3.5</v>
      </c>
      <c r="K159" s="1">
        <v>22</v>
      </c>
      <c r="N159" s="1">
        <v>12</v>
      </c>
      <c r="O159" s="3">
        <v>11</v>
      </c>
      <c r="P159" s="2">
        <f t="shared" si="44"/>
        <v>3</v>
      </c>
      <c r="Q159" s="3">
        <f t="shared" si="45"/>
        <v>4</v>
      </c>
      <c r="R159" s="1">
        <v>23.5</v>
      </c>
      <c r="U159" s="1">
        <v>10</v>
      </c>
      <c r="V159" s="3">
        <v>5</v>
      </c>
      <c r="W159" s="2">
        <f t="shared" si="46"/>
        <v>2</v>
      </c>
      <c r="X159" s="3">
        <f t="shared" si="47"/>
        <v>2</v>
      </c>
      <c r="Y159" s="1">
        <v>12</v>
      </c>
      <c r="AB159" s="1">
        <v>14</v>
      </c>
      <c r="AC159" s="3">
        <v>10.5</v>
      </c>
      <c r="AD159" s="2">
        <f t="shared" si="48"/>
        <v>3.5</v>
      </c>
      <c r="AE159" s="3">
        <f t="shared" si="49"/>
        <v>8</v>
      </c>
      <c r="AF159" s="1">
        <v>16.5</v>
      </c>
      <c r="AI159" s="1">
        <v>7</v>
      </c>
      <c r="AJ159" s="3">
        <v>5</v>
      </c>
      <c r="AK159" s="2">
        <f t="shared" si="50"/>
        <v>1.5</v>
      </c>
      <c r="AL159" s="3">
        <f t="shared" si="51"/>
        <v>3.5</v>
      </c>
      <c r="AM159" s="1">
        <v>21</v>
      </c>
      <c r="AN159" s="1">
        <f t="shared" si="52"/>
        <v>26</v>
      </c>
      <c r="AP159" s="1">
        <v>3</v>
      </c>
      <c r="AQ159" s="2">
        <v>4.5</v>
      </c>
      <c r="AR159" s="1">
        <v>2</v>
      </c>
      <c r="AS159" s="2">
        <v>5</v>
      </c>
      <c r="AU159" s="2">
        <v>14.5</v>
      </c>
      <c r="AV159" s="1">
        <v>24</v>
      </c>
      <c r="AX159" s="2">
        <v>8.5</v>
      </c>
      <c r="AY159" s="2">
        <v>4</v>
      </c>
      <c r="AZ159" s="2">
        <v>8</v>
      </c>
      <c r="BA159" s="2">
        <v>9</v>
      </c>
      <c r="BC159" t="s">
        <v>356</v>
      </c>
      <c r="BD159" t="s">
        <v>357</v>
      </c>
      <c r="BE159" t="s">
        <v>358</v>
      </c>
      <c r="BF159" t="s">
        <v>263</v>
      </c>
      <c r="BG159" t="s">
        <v>238</v>
      </c>
      <c r="BH159" t="s">
        <v>359</v>
      </c>
      <c r="BJ159" s="2" t="s">
        <v>214</v>
      </c>
      <c r="BK159" s="2" t="s">
        <v>381</v>
      </c>
      <c r="BL159" s="1" t="s">
        <v>221</v>
      </c>
      <c r="BM159" s="1" t="s">
        <v>222</v>
      </c>
      <c r="BN159" s="1">
        <v>7.5</v>
      </c>
      <c r="BO159" s="1">
        <v>1</v>
      </c>
      <c r="BP159" s="1">
        <v>10</v>
      </c>
      <c r="BQ159" s="1">
        <v>4.5</v>
      </c>
      <c r="BR159" s="2" t="s">
        <v>223</v>
      </c>
      <c r="BS159" s="2">
        <v>7</v>
      </c>
      <c r="BT159" s="2" t="s">
        <v>20</v>
      </c>
      <c r="BU159" s="2">
        <v>3</v>
      </c>
      <c r="BV159" s="2">
        <v>5.5</v>
      </c>
      <c r="BW159" s="2">
        <v>2</v>
      </c>
      <c r="BX159" s="3" t="s">
        <v>382</v>
      </c>
      <c r="BY159" s="1" t="s">
        <v>230</v>
      </c>
    </row>
    <row r="160" spans="1:77" x14ac:dyDescent="0.25">
      <c r="A160">
        <v>3</v>
      </c>
      <c r="B160" t="s">
        <v>22</v>
      </c>
      <c r="C160">
        <v>16726</v>
      </c>
      <c r="D160" t="s">
        <v>33</v>
      </c>
      <c r="E160" s="1" t="s">
        <v>13</v>
      </c>
      <c r="G160" s="1">
        <v>10</v>
      </c>
      <c r="H160" s="2">
        <v>7</v>
      </c>
      <c r="I160" s="2">
        <f t="shared" si="42"/>
        <v>2.5</v>
      </c>
      <c r="J160" s="3">
        <f t="shared" si="43"/>
        <v>5</v>
      </c>
      <c r="K160" s="1">
        <v>17</v>
      </c>
      <c r="N160" s="1">
        <v>16</v>
      </c>
      <c r="O160" s="3">
        <v>21.5</v>
      </c>
      <c r="P160" s="2">
        <f t="shared" si="44"/>
        <v>5</v>
      </c>
      <c r="Q160" s="3">
        <f t="shared" si="45"/>
        <v>8</v>
      </c>
      <c r="R160" s="1">
        <v>47.5</v>
      </c>
      <c r="U160" s="1">
        <v>22.5</v>
      </c>
      <c r="V160" s="3" t="s">
        <v>216</v>
      </c>
      <c r="W160" s="2">
        <f t="shared" si="46"/>
        <v>3</v>
      </c>
      <c r="X160" s="3">
        <f t="shared" si="47"/>
        <v>1</v>
      </c>
      <c r="Y160" s="1">
        <v>28</v>
      </c>
      <c r="AB160" s="1">
        <v>9.5</v>
      </c>
      <c r="AC160" s="3">
        <v>7.5</v>
      </c>
      <c r="AD160" s="2">
        <f t="shared" si="48"/>
        <v>2.5</v>
      </c>
      <c r="AE160" s="3">
        <f t="shared" si="49"/>
        <v>3</v>
      </c>
      <c r="AF160" s="1">
        <v>21</v>
      </c>
      <c r="AI160" s="1">
        <v>8</v>
      </c>
      <c r="AJ160" s="3">
        <v>8</v>
      </c>
      <c r="AK160" s="2">
        <f t="shared" si="50"/>
        <v>2</v>
      </c>
      <c r="AL160" s="3">
        <f t="shared" si="51"/>
        <v>2.5</v>
      </c>
      <c r="AM160" s="1">
        <v>19.5</v>
      </c>
      <c r="AN160" s="1">
        <f t="shared" si="52"/>
        <v>24</v>
      </c>
      <c r="AP160" s="1">
        <v>5</v>
      </c>
      <c r="AQ160" s="2">
        <v>1</v>
      </c>
      <c r="AR160" s="1">
        <v>3.5</v>
      </c>
      <c r="AS160" s="2">
        <v>5</v>
      </c>
      <c r="AU160" s="2">
        <v>8</v>
      </c>
      <c r="AV160" s="1">
        <v>25</v>
      </c>
      <c r="AX160" s="2">
        <v>8.5</v>
      </c>
      <c r="AY160" s="2">
        <v>8</v>
      </c>
      <c r="AZ160" s="2">
        <v>8</v>
      </c>
      <c r="BA160" s="2">
        <v>3</v>
      </c>
      <c r="BC160" t="s">
        <v>234</v>
      </c>
      <c r="BD160" t="s">
        <v>235</v>
      </c>
      <c r="BE160" t="s">
        <v>358</v>
      </c>
      <c r="BF160" t="s">
        <v>263</v>
      </c>
      <c r="BG160" t="s">
        <v>238</v>
      </c>
      <c r="BH160" t="s">
        <v>239</v>
      </c>
      <c r="BJ160" s="2" t="s">
        <v>214</v>
      </c>
      <c r="BK160" s="2" t="s">
        <v>381</v>
      </c>
      <c r="BL160" s="1" t="s">
        <v>221</v>
      </c>
      <c r="BM160" s="1">
        <v>5.5</v>
      </c>
      <c r="BN160" s="1">
        <v>10</v>
      </c>
      <c r="BO160" s="1">
        <v>1.5</v>
      </c>
      <c r="BP160" s="1">
        <v>5.5</v>
      </c>
      <c r="BQ160" s="1">
        <v>5</v>
      </c>
      <c r="BR160" s="2" t="s">
        <v>223</v>
      </c>
      <c r="BS160" s="2">
        <v>4</v>
      </c>
      <c r="BT160" s="2">
        <v>6</v>
      </c>
      <c r="BU160" s="2" t="s">
        <v>20</v>
      </c>
      <c r="BV160" s="2" t="s">
        <v>44</v>
      </c>
      <c r="BW160" s="2" t="s">
        <v>20</v>
      </c>
      <c r="BX160" s="3" t="s">
        <v>382</v>
      </c>
      <c r="BY160" s="1" t="s">
        <v>230</v>
      </c>
    </row>
    <row r="161" spans="1:77" x14ac:dyDescent="0.25">
      <c r="A161">
        <v>4</v>
      </c>
      <c r="B161" t="s">
        <v>22</v>
      </c>
      <c r="C161">
        <v>16466</v>
      </c>
      <c r="D161" t="s">
        <v>38</v>
      </c>
      <c r="E161" s="1" t="s">
        <v>13</v>
      </c>
      <c r="G161" s="1">
        <v>33</v>
      </c>
      <c r="H161" s="2">
        <v>25.5</v>
      </c>
      <c r="I161" s="2">
        <f t="shared" si="42"/>
        <v>7.5</v>
      </c>
      <c r="J161" s="3">
        <f t="shared" si="43"/>
        <v>4</v>
      </c>
      <c r="K161" s="1">
        <v>52</v>
      </c>
      <c r="N161" s="1">
        <v>31.5</v>
      </c>
      <c r="O161" s="3">
        <v>30</v>
      </c>
      <c r="P161" s="2">
        <f t="shared" si="44"/>
        <v>8</v>
      </c>
      <c r="Q161" s="3">
        <f t="shared" si="45"/>
        <v>5</v>
      </c>
      <c r="R161" s="1">
        <v>57.5</v>
      </c>
      <c r="U161" s="1">
        <v>32</v>
      </c>
      <c r="V161" s="3">
        <v>22.5</v>
      </c>
      <c r="W161" s="2">
        <f t="shared" si="46"/>
        <v>7</v>
      </c>
      <c r="X161" s="3">
        <f t="shared" si="47"/>
        <v>6</v>
      </c>
      <c r="Y161" s="1">
        <v>56</v>
      </c>
      <c r="AB161" s="1">
        <v>25</v>
      </c>
      <c r="AC161" s="3">
        <v>34.5</v>
      </c>
      <c r="AD161" s="2">
        <f t="shared" si="48"/>
        <v>7.5</v>
      </c>
      <c r="AE161" s="3">
        <f t="shared" si="49"/>
        <v>5</v>
      </c>
      <c r="AF161" s="1">
        <v>58.5</v>
      </c>
      <c r="AI161" s="1">
        <v>28</v>
      </c>
      <c r="AJ161" s="3">
        <v>24.5</v>
      </c>
      <c r="AK161" s="2">
        <f t="shared" si="50"/>
        <v>7</v>
      </c>
      <c r="AL161" s="3">
        <f t="shared" si="51"/>
        <v>4</v>
      </c>
      <c r="AM161" s="1">
        <v>35</v>
      </c>
      <c r="AN161" s="1">
        <f t="shared" si="52"/>
        <v>46</v>
      </c>
      <c r="AP161" s="1">
        <v>11</v>
      </c>
      <c r="AQ161" s="2">
        <v>5</v>
      </c>
      <c r="AR161" s="1">
        <v>13</v>
      </c>
      <c r="AS161" s="2">
        <v>4</v>
      </c>
      <c r="AU161" s="2">
        <v>21</v>
      </c>
      <c r="AV161" s="1">
        <v>34.5</v>
      </c>
      <c r="AX161" s="2">
        <v>9</v>
      </c>
      <c r="AY161" s="2">
        <v>10</v>
      </c>
      <c r="AZ161" s="2">
        <v>8</v>
      </c>
      <c r="BA161" s="2">
        <v>14</v>
      </c>
      <c r="BC161" t="s">
        <v>234</v>
      </c>
      <c r="BD161" t="s">
        <v>235</v>
      </c>
      <c r="BE161" t="s">
        <v>236</v>
      </c>
      <c r="BF161" t="s">
        <v>360</v>
      </c>
      <c r="BG161" t="s">
        <v>238</v>
      </c>
      <c r="BH161" t="s">
        <v>239</v>
      </c>
      <c r="BJ161" s="2" t="s">
        <v>214</v>
      </c>
      <c r="BK161" s="2" t="s">
        <v>381</v>
      </c>
      <c r="BL161" s="1" t="s">
        <v>221</v>
      </c>
      <c r="BM161" s="1">
        <v>7.5</v>
      </c>
      <c r="BN161" s="1">
        <v>10</v>
      </c>
      <c r="BO161" s="1">
        <v>6</v>
      </c>
      <c r="BP161" s="1">
        <v>10</v>
      </c>
      <c r="BQ161" s="1">
        <v>8</v>
      </c>
      <c r="BR161" s="2" t="s">
        <v>223</v>
      </c>
      <c r="BS161" s="2" t="s">
        <v>21</v>
      </c>
      <c r="BT161" s="2" t="s">
        <v>20</v>
      </c>
      <c r="BU161" s="2">
        <v>6</v>
      </c>
      <c r="BV161" s="2" t="s">
        <v>44</v>
      </c>
      <c r="BW161" s="2" t="s">
        <v>20</v>
      </c>
      <c r="BX161" s="3" t="s">
        <v>382</v>
      </c>
      <c r="BY161" s="1" t="s">
        <v>230</v>
      </c>
    </row>
    <row r="162" spans="1:77" x14ac:dyDescent="0.25">
      <c r="A162">
        <v>5</v>
      </c>
      <c r="B162" t="s">
        <v>22</v>
      </c>
      <c r="C162">
        <v>16732</v>
      </c>
      <c r="D162" t="s">
        <v>43</v>
      </c>
      <c r="E162" s="1" t="s">
        <v>13</v>
      </c>
      <c r="G162" s="1">
        <v>16.5</v>
      </c>
      <c r="H162" s="2">
        <v>14.5</v>
      </c>
      <c r="I162" s="2">
        <f t="shared" ref="I162:I193" si="53">CEILING((N(G162)+N(H162))/80*10,0.5)</f>
        <v>4</v>
      </c>
      <c r="J162" s="3">
        <f t="shared" ref="J162:J195" si="54">CEILING((N(BM162)+N(BS162))/2,0.5)</f>
        <v>3.5</v>
      </c>
      <c r="K162" s="1">
        <v>19.5</v>
      </c>
      <c r="N162" s="1">
        <v>15</v>
      </c>
      <c r="O162" s="3" t="s">
        <v>20</v>
      </c>
      <c r="P162" s="2">
        <f t="shared" ref="P162:P193" si="55">CEILING((N(N162)+N(O162))/80*10,0.5)</f>
        <v>2</v>
      </c>
      <c r="Q162" s="3">
        <f t="shared" ref="Q162:Q195" si="56">CEILING((N(BN162)+N(BT162))/2,0.5)</f>
        <v>4</v>
      </c>
      <c r="R162" s="1">
        <v>25</v>
      </c>
      <c r="U162" s="1">
        <v>20</v>
      </c>
      <c r="V162" s="3" t="s">
        <v>20</v>
      </c>
      <c r="W162" s="2">
        <f t="shared" ref="W162:W193" si="57">CEILING((N(U162)+N(V162))/80*10,0.5)</f>
        <v>2.5</v>
      </c>
      <c r="X162" s="3">
        <f t="shared" ref="X162:X195" si="58">CEILING((N(BO162)+N(BU162))/2,0.5)</f>
        <v>2.5</v>
      </c>
      <c r="Y162" s="1">
        <v>30</v>
      </c>
      <c r="AB162" s="1" t="s">
        <v>44</v>
      </c>
      <c r="AC162" s="3">
        <v>11</v>
      </c>
      <c r="AD162" s="2">
        <f t="shared" ref="AD162:AD193" si="59">CEILING((N(AB162)+N(AC162))/80*10,0.5)</f>
        <v>1.5</v>
      </c>
      <c r="AE162" s="3">
        <f t="shared" ref="AE162:AE195" si="60">CEILING((N(BP162)+N(BV162))/2,0.5)</f>
        <v>5</v>
      </c>
      <c r="AF162" s="1">
        <v>22</v>
      </c>
      <c r="AI162" s="1">
        <v>14.5</v>
      </c>
      <c r="AJ162" s="3">
        <v>14</v>
      </c>
      <c r="AK162" s="2">
        <f t="shared" ref="AK162:AK193" si="61">CEILING((N(AI162)+N(AJ162))/80*10,0.5)</f>
        <v>4</v>
      </c>
      <c r="AL162" s="3">
        <f t="shared" ref="AL162:AL195" si="62">CEILING((N(BQ162)+N(BW162))/2,0.5)</f>
        <v>3</v>
      </c>
      <c r="AM162" s="1">
        <v>20</v>
      </c>
      <c r="AN162" s="1">
        <f t="shared" si="52"/>
        <v>27</v>
      </c>
      <c r="AP162" s="1">
        <v>7</v>
      </c>
      <c r="AQ162" s="2">
        <v>5</v>
      </c>
      <c r="AR162" s="1">
        <v>4</v>
      </c>
      <c r="AS162" s="2">
        <v>4</v>
      </c>
      <c r="AU162" s="2">
        <v>16</v>
      </c>
      <c r="AV162" s="1">
        <v>23.5</v>
      </c>
      <c r="AX162" s="2">
        <v>9.5</v>
      </c>
      <c r="AY162" s="2">
        <v>6</v>
      </c>
      <c r="AZ162" s="2">
        <v>8</v>
      </c>
      <c r="BA162" s="2" t="s">
        <v>21</v>
      </c>
      <c r="BC162" t="s">
        <v>234</v>
      </c>
      <c r="BD162" t="s">
        <v>235</v>
      </c>
      <c r="BE162" t="s">
        <v>236</v>
      </c>
      <c r="BF162" t="s">
        <v>263</v>
      </c>
      <c r="BG162" t="s">
        <v>238</v>
      </c>
      <c r="BH162" t="s">
        <v>361</v>
      </c>
      <c r="BJ162" s="2" t="s">
        <v>214</v>
      </c>
      <c r="BK162" s="2" t="s">
        <v>381</v>
      </c>
      <c r="BL162" s="1" t="s">
        <v>221</v>
      </c>
      <c r="BM162" s="1">
        <v>7</v>
      </c>
      <c r="BN162" s="1">
        <v>8</v>
      </c>
      <c r="BO162" s="1">
        <v>4.5</v>
      </c>
      <c r="BP162" s="1">
        <v>10</v>
      </c>
      <c r="BQ162" s="1">
        <v>5.5</v>
      </c>
      <c r="BR162" s="2" t="s">
        <v>223</v>
      </c>
      <c r="BS162" s="2" t="s">
        <v>21</v>
      </c>
      <c r="BT162" s="2" t="s">
        <v>20</v>
      </c>
      <c r="BU162" s="2" t="s">
        <v>20</v>
      </c>
      <c r="BV162" s="2" t="s">
        <v>44</v>
      </c>
      <c r="BW162" s="2" t="s">
        <v>20</v>
      </c>
      <c r="BX162" s="3" t="s">
        <v>382</v>
      </c>
      <c r="BY162" s="1" t="s">
        <v>230</v>
      </c>
    </row>
    <row r="163" spans="1:77" x14ac:dyDescent="0.25">
      <c r="A163">
        <v>6</v>
      </c>
      <c r="B163" t="s">
        <v>22</v>
      </c>
      <c r="C163">
        <v>18681</v>
      </c>
      <c r="D163" t="s">
        <v>49</v>
      </c>
      <c r="E163" s="1" t="s">
        <v>13</v>
      </c>
      <c r="G163" s="1">
        <v>10.5</v>
      </c>
      <c r="H163" s="2">
        <v>8</v>
      </c>
      <c r="I163" s="2">
        <f t="shared" si="53"/>
        <v>2.5</v>
      </c>
      <c r="J163" s="3">
        <f t="shared" si="54"/>
        <v>6</v>
      </c>
      <c r="K163" s="1">
        <v>22</v>
      </c>
      <c r="N163" s="1">
        <v>13.5</v>
      </c>
      <c r="O163" s="3">
        <v>17</v>
      </c>
      <c r="P163" s="2">
        <f t="shared" si="55"/>
        <v>4</v>
      </c>
      <c r="Q163" s="3">
        <f t="shared" si="56"/>
        <v>8</v>
      </c>
      <c r="R163" s="1">
        <v>36</v>
      </c>
      <c r="U163" s="1">
        <v>9</v>
      </c>
      <c r="V163" s="3">
        <v>13.5</v>
      </c>
      <c r="W163" s="2">
        <f t="shared" si="57"/>
        <v>3</v>
      </c>
      <c r="X163" s="3">
        <f t="shared" si="58"/>
        <v>3</v>
      </c>
      <c r="Y163" s="1">
        <v>29</v>
      </c>
      <c r="AB163" s="1">
        <v>13</v>
      </c>
      <c r="AC163" s="3">
        <v>11</v>
      </c>
      <c r="AD163" s="2">
        <f t="shared" si="59"/>
        <v>3</v>
      </c>
      <c r="AE163" s="3">
        <f t="shared" si="60"/>
        <v>9</v>
      </c>
      <c r="AF163" s="1">
        <v>23.5</v>
      </c>
      <c r="AI163" s="1">
        <v>19.5</v>
      </c>
      <c r="AJ163" s="3">
        <v>11</v>
      </c>
      <c r="AK163" s="2">
        <f t="shared" si="61"/>
        <v>4</v>
      </c>
      <c r="AL163" s="3">
        <f t="shared" si="62"/>
        <v>4.5</v>
      </c>
      <c r="AM163" s="1">
        <v>26.5</v>
      </c>
      <c r="AN163" s="1">
        <f t="shared" si="52"/>
        <v>35</v>
      </c>
      <c r="AP163" s="1">
        <v>13.5</v>
      </c>
      <c r="AQ163" s="2">
        <v>7</v>
      </c>
      <c r="AR163" s="1">
        <v>4</v>
      </c>
      <c r="AS163" s="2">
        <v>4</v>
      </c>
      <c r="AU163" s="2">
        <v>11.5</v>
      </c>
      <c r="AV163" s="1">
        <v>18.5</v>
      </c>
      <c r="AX163" s="2">
        <v>8.5</v>
      </c>
      <c r="AY163" s="2">
        <v>9</v>
      </c>
      <c r="AZ163" s="2">
        <v>8</v>
      </c>
      <c r="BA163" s="2">
        <v>5</v>
      </c>
      <c r="BC163" t="s">
        <v>234</v>
      </c>
      <c r="BD163" t="s">
        <v>235</v>
      </c>
      <c r="BE163" t="s">
        <v>236</v>
      </c>
      <c r="BF163" t="s">
        <v>263</v>
      </c>
      <c r="BG163" t="s">
        <v>238</v>
      </c>
      <c r="BH163" t="s">
        <v>242</v>
      </c>
      <c r="BJ163" s="2" t="s">
        <v>214</v>
      </c>
      <c r="BK163" s="2" t="s">
        <v>381</v>
      </c>
      <c r="BL163" s="1" t="s">
        <v>221</v>
      </c>
      <c r="BM163" s="1">
        <v>6</v>
      </c>
      <c r="BN163" s="1">
        <v>8</v>
      </c>
      <c r="BO163" s="1">
        <v>2</v>
      </c>
      <c r="BP163" s="1">
        <v>10</v>
      </c>
      <c r="BQ163" s="1">
        <v>5</v>
      </c>
      <c r="BR163" s="2" t="s">
        <v>223</v>
      </c>
      <c r="BS163" s="2">
        <v>5.5</v>
      </c>
      <c r="BT163" s="2">
        <v>8</v>
      </c>
      <c r="BU163" s="2">
        <v>4</v>
      </c>
      <c r="BV163" s="2">
        <v>8</v>
      </c>
      <c r="BW163" s="2">
        <v>3.5</v>
      </c>
      <c r="BX163" s="3" t="s">
        <v>382</v>
      </c>
      <c r="BY163" s="1" t="s">
        <v>230</v>
      </c>
    </row>
    <row r="164" spans="1:77" x14ac:dyDescent="0.25">
      <c r="A164">
        <v>7</v>
      </c>
      <c r="B164" t="s">
        <v>22</v>
      </c>
      <c r="C164">
        <v>16453</v>
      </c>
      <c r="D164" t="s">
        <v>54</v>
      </c>
      <c r="E164" s="1" t="s">
        <v>13</v>
      </c>
      <c r="G164" s="1">
        <v>8.5</v>
      </c>
      <c r="H164" s="2">
        <v>3</v>
      </c>
      <c r="I164" s="2">
        <f t="shared" si="53"/>
        <v>1.5</v>
      </c>
      <c r="J164" s="3">
        <f t="shared" si="54"/>
        <v>3</v>
      </c>
      <c r="K164" s="1">
        <v>15.5</v>
      </c>
      <c r="N164" s="1">
        <v>13.5</v>
      </c>
      <c r="O164" s="3">
        <v>20.5</v>
      </c>
      <c r="P164" s="2">
        <f t="shared" si="55"/>
        <v>4.5</v>
      </c>
      <c r="Q164" s="3">
        <f t="shared" si="56"/>
        <v>9</v>
      </c>
      <c r="R164" s="1">
        <v>31</v>
      </c>
      <c r="U164" s="1">
        <v>20</v>
      </c>
      <c r="V164" s="3">
        <v>15</v>
      </c>
      <c r="W164" s="2">
        <f t="shared" si="57"/>
        <v>4.5</v>
      </c>
      <c r="X164" s="3">
        <f t="shared" si="58"/>
        <v>2</v>
      </c>
      <c r="Y164" s="1">
        <v>31.5</v>
      </c>
      <c r="AB164" s="1">
        <v>16.5</v>
      </c>
      <c r="AC164" s="3">
        <v>11.5</v>
      </c>
      <c r="AD164" s="2">
        <f t="shared" si="59"/>
        <v>3.5</v>
      </c>
      <c r="AE164" s="3">
        <f t="shared" si="60"/>
        <v>4</v>
      </c>
      <c r="AF164" s="1">
        <v>32.5</v>
      </c>
      <c r="AI164" s="1">
        <v>9.5</v>
      </c>
      <c r="AJ164" s="3">
        <v>14</v>
      </c>
      <c r="AK164" s="2">
        <f t="shared" si="61"/>
        <v>3</v>
      </c>
      <c r="AL164" s="3">
        <f t="shared" si="62"/>
        <v>2</v>
      </c>
      <c r="AM164" s="1">
        <v>21</v>
      </c>
      <c r="AN164" s="1">
        <f t="shared" si="52"/>
        <v>26</v>
      </c>
      <c r="AP164" s="1">
        <v>7.5</v>
      </c>
      <c r="AQ164" s="2">
        <v>7.5</v>
      </c>
      <c r="AR164" s="1">
        <v>6.5</v>
      </c>
      <c r="AS164" s="2">
        <v>4</v>
      </c>
      <c r="AU164" s="2">
        <v>8</v>
      </c>
      <c r="AV164" s="1">
        <v>21</v>
      </c>
      <c r="AX164" s="2">
        <v>9</v>
      </c>
      <c r="AY164" s="2">
        <v>10</v>
      </c>
      <c r="AZ164" s="2">
        <v>8</v>
      </c>
      <c r="BA164" s="2">
        <v>7</v>
      </c>
      <c r="BC164" t="s">
        <v>234</v>
      </c>
      <c r="BD164" t="s">
        <v>235</v>
      </c>
      <c r="BE164" t="s">
        <v>236</v>
      </c>
      <c r="BF164" t="s">
        <v>263</v>
      </c>
      <c r="BG164" t="s">
        <v>238</v>
      </c>
      <c r="BH164" t="s">
        <v>246</v>
      </c>
      <c r="BJ164" s="2" t="s">
        <v>214</v>
      </c>
      <c r="BK164" s="2" t="s">
        <v>381</v>
      </c>
      <c r="BL164" s="1" t="s">
        <v>221</v>
      </c>
      <c r="BM164" s="1">
        <v>3.5</v>
      </c>
      <c r="BN164" s="1">
        <v>9.5</v>
      </c>
      <c r="BO164" s="1" t="s">
        <v>20</v>
      </c>
      <c r="BP164" s="1" t="s">
        <v>44</v>
      </c>
      <c r="BQ164" s="1" t="s">
        <v>20</v>
      </c>
      <c r="BR164" s="2" t="s">
        <v>223</v>
      </c>
      <c r="BS164" s="2">
        <v>2.5</v>
      </c>
      <c r="BT164" s="2">
        <v>8</v>
      </c>
      <c r="BU164" s="2">
        <v>4</v>
      </c>
      <c r="BV164" s="2">
        <v>7.5</v>
      </c>
      <c r="BW164" s="2">
        <v>4</v>
      </c>
      <c r="BX164" s="3" t="s">
        <v>382</v>
      </c>
      <c r="BY164" s="1" t="s">
        <v>230</v>
      </c>
    </row>
    <row r="165" spans="1:77" x14ac:dyDescent="0.25">
      <c r="A165">
        <v>8</v>
      </c>
      <c r="B165" t="s">
        <v>22</v>
      </c>
      <c r="C165">
        <v>16738</v>
      </c>
      <c r="D165" t="s">
        <v>59</v>
      </c>
      <c r="E165" s="1" t="s">
        <v>13</v>
      </c>
      <c r="G165" s="1">
        <v>11</v>
      </c>
      <c r="H165" s="2">
        <v>12.5</v>
      </c>
      <c r="I165" s="2">
        <f t="shared" si="53"/>
        <v>3</v>
      </c>
      <c r="J165" s="3">
        <f t="shared" si="54"/>
        <v>4.5</v>
      </c>
      <c r="K165" s="1">
        <v>18</v>
      </c>
      <c r="N165" s="1">
        <v>19.5</v>
      </c>
      <c r="O165" s="3">
        <v>28</v>
      </c>
      <c r="P165" s="2">
        <f t="shared" si="55"/>
        <v>6</v>
      </c>
      <c r="Q165" s="3">
        <f t="shared" si="56"/>
        <v>9.5</v>
      </c>
      <c r="R165" s="1">
        <v>42.5</v>
      </c>
      <c r="U165" s="1">
        <v>13.5</v>
      </c>
      <c r="V165" s="3">
        <v>10.5</v>
      </c>
      <c r="W165" s="2">
        <f t="shared" si="57"/>
        <v>3</v>
      </c>
      <c r="X165" s="3">
        <f t="shared" si="58"/>
        <v>2.5</v>
      </c>
      <c r="Y165" s="1">
        <v>27</v>
      </c>
      <c r="AB165" s="1">
        <v>10</v>
      </c>
      <c r="AC165" s="3">
        <v>15.5</v>
      </c>
      <c r="AD165" s="2">
        <f t="shared" si="59"/>
        <v>3.5</v>
      </c>
      <c r="AE165" s="3">
        <f t="shared" si="60"/>
        <v>6.5</v>
      </c>
      <c r="AF165" s="1">
        <v>35.5</v>
      </c>
      <c r="AI165" s="1">
        <v>9.5</v>
      </c>
      <c r="AJ165" s="3">
        <v>14</v>
      </c>
      <c r="AK165" s="2">
        <f t="shared" si="61"/>
        <v>3</v>
      </c>
      <c r="AL165" s="3">
        <f t="shared" si="62"/>
        <v>4.5</v>
      </c>
      <c r="AM165" s="1">
        <v>21.5</v>
      </c>
      <c r="AN165" s="1">
        <f t="shared" si="52"/>
        <v>29</v>
      </c>
      <c r="AP165" s="1">
        <v>8</v>
      </c>
      <c r="AQ165" s="2">
        <v>5</v>
      </c>
      <c r="AR165" s="1">
        <v>6.5</v>
      </c>
      <c r="AS165" s="2">
        <v>3</v>
      </c>
      <c r="AU165" s="2">
        <v>16.5</v>
      </c>
      <c r="AV165" s="1">
        <v>23</v>
      </c>
      <c r="AX165" s="2">
        <v>6</v>
      </c>
      <c r="AY165" s="2">
        <v>10</v>
      </c>
      <c r="AZ165" s="2">
        <v>8</v>
      </c>
      <c r="BA165" s="2">
        <v>2.5</v>
      </c>
      <c r="BC165" t="s">
        <v>234</v>
      </c>
      <c r="BD165" t="s">
        <v>235</v>
      </c>
      <c r="BE165" t="s">
        <v>236</v>
      </c>
      <c r="BF165" t="s">
        <v>263</v>
      </c>
      <c r="BG165" t="s">
        <v>238</v>
      </c>
      <c r="BH165" t="s">
        <v>237</v>
      </c>
      <c r="BJ165" s="2" t="s">
        <v>214</v>
      </c>
      <c r="BK165" s="2" t="s">
        <v>381</v>
      </c>
      <c r="BL165" s="1" t="s">
        <v>221</v>
      </c>
      <c r="BM165" s="1">
        <v>4</v>
      </c>
      <c r="BN165" s="1">
        <v>9</v>
      </c>
      <c r="BO165" s="1">
        <v>1</v>
      </c>
      <c r="BP165" s="1">
        <v>7.5</v>
      </c>
      <c r="BQ165" s="1">
        <v>5.5</v>
      </c>
      <c r="BR165" s="2" t="s">
        <v>223</v>
      </c>
      <c r="BS165" s="2">
        <v>4.5</v>
      </c>
      <c r="BT165" s="2">
        <v>10</v>
      </c>
      <c r="BU165" s="2">
        <v>4</v>
      </c>
      <c r="BV165" s="2">
        <v>5.5</v>
      </c>
      <c r="BW165" s="2">
        <v>3.5</v>
      </c>
      <c r="BX165" s="3" t="s">
        <v>382</v>
      </c>
      <c r="BY165" s="1" t="s">
        <v>230</v>
      </c>
    </row>
    <row r="166" spans="1:77" x14ac:dyDescent="0.25">
      <c r="A166">
        <v>9</v>
      </c>
      <c r="B166" t="s">
        <v>22</v>
      </c>
      <c r="C166">
        <v>16508</v>
      </c>
      <c r="D166" t="s">
        <v>64</v>
      </c>
      <c r="E166" s="1" t="s">
        <v>13</v>
      </c>
      <c r="G166" s="1">
        <v>15</v>
      </c>
      <c r="H166" s="2">
        <v>14</v>
      </c>
      <c r="I166" s="2">
        <f t="shared" si="53"/>
        <v>4</v>
      </c>
      <c r="J166" s="3">
        <f t="shared" si="54"/>
        <v>4.5</v>
      </c>
      <c r="K166" s="1">
        <v>26.5</v>
      </c>
      <c r="N166" s="1">
        <v>35</v>
      </c>
      <c r="O166" s="3">
        <v>33</v>
      </c>
      <c r="P166" s="2">
        <f t="shared" si="55"/>
        <v>8.5</v>
      </c>
      <c r="Q166" s="3">
        <f t="shared" si="56"/>
        <v>10</v>
      </c>
      <c r="R166" s="1">
        <v>64.5</v>
      </c>
      <c r="U166" s="1">
        <v>23.5</v>
      </c>
      <c r="V166" s="3">
        <v>16.5</v>
      </c>
      <c r="W166" s="2">
        <f t="shared" si="57"/>
        <v>5</v>
      </c>
      <c r="X166" s="3">
        <f t="shared" si="58"/>
        <v>4.5</v>
      </c>
      <c r="Y166" s="1">
        <v>47</v>
      </c>
      <c r="AB166" s="1">
        <v>23</v>
      </c>
      <c r="AC166" s="3">
        <v>20.5</v>
      </c>
      <c r="AD166" s="2">
        <f t="shared" si="59"/>
        <v>5.5</v>
      </c>
      <c r="AE166" s="3">
        <f t="shared" si="60"/>
        <v>7</v>
      </c>
      <c r="AF166" s="1">
        <v>34.5</v>
      </c>
      <c r="AI166" s="1" t="s">
        <v>20</v>
      </c>
      <c r="AJ166" s="3">
        <v>23.5</v>
      </c>
      <c r="AK166" s="2">
        <f t="shared" si="61"/>
        <v>3</v>
      </c>
      <c r="AL166" s="3">
        <f t="shared" si="62"/>
        <v>4.5</v>
      </c>
      <c r="AM166" s="1">
        <v>38.5</v>
      </c>
      <c r="AN166" s="1">
        <f t="shared" si="52"/>
        <v>46</v>
      </c>
      <c r="AP166" s="1">
        <v>14</v>
      </c>
      <c r="AQ166" s="2">
        <v>7</v>
      </c>
      <c r="AR166" s="1">
        <v>7</v>
      </c>
      <c r="AS166" s="2">
        <v>5</v>
      </c>
      <c r="AU166" s="2">
        <v>11.5</v>
      </c>
      <c r="AV166" s="1">
        <v>27</v>
      </c>
      <c r="AX166" s="2">
        <v>9</v>
      </c>
      <c r="AY166" s="2">
        <v>9</v>
      </c>
      <c r="AZ166" s="2">
        <v>8</v>
      </c>
      <c r="BA166" s="2">
        <v>13</v>
      </c>
      <c r="BC166" t="s">
        <v>234</v>
      </c>
      <c r="BD166" t="s">
        <v>235</v>
      </c>
      <c r="BE166" t="s">
        <v>236</v>
      </c>
      <c r="BF166" t="s">
        <v>263</v>
      </c>
      <c r="BG166" t="s">
        <v>238</v>
      </c>
      <c r="BH166" t="s">
        <v>246</v>
      </c>
      <c r="BJ166" s="2" t="s">
        <v>214</v>
      </c>
      <c r="BK166" s="2" t="s">
        <v>381</v>
      </c>
      <c r="BL166" s="1" t="s">
        <v>221</v>
      </c>
      <c r="BM166" s="1">
        <v>4</v>
      </c>
      <c r="BN166" s="1">
        <v>9.5</v>
      </c>
      <c r="BO166" s="1">
        <v>4</v>
      </c>
      <c r="BP166" s="1">
        <v>7.5</v>
      </c>
      <c r="BQ166" s="1">
        <v>5.5</v>
      </c>
      <c r="BR166" s="2" t="s">
        <v>223</v>
      </c>
      <c r="BS166" s="2">
        <v>5</v>
      </c>
      <c r="BT166" s="2">
        <v>10</v>
      </c>
      <c r="BU166" s="2">
        <v>4.5</v>
      </c>
      <c r="BV166" s="2">
        <v>6.5</v>
      </c>
      <c r="BW166" s="2">
        <v>3.5</v>
      </c>
      <c r="BX166" s="3" t="s">
        <v>382</v>
      </c>
      <c r="BY166" s="1" t="s">
        <v>230</v>
      </c>
    </row>
    <row r="167" spans="1:77" x14ac:dyDescent="0.25">
      <c r="A167">
        <v>10</v>
      </c>
      <c r="B167" t="s">
        <v>22</v>
      </c>
      <c r="C167">
        <v>16554</v>
      </c>
      <c r="D167" t="s">
        <v>69</v>
      </c>
      <c r="E167" s="1" t="s">
        <v>13</v>
      </c>
      <c r="G167" s="1">
        <v>27.5</v>
      </c>
      <c r="H167" s="2">
        <v>24.5</v>
      </c>
      <c r="I167" s="2">
        <f t="shared" si="53"/>
        <v>6.5</v>
      </c>
      <c r="J167" s="3">
        <f t="shared" si="54"/>
        <v>8</v>
      </c>
      <c r="K167" s="1" t="s">
        <v>21</v>
      </c>
      <c r="N167" s="1">
        <v>23.5</v>
      </c>
      <c r="O167" s="3">
        <v>29.5</v>
      </c>
      <c r="P167" s="2">
        <f t="shared" si="55"/>
        <v>7</v>
      </c>
      <c r="Q167" s="3">
        <f t="shared" si="56"/>
        <v>9.5</v>
      </c>
      <c r="R167" s="1">
        <v>63.5</v>
      </c>
      <c r="U167" s="1">
        <v>29</v>
      </c>
      <c r="V167" s="3">
        <v>23.5</v>
      </c>
      <c r="W167" s="2">
        <f t="shared" si="57"/>
        <v>7</v>
      </c>
      <c r="X167" s="3">
        <f t="shared" si="58"/>
        <v>4.5</v>
      </c>
      <c r="Y167" s="1" t="s">
        <v>20</v>
      </c>
      <c r="AB167" s="1">
        <v>24.5</v>
      </c>
      <c r="AC167" s="3">
        <v>33.5</v>
      </c>
      <c r="AD167" s="2">
        <f t="shared" si="59"/>
        <v>7.5</v>
      </c>
      <c r="AE167" s="3">
        <f t="shared" si="60"/>
        <v>9.5</v>
      </c>
      <c r="AF167" s="1" t="s">
        <v>44</v>
      </c>
      <c r="AI167" s="1">
        <v>33</v>
      </c>
      <c r="AJ167" s="3">
        <v>30.5</v>
      </c>
      <c r="AK167" s="2">
        <f t="shared" si="61"/>
        <v>8</v>
      </c>
      <c r="AL167" s="3">
        <f t="shared" si="62"/>
        <v>7.5</v>
      </c>
      <c r="AM167" s="1">
        <v>52</v>
      </c>
      <c r="AN167" s="1">
        <f t="shared" si="52"/>
        <v>67.5</v>
      </c>
      <c r="AP167" s="1">
        <v>9</v>
      </c>
      <c r="AQ167" s="2">
        <v>5.5</v>
      </c>
      <c r="AR167" s="1">
        <v>18.5</v>
      </c>
      <c r="AS167" s="2">
        <v>6</v>
      </c>
      <c r="AU167" s="2">
        <v>16</v>
      </c>
      <c r="AV167" s="1">
        <v>29</v>
      </c>
      <c r="AX167" s="2">
        <v>8.5</v>
      </c>
      <c r="AY167" s="2">
        <v>10</v>
      </c>
      <c r="AZ167" s="2">
        <v>8</v>
      </c>
      <c r="BA167" s="2">
        <v>12</v>
      </c>
      <c r="BC167" t="s">
        <v>234</v>
      </c>
      <c r="BD167" t="s">
        <v>362</v>
      </c>
      <c r="BE167" t="s">
        <v>236</v>
      </c>
      <c r="BF167" t="s">
        <v>263</v>
      </c>
      <c r="BG167" t="s">
        <v>238</v>
      </c>
      <c r="BH167" t="s">
        <v>240</v>
      </c>
      <c r="BJ167" s="2" t="s">
        <v>214</v>
      </c>
      <c r="BK167" s="2" t="s">
        <v>381</v>
      </c>
      <c r="BL167" s="1" t="s">
        <v>221</v>
      </c>
      <c r="BM167" s="1">
        <v>7.5</v>
      </c>
      <c r="BN167" s="1">
        <v>10</v>
      </c>
      <c r="BO167" s="1">
        <v>3</v>
      </c>
      <c r="BP167" s="1">
        <v>10</v>
      </c>
      <c r="BQ167" s="1">
        <v>8</v>
      </c>
      <c r="BR167" s="2" t="s">
        <v>223</v>
      </c>
      <c r="BS167" s="2">
        <v>8.5</v>
      </c>
      <c r="BT167" s="2">
        <v>9</v>
      </c>
      <c r="BU167" s="2">
        <v>6</v>
      </c>
      <c r="BV167" s="2">
        <v>8.5</v>
      </c>
      <c r="BW167" s="2">
        <v>6.5</v>
      </c>
      <c r="BX167" s="3" t="s">
        <v>382</v>
      </c>
      <c r="BY167" s="1" t="s">
        <v>230</v>
      </c>
    </row>
    <row r="168" spans="1:77" x14ac:dyDescent="0.25">
      <c r="A168">
        <v>11</v>
      </c>
      <c r="B168" t="s">
        <v>22</v>
      </c>
      <c r="C168">
        <v>18331</v>
      </c>
      <c r="D168" t="s">
        <v>74</v>
      </c>
      <c r="E168" s="1" t="s">
        <v>13</v>
      </c>
      <c r="G168" s="1">
        <v>14.5</v>
      </c>
      <c r="H168" s="2">
        <v>10</v>
      </c>
      <c r="I168" s="2">
        <f t="shared" si="53"/>
        <v>3.5</v>
      </c>
      <c r="J168" s="3">
        <f t="shared" si="54"/>
        <v>4.5</v>
      </c>
      <c r="K168" s="1" t="s">
        <v>21</v>
      </c>
      <c r="N168" s="1">
        <v>15.5</v>
      </c>
      <c r="O168" s="3">
        <v>14</v>
      </c>
      <c r="P168" s="2">
        <f t="shared" si="55"/>
        <v>4</v>
      </c>
      <c r="Q168" s="3">
        <f t="shared" si="56"/>
        <v>9</v>
      </c>
      <c r="R168" s="1">
        <v>28</v>
      </c>
      <c r="U168" s="1">
        <v>13.5</v>
      </c>
      <c r="V168" s="3">
        <v>20.5</v>
      </c>
      <c r="W168" s="2">
        <f t="shared" si="57"/>
        <v>4.5</v>
      </c>
      <c r="X168" s="3">
        <f t="shared" si="58"/>
        <v>3.5</v>
      </c>
      <c r="Y168" s="1">
        <v>23.5</v>
      </c>
      <c r="AB168" s="1">
        <v>14</v>
      </c>
      <c r="AC168" s="3">
        <v>4.5</v>
      </c>
      <c r="AD168" s="2">
        <f t="shared" si="59"/>
        <v>2.5</v>
      </c>
      <c r="AE168" s="3">
        <f t="shared" si="60"/>
        <v>6.5</v>
      </c>
      <c r="AF168" s="1">
        <v>23.5</v>
      </c>
      <c r="AI168" s="1" t="s">
        <v>20</v>
      </c>
      <c r="AJ168" s="3">
        <v>13.5</v>
      </c>
      <c r="AK168" s="2">
        <f t="shared" si="61"/>
        <v>2</v>
      </c>
      <c r="AL168" s="3">
        <f t="shared" si="62"/>
        <v>4</v>
      </c>
      <c r="AM168" s="1">
        <v>20</v>
      </c>
      <c r="AN168" s="1">
        <f t="shared" si="52"/>
        <v>26</v>
      </c>
      <c r="AP168" s="1">
        <v>12.5</v>
      </c>
      <c r="AQ168" s="2">
        <v>12.5</v>
      </c>
      <c r="AR168" s="1">
        <v>11.5</v>
      </c>
      <c r="AS168" s="2">
        <v>5</v>
      </c>
      <c r="AU168" s="2" t="s">
        <v>21</v>
      </c>
      <c r="AV168" s="1">
        <v>23.5</v>
      </c>
      <c r="AX168" s="2">
        <v>7</v>
      </c>
      <c r="AY168" s="2">
        <v>6</v>
      </c>
      <c r="AZ168" s="2">
        <v>8</v>
      </c>
      <c r="BA168" s="2">
        <v>9</v>
      </c>
      <c r="BC168" t="s">
        <v>234</v>
      </c>
      <c r="BD168" t="s">
        <v>235</v>
      </c>
      <c r="BE168" t="s">
        <v>236</v>
      </c>
      <c r="BF168" t="s">
        <v>263</v>
      </c>
      <c r="BG168" t="s">
        <v>238</v>
      </c>
      <c r="BH168" t="s">
        <v>318</v>
      </c>
      <c r="BJ168" s="2" t="s">
        <v>214</v>
      </c>
      <c r="BK168" s="2" t="s">
        <v>381</v>
      </c>
      <c r="BL168" s="1" t="s">
        <v>221</v>
      </c>
      <c r="BM168" s="1">
        <v>5</v>
      </c>
      <c r="BN168" s="1">
        <v>8.5</v>
      </c>
      <c r="BO168" s="1">
        <v>3</v>
      </c>
      <c r="BP168" s="1">
        <v>8</v>
      </c>
      <c r="BQ168" s="1">
        <v>4</v>
      </c>
      <c r="BR168" s="2" t="s">
        <v>223</v>
      </c>
      <c r="BS168" s="2">
        <v>4</v>
      </c>
      <c r="BT168" s="2">
        <v>9</v>
      </c>
      <c r="BU168" s="2">
        <v>3.5</v>
      </c>
      <c r="BV168" s="2">
        <v>4.5</v>
      </c>
      <c r="BW168" s="2">
        <v>3.5</v>
      </c>
      <c r="BX168" s="3" t="s">
        <v>382</v>
      </c>
      <c r="BY168" s="1" t="s">
        <v>230</v>
      </c>
    </row>
    <row r="169" spans="1:77" x14ac:dyDescent="0.25">
      <c r="A169">
        <v>12</v>
      </c>
      <c r="B169" t="s">
        <v>22</v>
      </c>
      <c r="C169">
        <v>16507</v>
      </c>
      <c r="D169" t="s">
        <v>79</v>
      </c>
      <c r="E169" s="1" t="s">
        <v>13</v>
      </c>
      <c r="G169" s="1">
        <v>21</v>
      </c>
      <c r="H169" s="2">
        <v>18.5</v>
      </c>
      <c r="I169" s="2">
        <f t="shared" si="53"/>
        <v>5</v>
      </c>
      <c r="J169" s="3">
        <f t="shared" si="54"/>
        <v>5.5</v>
      </c>
      <c r="K169" s="1">
        <v>27</v>
      </c>
      <c r="N169" s="1">
        <v>23.5</v>
      </c>
      <c r="O169" s="3">
        <v>35.5</v>
      </c>
      <c r="P169" s="2">
        <f t="shared" si="55"/>
        <v>7.5</v>
      </c>
      <c r="Q169" s="3">
        <f t="shared" si="56"/>
        <v>9</v>
      </c>
      <c r="R169" s="1">
        <v>59</v>
      </c>
      <c r="U169" s="1">
        <v>29.5</v>
      </c>
      <c r="V169" s="3">
        <v>22</v>
      </c>
      <c r="W169" s="2">
        <f t="shared" si="57"/>
        <v>6.5</v>
      </c>
      <c r="X169" s="3">
        <f t="shared" si="58"/>
        <v>5.5</v>
      </c>
      <c r="Y169" s="1">
        <v>54.5</v>
      </c>
      <c r="AB169" s="1">
        <v>25</v>
      </c>
      <c r="AC169" s="3">
        <v>18.5</v>
      </c>
      <c r="AD169" s="2">
        <f t="shared" si="59"/>
        <v>5.5</v>
      </c>
      <c r="AE169" s="3">
        <f t="shared" si="60"/>
        <v>8.5</v>
      </c>
      <c r="AF169" s="1">
        <v>40.5</v>
      </c>
      <c r="AI169" s="1">
        <v>25</v>
      </c>
      <c r="AJ169" s="3">
        <v>19.5</v>
      </c>
      <c r="AK169" s="2">
        <f t="shared" si="61"/>
        <v>6</v>
      </c>
      <c r="AL169" s="3">
        <f t="shared" si="62"/>
        <v>5.5</v>
      </c>
      <c r="AM169" s="1">
        <v>28</v>
      </c>
      <c r="AN169" s="1">
        <f t="shared" si="52"/>
        <v>39.5</v>
      </c>
      <c r="AP169" s="1">
        <v>10</v>
      </c>
      <c r="AQ169" s="2">
        <v>12.5</v>
      </c>
      <c r="AR169" s="1">
        <v>16</v>
      </c>
      <c r="AS169" s="2">
        <v>5</v>
      </c>
      <c r="AU169" s="2">
        <v>19</v>
      </c>
      <c r="AV169" s="1">
        <v>22</v>
      </c>
      <c r="AX169" s="2">
        <v>8.5</v>
      </c>
      <c r="AY169" s="2">
        <v>10</v>
      </c>
      <c r="AZ169" s="2">
        <v>8</v>
      </c>
      <c r="BA169" s="2">
        <v>14</v>
      </c>
      <c r="BC169" t="s">
        <v>234</v>
      </c>
      <c r="BD169" t="s">
        <v>235</v>
      </c>
      <c r="BE169" t="s">
        <v>236</v>
      </c>
      <c r="BF169" t="s">
        <v>363</v>
      </c>
      <c r="BG169" t="s">
        <v>238</v>
      </c>
      <c r="BH169" t="s">
        <v>247</v>
      </c>
      <c r="BJ169" s="2" t="s">
        <v>214</v>
      </c>
      <c r="BK169" s="2" t="s">
        <v>381</v>
      </c>
      <c r="BL169" s="1" t="s">
        <v>221</v>
      </c>
      <c r="BM169" s="1">
        <v>5</v>
      </c>
      <c r="BN169" s="1">
        <v>10</v>
      </c>
      <c r="BO169" s="1">
        <v>5</v>
      </c>
      <c r="BP169" s="1">
        <v>10</v>
      </c>
      <c r="BQ169" s="1">
        <v>5</v>
      </c>
      <c r="BR169" s="2" t="s">
        <v>223</v>
      </c>
      <c r="BS169" s="2">
        <v>5.5</v>
      </c>
      <c r="BT169" s="2">
        <v>8</v>
      </c>
      <c r="BU169" s="2">
        <v>6</v>
      </c>
      <c r="BV169" s="2">
        <v>6.5</v>
      </c>
      <c r="BW169" s="2">
        <v>5.5</v>
      </c>
      <c r="BX169" s="3" t="s">
        <v>382</v>
      </c>
      <c r="BY169" s="1" t="s">
        <v>230</v>
      </c>
    </row>
    <row r="170" spans="1:77" x14ac:dyDescent="0.25">
      <c r="A170">
        <v>13</v>
      </c>
      <c r="B170" t="s">
        <v>22</v>
      </c>
      <c r="C170">
        <v>16455</v>
      </c>
      <c r="D170" t="s">
        <v>84</v>
      </c>
      <c r="E170" s="1" t="s">
        <v>13</v>
      </c>
      <c r="G170" s="1">
        <v>26</v>
      </c>
      <c r="H170" s="2">
        <v>21.5</v>
      </c>
      <c r="I170" s="2">
        <f t="shared" si="53"/>
        <v>6</v>
      </c>
      <c r="J170" s="3">
        <f t="shared" si="54"/>
        <v>6.5</v>
      </c>
      <c r="K170" s="1">
        <v>43.5</v>
      </c>
      <c r="N170" s="1">
        <v>26</v>
      </c>
      <c r="O170" s="3">
        <v>28</v>
      </c>
      <c r="P170" s="2">
        <f t="shared" si="55"/>
        <v>7</v>
      </c>
      <c r="Q170" s="3">
        <f t="shared" si="56"/>
        <v>10</v>
      </c>
      <c r="R170" s="1">
        <v>53.5</v>
      </c>
      <c r="U170" s="1">
        <v>27.5</v>
      </c>
      <c r="V170" s="3">
        <v>26</v>
      </c>
      <c r="W170" s="2">
        <f t="shared" si="57"/>
        <v>7</v>
      </c>
      <c r="X170" s="3">
        <f t="shared" si="58"/>
        <v>5.5</v>
      </c>
      <c r="Y170" s="1">
        <v>49.5</v>
      </c>
      <c r="AB170" s="1">
        <v>21</v>
      </c>
      <c r="AC170" s="3">
        <v>30.5</v>
      </c>
      <c r="AD170" s="2">
        <f t="shared" si="59"/>
        <v>6.5</v>
      </c>
      <c r="AE170" s="3">
        <f t="shared" si="60"/>
        <v>9</v>
      </c>
      <c r="AF170" s="1">
        <v>55.5</v>
      </c>
      <c r="AI170" s="1">
        <v>27.5</v>
      </c>
      <c r="AJ170" s="3">
        <v>26</v>
      </c>
      <c r="AK170" s="2">
        <f t="shared" si="61"/>
        <v>7</v>
      </c>
      <c r="AL170" s="3">
        <f t="shared" si="62"/>
        <v>6</v>
      </c>
      <c r="AM170" s="1">
        <v>44.5</v>
      </c>
      <c r="AN170" s="1">
        <f t="shared" si="52"/>
        <v>57.5</v>
      </c>
      <c r="AP170" s="1">
        <v>9</v>
      </c>
      <c r="AQ170" s="2">
        <v>10.5</v>
      </c>
      <c r="AR170" s="1">
        <v>15.5</v>
      </c>
      <c r="AS170" s="2">
        <v>6</v>
      </c>
      <c r="AU170" s="2">
        <v>18.5</v>
      </c>
      <c r="AV170" s="1">
        <v>35</v>
      </c>
      <c r="AX170" s="2">
        <v>9</v>
      </c>
      <c r="AY170" s="2">
        <v>10</v>
      </c>
      <c r="AZ170" s="2">
        <v>8</v>
      </c>
      <c r="BA170" s="2">
        <v>16.5</v>
      </c>
      <c r="BC170" t="s">
        <v>234</v>
      </c>
      <c r="BD170" t="s">
        <v>362</v>
      </c>
      <c r="BE170" t="s">
        <v>236</v>
      </c>
      <c r="BF170" t="s">
        <v>263</v>
      </c>
      <c r="BG170" t="s">
        <v>238</v>
      </c>
      <c r="BH170" t="s">
        <v>244</v>
      </c>
      <c r="BJ170" s="2" t="s">
        <v>214</v>
      </c>
      <c r="BK170" s="2" t="s">
        <v>381</v>
      </c>
      <c r="BL170" s="1" t="s">
        <v>221</v>
      </c>
      <c r="BM170" s="1">
        <v>5.5</v>
      </c>
      <c r="BN170" s="1">
        <v>9.5</v>
      </c>
      <c r="BO170" s="1">
        <v>5</v>
      </c>
      <c r="BP170" s="1">
        <v>10</v>
      </c>
      <c r="BQ170" s="1">
        <v>5.5</v>
      </c>
      <c r="BR170" s="2" t="s">
        <v>223</v>
      </c>
      <c r="BS170" s="2">
        <v>7.5</v>
      </c>
      <c r="BT170" s="2">
        <v>10</v>
      </c>
      <c r="BU170" s="2">
        <v>5.5</v>
      </c>
      <c r="BV170" s="2">
        <v>7.5</v>
      </c>
      <c r="BW170" s="2">
        <v>6.5</v>
      </c>
      <c r="BX170" s="3" t="s">
        <v>382</v>
      </c>
      <c r="BY170" s="1" t="s">
        <v>230</v>
      </c>
    </row>
    <row r="171" spans="1:77" x14ac:dyDescent="0.25">
      <c r="A171">
        <v>14</v>
      </c>
      <c r="B171" t="s">
        <v>22</v>
      </c>
      <c r="C171">
        <v>17985</v>
      </c>
      <c r="D171" t="s">
        <v>89</v>
      </c>
      <c r="E171" s="1" t="s">
        <v>13</v>
      </c>
      <c r="G171" s="1">
        <v>28.5</v>
      </c>
      <c r="H171" s="2">
        <v>30</v>
      </c>
      <c r="I171" s="2">
        <f t="shared" si="53"/>
        <v>7.5</v>
      </c>
      <c r="J171" s="3">
        <f t="shared" si="54"/>
        <v>5</v>
      </c>
      <c r="K171" s="1">
        <v>45</v>
      </c>
      <c r="N171" s="1">
        <v>34.5</v>
      </c>
      <c r="O171" s="3">
        <v>37</v>
      </c>
      <c r="P171" s="2">
        <f t="shared" si="55"/>
        <v>9</v>
      </c>
      <c r="Q171" s="3">
        <f t="shared" si="56"/>
        <v>10</v>
      </c>
      <c r="R171" s="1">
        <v>68</v>
      </c>
      <c r="U171" s="1">
        <v>28.5</v>
      </c>
      <c r="V171" s="3">
        <v>26.5</v>
      </c>
      <c r="W171" s="2">
        <f t="shared" si="57"/>
        <v>7</v>
      </c>
      <c r="X171" s="3">
        <f t="shared" si="58"/>
        <v>6</v>
      </c>
      <c r="Y171" s="1">
        <v>46.5</v>
      </c>
      <c r="AB171" s="1">
        <v>29.5</v>
      </c>
      <c r="AC171" s="3">
        <v>37</v>
      </c>
      <c r="AD171" s="2">
        <f t="shared" si="59"/>
        <v>8.5</v>
      </c>
      <c r="AE171" s="3">
        <f t="shared" si="60"/>
        <v>8.5</v>
      </c>
      <c r="AF171" s="1">
        <v>64.5</v>
      </c>
      <c r="AI171" s="1">
        <v>29.5</v>
      </c>
      <c r="AJ171" s="3">
        <v>34.5</v>
      </c>
      <c r="AK171" s="2">
        <f t="shared" si="61"/>
        <v>8</v>
      </c>
      <c r="AL171" s="3">
        <f t="shared" si="62"/>
        <v>6</v>
      </c>
      <c r="AM171" s="1">
        <v>54</v>
      </c>
      <c r="AN171" s="1">
        <f t="shared" si="52"/>
        <v>68</v>
      </c>
      <c r="AP171" s="1">
        <v>8</v>
      </c>
      <c r="AQ171" s="2">
        <v>20</v>
      </c>
      <c r="AR171" s="1">
        <v>23</v>
      </c>
      <c r="AS171" s="2">
        <v>5</v>
      </c>
      <c r="AU171" s="2">
        <v>17.5</v>
      </c>
      <c r="AV171" s="1">
        <v>31</v>
      </c>
      <c r="AX171" s="2">
        <v>8.5</v>
      </c>
      <c r="AY171" s="2">
        <v>10</v>
      </c>
      <c r="AZ171" s="2">
        <v>8</v>
      </c>
      <c r="BA171" s="2">
        <v>10.5</v>
      </c>
      <c r="BC171" t="s">
        <v>234</v>
      </c>
      <c r="BD171" t="s">
        <v>235</v>
      </c>
      <c r="BE171" t="s">
        <v>236</v>
      </c>
      <c r="BF171" t="s">
        <v>263</v>
      </c>
      <c r="BG171" t="s">
        <v>238</v>
      </c>
      <c r="BH171" t="s">
        <v>244</v>
      </c>
      <c r="BJ171" s="2" t="s">
        <v>214</v>
      </c>
      <c r="BK171" s="2" t="s">
        <v>381</v>
      </c>
      <c r="BL171" s="1" t="s">
        <v>221</v>
      </c>
      <c r="BM171" s="1">
        <v>5</v>
      </c>
      <c r="BN171" s="1">
        <v>10</v>
      </c>
      <c r="BO171" s="1">
        <v>6</v>
      </c>
      <c r="BP171" s="1">
        <v>10</v>
      </c>
      <c r="BQ171" s="1">
        <v>6.5</v>
      </c>
      <c r="BR171" s="2" t="s">
        <v>223</v>
      </c>
      <c r="BS171" s="2">
        <v>5</v>
      </c>
      <c r="BT171" s="2">
        <v>10</v>
      </c>
      <c r="BU171" s="2">
        <v>5.5</v>
      </c>
      <c r="BV171" s="2">
        <v>7</v>
      </c>
      <c r="BW171" s="2">
        <v>5</v>
      </c>
      <c r="BX171" s="3" t="s">
        <v>382</v>
      </c>
      <c r="BY171" s="1" t="s">
        <v>230</v>
      </c>
    </row>
    <row r="172" spans="1:77" x14ac:dyDescent="0.25">
      <c r="A172">
        <v>15</v>
      </c>
      <c r="B172" t="s">
        <v>22</v>
      </c>
      <c r="C172">
        <v>16579</v>
      </c>
      <c r="D172" t="s">
        <v>94</v>
      </c>
      <c r="E172" s="1" t="s">
        <v>13</v>
      </c>
      <c r="G172" s="1">
        <v>26.5</v>
      </c>
      <c r="H172" s="2">
        <v>22.5</v>
      </c>
      <c r="I172" s="2">
        <f t="shared" si="53"/>
        <v>6.5</v>
      </c>
      <c r="J172" s="3">
        <f t="shared" si="54"/>
        <v>6.5</v>
      </c>
      <c r="K172" s="1">
        <v>42.5</v>
      </c>
      <c r="N172" s="1">
        <v>34.5</v>
      </c>
      <c r="O172" s="3">
        <v>35</v>
      </c>
      <c r="P172" s="2">
        <f t="shared" si="55"/>
        <v>9</v>
      </c>
      <c r="Q172" s="3">
        <f t="shared" si="56"/>
        <v>10</v>
      </c>
      <c r="R172" s="1">
        <v>65.5</v>
      </c>
      <c r="U172" s="1">
        <v>35</v>
      </c>
      <c r="V172" s="3">
        <v>16</v>
      </c>
      <c r="W172" s="2">
        <f t="shared" si="57"/>
        <v>6.5</v>
      </c>
      <c r="X172" s="3">
        <f t="shared" si="58"/>
        <v>5.5</v>
      </c>
      <c r="Y172" s="1">
        <v>42.5</v>
      </c>
      <c r="AB172" s="1">
        <v>29.5</v>
      </c>
      <c r="AC172" s="3">
        <v>31</v>
      </c>
      <c r="AD172" s="2">
        <f t="shared" si="59"/>
        <v>8</v>
      </c>
      <c r="AE172" s="3">
        <f t="shared" si="60"/>
        <v>8.5</v>
      </c>
      <c r="AF172" s="1">
        <v>69.5</v>
      </c>
      <c r="AI172" s="1">
        <v>29.5</v>
      </c>
      <c r="AJ172" s="3">
        <v>29</v>
      </c>
      <c r="AK172" s="2">
        <f t="shared" si="61"/>
        <v>7.5</v>
      </c>
      <c r="AL172" s="3">
        <f t="shared" si="62"/>
        <v>7.5</v>
      </c>
      <c r="AM172" s="1">
        <v>57</v>
      </c>
      <c r="AN172" s="1">
        <f t="shared" si="52"/>
        <v>72</v>
      </c>
      <c r="AP172" s="1">
        <v>9.5</v>
      </c>
      <c r="AQ172" s="2">
        <v>11.5</v>
      </c>
      <c r="AR172" s="1">
        <v>10</v>
      </c>
      <c r="AS172" s="2">
        <v>5</v>
      </c>
      <c r="AU172" s="2">
        <v>18.5</v>
      </c>
      <c r="AV172" s="1">
        <v>23.5</v>
      </c>
      <c r="AX172" s="2">
        <v>8.5</v>
      </c>
      <c r="AY172" s="2">
        <v>10</v>
      </c>
      <c r="AZ172" s="2">
        <v>8</v>
      </c>
      <c r="BA172" s="2">
        <v>11</v>
      </c>
      <c r="BC172" t="s">
        <v>234</v>
      </c>
      <c r="BD172" t="s">
        <v>362</v>
      </c>
      <c r="BE172" t="s">
        <v>236</v>
      </c>
      <c r="BF172" t="s">
        <v>263</v>
      </c>
      <c r="BG172" t="s">
        <v>238</v>
      </c>
      <c r="BH172" t="s">
        <v>242</v>
      </c>
      <c r="BJ172" s="2" t="s">
        <v>214</v>
      </c>
      <c r="BK172" s="2" t="s">
        <v>381</v>
      </c>
      <c r="BL172" s="1" t="s">
        <v>221</v>
      </c>
      <c r="BM172" s="1">
        <v>7.5</v>
      </c>
      <c r="BN172" s="1">
        <v>10</v>
      </c>
      <c r="BO172" s="1">
        <v>5</v>
      </c>
      <c r="BP172" s="1">
        <v>9</v>
      </c>
      <c r="BQ172" s="1">
        <v>7.5</v>
      </c>
      <c r="BR172" s="2" t="s">
        <v>223</v>
      </c>
      <c r="BS172" s="2">
        <v>5.5</v>
      </c>
      <c r="BT172" s="2">
        <v>10</v>
      </c>
      <c r="BU172" s="2">
        <v>5.5</v>
      </c>
      <c r="BV172" s="2">
        <v>8</v>
      </c>
      <c r="BW172" s="2">
        <v>7.5</v>
      </c>
      <c r="BX172" s="3" t="s">
        <v>382</v>
      </c>
      <c r="BY172" s="1" t="s">
        <v>230</v>
      </c>
    </row>
    <row r="173" spans="1:77" x14ac:dyDescent="0.25">
      <c r="A173">
        <v>16</v>
      </c>
      <c r="B173" t="s">
        <v>22</v>
      </c>
      <c r="C173">
        <v>16550</v>
      </c>
      <c r="D173" t="s">
        <v>99</v>
      </c>
      <c r="E173" s="1" t="s">
        <v>13</v>
      </c>
      <c r="G173" s="1">
        <v>10.5</v>
      </c>
      <c r="H173" s="2">
        <v>13.5</v>
      </c>
      <c r="I173" s="2">
        <f t="shared" si="53"/>
        <v>3</v>
      </c>
      <c r="J173" s="3">
        <f t="shared" si="54"/>
        <v>4.5</v>
      </c>
      <c r="K173" s="1">
        <v>28</v>
      </c>
      <c r="N173" s="1">
        <v>27</v>
      </c>
      <c r="O173" s="3">
        <v>32</v>
      </c>
      <c r="P173" s="2">
        <f t="shared" si="55"/>
        <v>7.5</v>
      </c>
      <c r="Q173" s="3">
        <f t="shared" si="56"/>
        <v>8.5</v>
      </c>
      <c r="R173" s="1">
        <v>61.5</v>
      </c>
      <c r="U173" s="1">
        <v>28.5</v>
      </c>
      <c r="V173" s="3">
        <v>27</v>
      </c>
      <c r="W173" s="2">
        <f t="shared" si="57"/>
        <v>7</v>
      </c>
      <c r="X173" s="3">
        <f t="shared" si="58"/>
        <v>5</v>
      </c>
      <c r="Y173" s="1">
        <v>53</v>
      </c>
      <c r="AB173" s="1">
        <v>22.5</v>
      </c>
      <c r="AC173" s="3">
        <v>30</v>
      </c>
      <c r="AD173" s="2">
        <f t="shared" si="59"/>
        <v>7</v>
      </c>
      <c r="AE173" s="3">
        <f t="shared" si="60"/>
        <v>8.5</v>
      </c>
      <c r="AF173" s="1">
        <v>39</v>
      </c>
      <c r="AI173" s="1">
        <v>20</v>
      </c>
      <c r="AJ173" s="3">
        <v>25</v>
      </c>
      <c r="AK173" s="2">
        <f t="shared" si="61"/>
        <v>6</v>
      </c>
      <c r="AL173" s="3">
        <f t="shared" si="62"/>
        <v>6</v>
      </c>
      <c r="AM173" s="1">
        <v>53.5</v>
      </c>
      <c r="AN173" s="1">
        <f t="shared" si="52"/>
        <v>65.5</v>
      </c>
      <c r="AP173" s="1" t="s">
        <v>20</v>
      </c>
      <c r="AQ173" s="2">
        <v>6</v>
      </c>
      <c r="AR173" s="1">
        <v>9.5</v>
      </c>
      <c r="AS173" s="2">
        <v>3</v>
      </c>
      <c r="AU173" s="2">
        <v>13</v>
      </c>
      <c r="AV173" s="1">
        <v>24</v>
      </c>
      <c r="AX173" s="2">
        <v>8</v>
      </c>
      <c r="AY173" s="2">
        <v>9</v>
      </c>
      <c r="AZ173" s="2">
        <v>8</v>
      </c>
      <c r="BA173" s="2">
        <v>5</v>
      </c>
      <c r="BC173" t="s">
        <v>234</v>
      </c>
      <c r="BD173" t="s">
        <v>235</v>
      </c>
      <c r="BE173" t="s">
        <v>236</v>
      </c>
      <c r="BF173" t="s">
        <v>263</v>
      </c>
      <c r="BG173" t="s">
        <v>238</v>
      </c>
      <c r="BH173" t="s">
        <v>364</v>
      </c>
      <c r="BJ173" s="2" t="s">
        <v>214</v>
      </c>
      <c r="BK173" s="2" t="s">
        <v>381</v>
      </c>
      <c r="BL173" s="1" t="s">
        <v>221</v>
      </c>
      <c r="BM173" s="1">
        <v>5</v>
      </c>
      <c r="BN173" s="1">
        <v>9.5</v>
      </c>
      <c r="BO173" s="1">
        <v>3</v>
      </c>
      <c r="BP173" s="1">
        <v>10</v>
      </c>
      <c r="BQ173" s="1">
        <v>6.5</v>
      </c>
      <c r="BR173" s="2" t="s">
        <v>223</v>
      </c>
      <c r="BS173" s="2">
        <v>3.5</v>
      </c>
      <c r="BT173" s="2">
        <v>7</v>
      </c>
      <c r="BU173" s="2">
        <v>6.5</v>
      </c>
      <c r="BV173" s="2">
        <v>6.5</v>
      </c>
      <c r="BW173" s="2">
        <v>5</v>
      </c>
      <c r="BX173" s="3" t="s">
        <v>382</v>
      </c>
      <c r="BY173" s="1" t="s">
        <v>230</v>
      </c>
    </row>
    <row r="174" spans="1:77" x14ac:dyDescent="0.25">
      <c r="A174">
        <v>17</v>
      </c>
      <c r="B174" t="s">
        <v>22</v>
      </c>
      <c r="C174">
        <v>16672</v>
      </c>
      <c r="D174" t="s">
        <v>104</v>
      </c>
      <c r="E174" s="1" t="s">
        <v>13</v>
      </c>
      <c r="G174" s="1">
        <v>8</v>
      </c>
      <c r="H174" s="2">
        <v>5.5</v>
      </c>
      <c r="I174" s="2">
        <f t="shared" si="53"/>
        <v>2</v>
      </c>
      <c r="J174" s="3">
        <f t="shared" si="54"/>
        <v>3.5</v>
      </c>
      <c r="K174" s="1">
        <v>8</v>
      </c>
      <c r="N174" s="1">
        <v>6.5</v>
      </c>
      <c r="O174" s="3">
        <v>5.5</v>
      </c>
      <c r="P174" s="2">
        <f t="shared" si="55"/>
        <v>1.5</v>
      </c>
      <c r="Q174" s="3">
        <f t="shared" si="56"/>
        <v>7</v>
      </c>
      <c r="R174" s="1">
        <v>25.5</v>
      </c>
      <c r="U174" s="1">
        <v>17.5</v>
      </c>
      <c r="V174" s="3" t="s">
        <v>217</v>
      </c>
      <c r="W174" s="2">
        <f t="shared" si="57"/>
        <v>2.5</v>
      </c>
      <c r="X174" s="3">
        <f t="shared" si="58"/>
        <v>4</v>
      </c>
      <c r="Y174" s="1" t="s">
        <v>232</v>
      </c>
      <c r="AB174" s="1">
        <v>4</v>
      </c>
      <c r="AC174" s="3">
        <v>3.5</v>
      </c>
      <c r="AD174" s="2">
        <f t="shared" si="59"/>
        <v>1</v>
      </c>
      <c r="AE174" s="3">
        <f t="shared" si="60"/>
        <v>2</v>
      </c>
      <c r="AF174" s="1">
        <v>8.5</v>
      </c>
      <c r="AI174" s="1">
        <v>4</v>
      </c>
      <c r="AJ174" s="3">
        <v>8</v>
      </c>
      <c r="AK174" s="2">
        <f t="shared" si="61"/>
        <v>1.5</v>
      </c>
      <c r="AL174" s="3">
        <f t="shared" si="62"/>
        <v>4</v>
      </c>
      <c r="AM174" s="1">
        <v>10</v>
      </c>
      <c r="AN174" s="1">
        <f t="shared" si="52"/>
        <v>15.5</v>
      </c>
      <c r="AP174" s="1">
        <v>7</v>
      </c>
      <c r="AQ174" s="2">
        <v>4</v>
      </c>
      <c r="AR174" s="1">
        <v>7</v>
      </c>
      <c r="AS174" s="2">
        <v>4</v>
      </c>
      <c r="AU174" s="2">
        <v>10.5</v>
      </c>
      <c r="AV174" s="1">
        <v>18</v>
      </c>
      <c r="AX174" s="2">
        <v>8</v>
      </c>
      <c r="AY174" s="2">
        <v>6</v>
      </c>
      <c r="AZ174" s="2">
        <v>7</v>
      </c>
      <c r="BA174" s="2">
        <v>1</v>
      </c>
      <c r="BC174" t="s">
        <v>234</v>
      </c>
      <c r="BD174" t="s">
        <v>235</v>
      </c>
      <c r="BE174" t="s">
        <v>236</v>
      </c>
      <c r="BF174" t="s">
        <v>263</v>
      </c>
      <c r="BG174" t="s">
        <v>238</v>
      </c>
      <c r="BH174" t="s">
        <v>241</v>
      </c>
      <c r="BJ174" s="2" t="s">
        <v>214</v>
      </c>
      <c r="BK174" s="2" t="s">
        <v>381</v>
      </c>
      <c r="BL174" s="1" t="s">
        <v>221</v>
      </c>
      <c r="BM174" s="1">
        <v>3.5</v>
      </c>
      <c r="BN174" s="1">
        <v>7.5</v>
      </c>
      <c r="BO174" s="1">
        <v>3</v>
      </c>
      <c r="BP174" s="1" t="s">
        <v>44</v>
      </c>
      <c r="BQ174" s="1">
        <v>4.5</v>
      </c>
      <c r="BR174" s="2" t="s">
        <v>223</v>
      </c>
      <c r="BS174" s="2">
        <v>3.5</v>
      </c>
      <c r="BT174" s="2">
        <v>6</v>
      </c>
      <c r="BU174" s="2">
        <v>5</v>
      </c>
      <c r="BV174" s="2">
        <v>4</v>
      </c>
      <c r="BW174" s="2">
        <v>3.5</v>
      </c>
      <c r="BX174" s="3" t="s">
        <v>382</v>
      </c>
      <c r="BY174" s="1" t="s">
        <v>230</v>
      </c>
    </row>
    <row r="175" spans="1:77" x14ac:dyDescent="0.25">
      <c r="A175">
        <v>18</v>
      </c>
      <c r="B175" t="s">
        <v>22</v>
      </c>
      <c r="C175">
        <v>16696</v>
      </c>
      <c r="D175" t="s">
        <v>109</v>
      </c>
      <c r="E175" s="1" t="s">
        <v>13</v>
      </c>
      <c r="G175" s="1">
        <v>7.5</v>
      </c>
      <c r="H175" s="2">
        <v>9.5</v>
      </c>
      <c r="I175" s="2">
        <f t="shared" si="53"/>
        <v>2.5</v>
      </c>
      <c r="J175" s="3">
        <f t="shared" si="54"/>
        <v>4.5</v>
      </c>
      <c r="K175" s="1">
        <v>9</v>
      </c>
      <c r="N175" s="1">
        <v>16</v>
      </c>
      <c r="O175" s="3">
        <v>22</v>
      </c>
      <c r="P175" s="2">
        <f t="shared" si="55"/>
        <v>5</v>
      </c>
      <c r="Q175" s="3">
        <f t="shared" si="56"/>
        <v>9.5</v>
      </c>
      <c r="R175" s="1">
        <v>38.5</v>
      </c>
      <c r="U175" s="1">
        <v>27</v>
      </c>
      <c r="V175" s="3">
        <v>16</v>
      </c>
      <c r="W175" s="2">
        <f t="shared" si="57"/>
        <v>5.5</v>
      </c>
      <c r="X175" s="3">
        <f t="shared" si="58"/>
        <v>3.5</v>
      </c>
      <c r="Y175" s="1">
        <v>34.5</v>
      </c>
      <c r="AB175" s="1">
        <v>5</v>
      </c>
      <c r="AC175" s="3">
        <v>11</v>
      </c>
      <c r="AD175" s="2">
        <f t="shared" si="59"/>
        <v>2</v>
      </c>
      <c r="AE175" s="3">
        <f t="shared" si="60"/>
        <v>5.5</v>
      </c>
      <c r="AF175" s="1">
        <v>27</v>
      </c>
      <c r="AI175" s="1">
        <v>11</v>
      </c>
      <c r="AJ175" s="3">
        <v>13.5</v>
      </c>
      <c r="AK175" s="2">
        <f t="shared" si="61"/>
        <v>3.5</v>
      </c>
      <c r="AL175" s="3">
        <f t="shared" si="62"/>
        <v>5</v>
      </c>
      <c r="AM175" s="1">
        <v>29.5</v>
      </c>
      <c r="AN175" s="1">
        <f t="shared" si="52"/>
        <v>38</v>
      </c>
      <c r="AP175" s="1">
        <v>7</v>
      </c>
      <c r="AQ175" s="2">
        <v>11.5</v>
      </c>
      <c r="AR175" s="1">
        <v>13.5</v>
      </c>
      <c r="AS175" s="2">
        <v>5</v>
      </c>
      <c r="AU175" s="2">
        <v>8</v>
      </c>
      <c r="AV175" s="1">
        <v>25</v>
      </c>
      <c r="AX175" s="2">
        <v>4</v>
      </c>
      <c r="AY175" s="2">
        <v>10</v>
      </c>
      <c r="AZ175" s="2">
        <v>8</v>
      </c>
      <c r="BA175" s="2">
        <v>1</v>
      </c>
      <c r="BC175" t="s">
        <v>234</v>
      </c>
      <c r="BD175" t="s">
        <v>362</v>
      </c>
      <c r="BE175" t="s">
        <v>236</v>
      </c>
      <c r="BF175" t="s">
        <v>263</v>
      </c>
      <c r="BG175" t="s">
        <v>238</v>
      </c>
      <c r="BH175" t="s">
        <v>359</v>
      </c>
      <c r="BJ175" s="2" t="s">
        <v>214</v>
      </c>
      <c r="BK175" s="2" t="s">
        <v>381</v>
      </c>
      <c r="BL175" s="1" t="s">
        <v>221</v>
      </c>
      <c r="BM175" s="1">
        <v>4</v>
      </c>
      <c r="BN175" s="1">
        <v>8.5</v>
      </c>
      <c r="BO175" s="1">
        <v>3</v>
      </c>
      <c r="BP175" s="1">
        <v>7</v>
      </c>
      <c r="BQ175" s="1">
        <v>4</v>
      </c>
      <c r="BR175" s="2" t="s">
        <v>223</v>
      </c>
      <c r="BS175" s="2">
        <v>5</v>
      </c>
      <c r="BT175" s="2">
        <v>10</v>
      </c>
      <c r="BU175" s="2">
        <v>4</v>
      </c>
      <c r="BV175" s="2">
        <v>4</v>
      </c>
      <c r="BW175" s="2">
        <v>6</v>
      </c>
      <c r="BX175" s="3" t="s">
        <v>382</v>
      </c>
      <c r="BY175" s="1" t="s">
        <v>230</v>
      </c>
    </row>
    <row r="176" spans="1:77" x14ac:dyDescent="0.25">
      <c r="A176">
        <v>19</v>
      </c>
      <c r="B176" t="s">
        <v>22</v>
      </c>
      <c r="C176">
        <v>16504</v>
      </c>
      <c r="D176" t="s">
        <v>114</v>
      </c>
      <c r="E176" s="1" t="s">
        <v>13</v>
      </c>
      <c r="G176" s="1">
        <v>7</v>
      </c>
      <c r="H176" s="2">
        <v>10.5</v>
      </c>
      <c r="I176" s="2">
        <f t="shared" si="53"/>
        <v>2.5</v>
      </c>
      <c r="J176" s="3">
        <f t="shared" si="54"/>
        <v>3.5</v>
      </c>
      <c r="K176" s="1">
        <v>12.5</v>
      </c>
      <c r="N176" s="1">
        <v>22</v>
      </c>
      <c r="O176" s="3">
        <v>19</v>
      </c>
      <c r="P176" s="2">
        <f t="shared" si="55"/>
        <v>5.5</v>
      </c>
      <c r="Q176" s="3">
        <f t="shared" si="56"/>
        <v>9</v>
      </c>
      <c r="R176" s="1">
        <v>48.5</v>
      </c>
      <c r="U176" s="1">
        <v>12</v>
      </c>
      <c r="V176" s="3">
        <v>4</v>
      </c>
      <c r="W176" s="2">
        <f t="shared" si="57"/>
        <v>2</v>
      </c>
      <c r="X176" s="3">
        <f t="shared" si="58"/>
        <v>3.5</v>
      </c>
      <c r="Y176" s="1">
        <v>33.5</v>
      </c>
      <c r="AB176" s="1">
        <v>3</v>
      </c>
      <c r="AC176" s="3">
        <v>5</v>
      </c>
      <c r="AD176" s="2">
        <f t="shared" si="59"/>
        <v>1</v>
      </c>
      <c r="AE176" s="3">
        <f t="shared" si="60"/>
        <v>6</v>
      </c>
      <c r="AF176" s="1">
        <v>20</v>
      </c>
      <c r="AI176" s="1">
        <v>7.5</v>
      </c>
      <c r="AJ176" s="3">
        <v>13.5</v>
      </c>
      <c r="AK176" s="2">
        <f t="shared" si="61"/>
        <v>3</v>
      </c>
      <c r="AL176" s="3">
        <f t="shared" si="62"/>
        <v>2</v>
      </c>
      <c r="AM176" s="1" t="s">
        <v>233</v>
      </c>
      <c r="AN176" s="1" t="e">
        <f t="shared" si="52"/>
        <v>#VALUE!</v>
      </c>
      <c r="AP176" s="1">
        <v>1</v>
      </c>
      <c r="AQ176" s="2">
        <v>4.5</v>
      </c>
      <c r="AR176" s="1">
        <v>3.5</v>
      </c>
      <c r="AS176" s="2">
        <v>6</v>
      </c>
      <c r="AU176" s="2">
        <v>7.5</v>
      </c>
      <c r="AV176" s="1">
        <v>19</v>
      </c>
      <c r="AX176" s="2">
        <v>8.5</v>
      </c>
      <c r="AY176" s="2">
        <v>6</v>
      </c>
      <c r="AZ176" s="2">
        <v>8</v>
      </c>
      <c r="BA176" s="2">
        <v>2</v>
      </c>
      <c r="BC176" t="s">
        <v>234</v>
      </c>
      <c r="BD176" t="s">
        <v>235</v>
      </c>
      <c r="BE176" t="s">
        <v>236</v>
      </c>
      <c r="BF176" t="s">
        <v>263</v>
      </c>
      <c r="BG176" t="s">
        <v>238</v>
      </c>
      <c r="BH176" t="s">
        <v>365</v>
      </c>
      <c r="BJ176" s="2" t="s">
        <v>214</v>
      </c>
      <c r="BK176" s="2" t="s">
        <v>381</v>
      </c>
      <c r="BL176" s="1" t="s">
        <v>221</v>
      </c>
      <c r="BM176" s="1">
        <v>4</v>
      </c>
      <c r="BN176" s="1">
        <v>9</v>
      </c>
      <c r="BO176" s="1">
        <v>3</v>
      </c>
      <c r="BP176" s="1">
        <v>7</v>
      </c>
      <c r="BQ176" s="1">
        <v>3.5</v>
      </c>
      <c r="BR176" s="2" t="s">
        <v>223</v>
      </c>
      <c r="BS176" s="2">
        <v>3</v>
      </c>
      <c r="BT176" s="2">
        <v>9</v>
      </c>
      <c r="BU176" s="2">
        <v>4</v>
      </c>
      <c r="BV176" s="2">
        <v>5</v>
      </c>
      <c r="BW176" s="2" t="s">
        <v>20</v>
      </c>
      <c r="BX176" s="3" t="s">
        <v>382</v>
      </c>
      <c r="BY176" s="1" t="s">
        <v>230</v>
      </c>
    </row>
    <row r="177" spans="1:77" x14ac:dyDescent="0.25">
      <c r="A177">
        <v>20</v>
      </c>
      <c r="B177" t="s">
        <v>22</v>
      </c>
      <c r="C177">
        <v>16673</v>
      </c>
      <c r="D177" t="s">
        <v>119</v>
      </c>
      <c r="E177" s="1" t="s">
        <v>13</v>
      </c>
      <c r="G177" s="1">
        <v>21</v>
      </c>
      <c r="H177" s="2">
        <v>15.5</v>
      </c>
      <c r="I177" s="2">
        <f t="shared" si="53"/>
        <v>5</v>
      </c>
      <c r="J177" s="3">
        <f t="shared" si="54"/>
        <v>7</v>
      </c>
      <c r="K177" s="1">
        <v>30</v>
      </c>
      <c r="N177" s="1">
        <v>26</v>
      </c>
      <c r="O177" s="3">
        <v>24</v>
      </c>
      <c r="P177" s="2">
        <f t="shared" si="55"/>
        <v>6.5</v>
      </c>
      <c r="Q177" s="3">
        <f t="shared" si="56"/>
        <v>10</v>
      </c>
      <c r="R177" s="1">
        <v>42.5</v>
      </c>
      <c r="U177" s="1">
        <v>28.5</v>
      </c>
      <c r="V177" s="3">
        <v>25</v>
      </c>
      <c r="W177" s="2">
        <f t="shared" si="57"/>
        <v>7</v>
      </c>
      <c r="X177" s="3">
        <f t="shared" si="58"/>
        <v>4.5</v>
      </c>
      <c r="Y177" s="1">
        <v>51</v>
      </c>
      <c r="AB177" s="1">
        <v>11.5</v>
      </c>
      <c r="AC177" s="3">
        <v>19.5</v>
      </c>
      <c r="AD177" s="2">
        <f t="shared" si="59"/>
        <v>4</v>
      </c>
      <c r="AE177" s="3">
        <f t="shared" si="60"/>
        <v>7</v>
      </c>
      <c r="AF177" s="1">
        <v>39.5</v>
      </c>
      <c r="AI177" s="1">
        <v>18</v>
      </c>
      <c r="AJ177" s="3">
        <v>18.5</v>
      </c>
      <c r="AK177" s="2">
        <f t="shared" si="61"/>
        <v>5</v>
      </c>
      <c r="AL177" s="3">
        <f t="shared" si="62"/>
        <v>5.5</v>
      </c>
      <c r="AM177" s="1">
        <v>26.5</v>
      </c>
      <c r="AN177" s="1">
        <f t="shared" si="52"/>
        <v>37</v>
      </c>
      <c r="AP177" s="1">
        <v>5</v>
      </c>
      <c r="AQ177" s="2">
        <v>12.5</v>
      </c>
      <c r="AR177" s="1">
        <v>2.5</v>
      </c>
      <c r="AS177" s="2">
        <v>7</v>
      </c>
      <c r="AU177" s="2">
        <v>15.5</v>
      </c>
      <c r="AV177" s="1">
        <v>22.5</v>
      </c>
      <c r="AX177" s="2">
        <v>6</v>
      </c>
      <c r="AY177" s="2">
        <v>10</v>
      </c>
      <c r="AZ177" s="2">
        <v>8</v>
      </c>
      <c r="BA177" s="2">
        <v>8</v>
      </c>
      <c r="BC177" t="s">
        <v>234</v>
      </c>
      <c r="BD177" t="s">
        <v>362</v>
      </c>
      <c r="BE177" t="s">
        <v>236</v>
      </c>
      <c r="BF177" t="s">
        <v>263</v>
      </c>
      <c r="BG177" t="s">
        <v>238</v>
      </c>
      <c r="BH177" t="s">
        <v>237</v>
      </c>
      <c r="BJ177" s="2" t="s">
        <v>214</v>
      </c>
      <c r="BK177" s="2" t="s">
        <v>381</v>
      </c>
      <c r="BL177" s="1" t="s">
        <v>221</v>
      </c>
      <c r="BM177" s="1">
        <v>5.5</v>
      </c>
      <c r="BN177" s="1">
        <v>9.5</v>
      </c>
      <c r="BO177" s="1">
        <v>2</v>
      </c>
      <c r="BP177" s="1">
        <v>7</v>
      </c>
      <c r="BQ177" s="1">
        <v>6</v>
      </c>
      <c r="BR177" s="2" t="s">
        <v>223</v>
      </c>
      <c r="BS177" s="2">
        <v>8</v>
      </c>
      <c r="BT177" s="2">
        <v>10</v>
      </c>
      <c r="BU177" s="2">
        <v>7</v>
      </c>
      <c r="BV177" s="2">
        <v>7</v>
      </c>
      <c r="BW177" s="2">
        <v>5</v>
      </c>
      <c r="BX177" s="3" t="s">
        <v>382</v>
      </c>
      <c r="BY177" s="1" t="s">
        <v>230</v>
      </c>
    </row>
    <row r="178" spans="1:77" x14ac:dyDescent="0.25">
      <c r="A178">
        <v>21</v>
      </c>
      <c r="B178" t="s">
        <v>22</v>
      </c>
      <c r="C178">
        <v>18770</v>
      </c>
      <c r="D178" t="s">
        <v>124</v>
      </c>
      <c r="E178" s="1" t="s">
        <v>13</v>
      </c>
      <c r="G178" s="1">
        <v>3</v>
      </c>
      <c r="H178" s="2">
        <v>3.5</v>
      </c>
      <c r="I178" s="2">
        <f t="shared" si="53"/>
        <v>1</v>
      </c>
      <c r="J178" s="3">
        <f t="shared" si="54"/>
        <v>2.5</v>
      </c>
      <c r="K178" s="1">
        <v>16.5</v>
      </c>
      <c r="N178" s="1">
        <v>15.5</v>
      </c>
      <c r="O178" s="3">
        <v>15.5</v>
      </c>
      <c r="P178" s="2">
        <f t="shared" si="55"/>
        <v>4</v>
      </c>
      <c r="Q178" s="3">
        <f t="shared" si="56"/>
        <v>8</v>
      </c>
      <c r="R178" s="1">
        <v>24.5</v>
      </c>
      <c r="U178" s="1">
        <v>15.5</v>
      </c>
      <c r="V178" s="3">
        <v>6</v>
      </c>
      <c r="W178" s="2">
        <f t="shared" si="57"/>
        <v>3</v>
      </c>
      <c r="X178" s="3">
        <f t="shared" si="58"/>
        <v>2.5</v>
      </c>
      <c r="Y178" s="1">
        <v>18</v>
      </c>
      <c r="AB178" s="1" t="s">
        <v>44</v>
      </c>
      <c r="AC178" s="3">
        <v>10.5</v>
      </c>
      <c r="AD178" s="2">
        <f t="shared" si="59"/>
        <v>1.5</v>
      </c>
      <c r="AE178" s="3">
        <f t="shared" si="60"/>
        <v>6.5</v>
      </c>
      <c r="AF178" s="1">
        <v>10.5</v>
      </c>
      <c r="AI178" s="1">
        <v>9.5</v>
      </c>
      <c r="AJ178" s="3">
        <v>11.5</v>
      </c>
      <c r="AK178" s="2">
        <f t="shared" si="61"/>
        <v>3</v>
      </c>
      <c r="AL178" s="3">
        <f t="shared" si="62"/>
        <v>4</v>
      </c>
      <c r="AM178" s="1">
        <v>22.5</v>
      </c>
      <c r="AN178" s="1">
        <f t="shared" si="52"/>
        <v>29.5</v>
      </c>
      <c r="AP178" s="1">
        <v>10.5</v>
      </c>
      <c r="AQ178" s="2">
        <v>11</v>
      </c>
      <c r="AR178" s="1">
        <v>6</v>
      </c>
      <c r="AS178" s="2">
        <v>5</v>
      </c>
      <c r="AU178" s="2">
        <v>12.5</v>
      </c>
      <c r="AV178" s="1">
        <v>27</v>
      </c>
      <c r="AX178" s="2">
        <v>8</v>
      </c>
      <c r="AY178" s="2">
        <v>9</v>
      </c>
      <c r="AZ178" s="2">
        <v>8</v>
      </c>
      <c r="BA178" s="2">
        <v>8</v>
      </c>
      <c r="BC178" t="s">
        <v>234</v>
      </c>
      <c r="BD178" t="s">
        <v>235</v>
      </c>
      <c r="BE178" t="s">
        <v>236</v>
      </c>
      <c r="BF178" t="s">
        <v>263</v>
      </c>
      <c r="BG178" t="s">
        <v>238</v>
      </c>
      <c r="BH178" t="s">
        <v>366</v>
      </c>
      <c r="BJ178" s="2" t="s">
        <v>214</v>
      </c>
      <c r="BK178" s="2" t="s">
        <v>381</v>
      </c>
      <c r="BL178" s="1" t="s">
        <v>221</v>
      </c>
      <c r="BM178" s="1">
        <v>2.5</v>
      </c>
      <c r="BN178" s="1">
        <v>9</v>
      </c>
      <c r="BO178" s="1">
        <v>2</v>
      </c>
      <c r="BP178" s="1">
        <v>8.5</v>
      </c>
      <c r="BQ178" s="1">
        <v>4</v>
      </c>
      <c r="BR178" s="2" t="s">
        <v>223</v>
      </c>
      <c r="BS178" s="2">
        <v>2</v>
      </c>
      <c r="BT178" s="2">
        <v>7</v>
      </c>
      <c r="BU178" s="2">
        <v>3</v>
      </c>
      <c r="BV178" s="2">
        <v>4</v>
      </c>
      <c r="BW178" s="2">
        <v>3.5</v>
      </c>
      <c r="BX178" s="3" t="s">
        <v>382</v>
      </c>
      <c r="BY178" s="1" t="s">
        <v>230</v>
      </c>
    </row>
    <row r="179" spans="1:77" x14ac:dyDescent="0.25">
      <c r="A179">
        <v>22</v>
      </c>
      <c r="B179" t="s">
        <v>22</v>
      </c>
      <c r="C179">
        <v>16538</v>
      </c>
      <c r="D179" t="s">
        <v>100</v>
      </c>
      <c r="E179" s="1" t="s">
        <v>13</v>
      </c>
      <c r="G179" s="1">
        <v>6.5</v>
      </c>
      <c r="H179" s="2">
        <v>4.5</v>
      </c>
      <c r="I179" s="2">
        <f t="shared" si="53"/>
        <v>1.5</v>
      </c>
      <c r="J179" s="3">
        <f t="shared" si="54"/>
        <v>3</v>
      </c>
      <c r="K179" s="1">
        <v>17</v>
      </c>
      <c r="N179" s="1">
        <v>18.5</v>
      </c>
      <c r="O179" s="3">
        <v>20</v>
      </c>
      <c r="P179" s="2">
        <f t="shared" si="55"/>
        <v>5</v>
      </c>
      <c r="Q179" s="3">
        <f t="shared" si="56"/>
        <v>10</v>
      </c>
      <c r="R179" s="1">
        <v>35.5</v>
      </c>
      <c r="U179" s="1">
        <v>3.5</v>
      </c>
      <c r="V179" s="3">
        <v>9.5</v>
      </c>
      <c r="W179" s="2">
        <f t="shared" si="57"/>
        <v>2</v>
      </c>
      <c r="X179" s="3">
        <f t="shared" si="58"/>
        <v>3</v>
      </c>
      <c r="Y179" s="1">
        <v>19.5</v>
      </c>
      <c r="AB179" s="1">
        <v>3.5</v>
      </c>
      <c r="AC179" s="3">
        <v>9.5</v>
      </c>
      <c r="AD179" s="2">
        <f t="shared" si="59"/>
        <v>2</v>
      </c>
      <c r="AE179" s="3">
        <f t="shared" si="60"/>
        <v>5</v>
      </c>
      <c r="AF179" s="1">
        <v>20.5</v>
      </c>
      <c r="AI179" s="1">
        <v>10.5</v>
      </c>
      <c r="AJ179" s="3">
        <v>13.5</v>
      </c>
      <c r="AK179" s="2">
        <f t="shared" si="61"/>
        <v>3</v>
      </c>
      <c r="AL179" s="3">
        <f t="shared" si="62"/>
        <v>4</v>
      </c>
      <c r="AM179" s="1">
        <v>19.5</v>
      </c>
      <c r="AN179" s="1">
        <f t="shared" si="52"/>
        <v>26.5</v>
      </c>
      <c r="AP179" s="1">
        <v>5.5</v>
      </c>
      <c r="AQ179" s="2">
        <v>8</v>
      </c>
      <c r="AR179" s="1">
        <v>12</v>
      </c>
      <c r="AS179" s="2">
        <v>3</v>
      </c>
      <c r="AU179" s="2">
        <v>10</v>
      </c>
      <c r="AV179" s="1">
        <v>25.5</v>
      </c>
      <c r="AX179" s="2">
        <v>9.5</v>
      </c>
      <c r="AY179" s="2">
        <v>10</v>
      </c>
      <c r="AZ179" s="2">
        <v>8</v>
      </c>
      <c r="BA179" s="2">
        <v>9</v>
      </c>
      <c r="BC179" t="s">
        <v>234</v>
      </c>
      <c r="BD179" t="s">
        <v>235</v>
      </c>
      <c r="BE179" t="s">
        <v>236</v>
      </c>
      <c r="BF179" t="s">
        <v>263</v>
      </c>
      <c r="BG179" t="s">
        <v>238</v>
      </c>
      <c r="BH179" t="s">
        <v>237</v>
      </c>
      <c r="BJ179" s="2" t="s">
        <v>214</v>
      </c>
      <c r="BK179" s="2" t="s">
        <v>381</v>
      </c>
      <c r="BL179" s="1" t="s">
        <v>221</v>
      </c>
      <c r="BM179" s="1">
        <v>3.5</v>
      </c>
      <c r="BN179" s="1">
        <v>9.5</v>
      </c>
      <c r="BO179" s="1">
        <v>3</v>
      </c>
      <c r="BP179" s="1">
        <v>4.5</v>
      </c>
      <c r="BQ179" s="1">
        <v>4.5</v>
      </c>
      <c r="BR179" s="2" t="s">
        <v>223</v>
      </c>
      <c r="BS179" s="2">
        <v>2.5</v>
      </c>
      <c r="BT179" s="2">
        <v>10</v>
      </c>
      <c r="BU179" s="2">
        <v>3</v>
      </c>
      <c r="BV179" s="2">
        <v>5</v>
      </c>
      <c r="BW179" s="2">
        <v>3.5</v>
      </c>
      <c r="BX179" s="3" t="s">
        <v>382</v>
      </c>
      <c r="BY179" s="1" t="s">
        <v>230</v>
      </c>
    </row>
    <row r="180" spans="1:77" x14ac:dyDescent="0.25">
      <c r="A180">
        <v>23</v>
      </c>
      <c r="B180" t="s">
        <v>22</v>
      </c>
      <c r="C180">
        <v>18290</v>
      </c>
      <c r="D180" t="s">
        <v>133</v>
      </c>
      <c r="E180" s="1" t="s">
        <v>13</v>
      </c>
      <c r="G180" s="1">
        <v>31.5</v>
      </c>
      <c r="H180" s="2">
        <v>27.5</v>
      </c>
      <c r="I180" s="2">
        <f t="shared" si="53"/>
        <v>7.5</v>
      </c>
      <c r="J180" s="3">
        <f t="shared" si="54"/>
        <v>6</v>
      </c>
      <c r="K180" s="1">
        <v>54.5</v>
      </c>
      <c r="N180" s="1">
        <v>34.5</v>
      </c>
      <c r="O180" s="3">
        <v>34.5</v>
      </c>
      <c r="P180" s="2">
        <f t="shared" si="55"/>
        <v>9</v>
      </c>
      <c r="Q180" s="3">
        <f t="shared" si="56"/>
        <v>10</v>
      </c>
      <c r="R180" s="1">
        <v>67</v>
      </c>
      <c r="U180" s="1">
        <v>31</v>
      </c>
      <c r="V180" s="3">
        <v>28.5</v>
      </c>
      <c r="W180" s="2">
        <f t="shared" si="57"/>
        <v>7.5</v>
      </c>
      <c r="X180" s="3">
        <f t="shared" si="58"/>
        <v>4.5</v>
      </c>
      <c r="Y180" s="1">
        <v>53.5</v>
      </c>
      <c r="AB180" s="1">
        <v>26.5</v>
      </c>
      <c r="AC180" s="3">
        <v>36.5</v>
      </c>
      <c r="AD180" s="2">
        <f t="shared" si="59"/>
        <v>8</v>
      </c>
      <c r="AE180" s="3">
        <f t="shared" si="60"/>
        <v>9</v>
      </c>
      <c r="AF180" s="1">
        <v>65</v>
      </c>
      <c r="AI180" s="1">
        <v>33</v>
      </c>
      <c r="AJ180" s="3">
        <v>24.5</v>
      </c>
      <c r="AK180" s="2">
        <f t="shared" si="61"/>
        <v>7.5</v>
      </c>
      <c r="AL180" s="3">
        <f t="shared" si="62"/>
        <v>8.5</v>
      </c>
      <c r="AM180" s="1">
        <v>51</v>
      </c>
      <c r="AN180" s="1">
        <f t="shared" si="52"/>
        <v>67</v>
      </c>
      <c r="AP180" s="1">
        <v>20</v>
      </c>
      <c r="AQ180" s="2">
        <v>19</v>
      </c>
      <c r="AR180" s="1">
        <v>22</v>
      </c>
      <c r="AS180" s="2">
        <v>5</v>
      </c>
      <c r="AU180" s="2">
        <v>20</v>
      </c>
      <c r="AV180" s="1">
        <v>35</v>
      </c>
      <c r="AX180" s="2">
        <v>9.5</v>
      </c>
      <c r="AY180" s="2">
        <v>10</v>
      </c>
      <c r="AZ180" s="2">
        <v>8</v>
      </c>
      <c r="BA180" s="2">
        <v>17</v>
      </c>
      <c r="BC180" t="s">
        <v>234</v>
      </c>
      <c r="BD180" t="s">
        <v>235</v>
      </c>
      <c r="BE180" t="s">
        <v>236</v>
      </c>
      <c r="BF180" t="s">
        <v>263</v>
      </c>
      <c r="BG180" t="s">
        <v>238</v>
      </c>
      <c r="BH180" t="s">
        <v>244</v>
      </c>
      <c r="BJ180" s="2" t="s">
        <v>214</v>
      </c>
      <c r="BK180" s="2" t="s">
        <v>381</v>
      </c>
      <c r="BL180" s="1" t="s">
        <v>221</v>
      </c>
      <c r="BM180" s="1">
        <v>4.5</v>
      </c>
      <c r="BN180" s="1">
        <v>10</v>
      </c>
      <c r="BO180" s="1">
        <v>4</v>
      </c>
      <c r="BP180" s="1">
        <v>9</v>
      </c>
      <c r="BQ180" s="1">
        <v>8.5</v>
      </c>
      <c r="BR180" s="2" t="s">
        <v>223</v>
      </c>
      <c r="BS180" s="2">
        <v>7.5</v>
      </c>
      <c r="BT180" s="2">
        <v>10</v>
      </c>
      <c r="BU180" s="2">
        <v>5</v>
      </c>
      <c r="BV180" s="2">
        <v>9</v>
      </c>
      <c r="BW180" s="2">
        <v>8</v>
      </c>
      <c r="BX180" s="3" t="s">
        <v>382</v>
      </c>
      <c r="BY180" s="1" t="s">
        <v>230</v>
      </c>
    </row>
    <row r="181" spans="1:77" x14ac:dyDescent="0.25">
      <c r="A181">
        <v>24</v>
      </c>
      <c r="B181" t="s">
        <v>22</v>
      </c>
      <c r="C181">
        <v>16698</v>
      </c>
      <c r="D181" t="s">
        <v>138</v>
      </c>
      <c r="E181" s="1" t="s">
        <v>13</v>
      </c>
      <c r="G181" s="1">
        <v>14.5</v>
      </c>
      <c r="H181" s="2">
        <v>11</v>
      </c>
      <c r="I181" s="2">
        <f t="shared" si="53"/>
        <v>3.5</v>
      </c>
      <c r="J181" s="3">
        <f t="shared" si="54"/>
        <v>6</v>
      </c>
      <c r="K181" s="1">
        <v>22.5</v>
      </c>
      <c r="N181" s="1">
        <v>19</v>
      </c>
      <c r="O181" s="3">
        <v>20</v>
      </c>
      <c r="P181" s="2">
        <f t="shared" si="55"/>
        <v>5</v>
      </c>
      <c r="Q181" s="3">
        <f t="shared" si="56"/>
        <v>9.5</v>
      </c>
      <c r="R181" s="1">
        <v>33.5</v>
      </c>
      <c r="U181" s="1">
        <v>14</v>
      </c>
      <c r="V181" s="3">
        <v>11</v>
      </c>
      <c r="W181" s="2">
        <f t="shared" si="57"/>
        <v>3.5</v>
      </c>
      <c r="X181" s="3">
        <f t="shared" si="58"/>
        <v>2.5</v>
      </c>
      <c r="Y181" s="1">
        <v>22</v>
      </c>
      <c r="AB181" s="1">
        <v>11</v>
      </c>
      <c r="AC181" s="3">
        <v>9.5</v>
      </c>
      <c r="AD181" s="2">
        <f t="shared" si="59"/>
        <v>3</v>
      </c>
      <c r="AE181" s="3">
        <f t="shared" si="60"/>
        <v>7</v>
      </c>
      <c r="AF181" s="1">
        <v>14</v>
      </c>
      <c r="AI181" s="1">
        <v>10.5</v>
      </c>
      <c r="AJ181" s="3">
        <v>8.5</v>
      </c>
      <c r="AK181" s="2">
        <f t="shared" si="61"/>
        <v>2.5</v>
      </c>
      <c r="AL181" s="3">
        <f t="shared" si="62"/>
        <v>4</v>
      </c>
      <c r="AM181" s="1">
        <v>23.5</v>
      </c>
      <c r="AN181" s="1">
        <f t="shared" si="52"/>
        <v>30</v>
      </c>
      <c r="AP181" s="1">
        <v>4</v>
      </c>
      <c r="AQ181" s="2">
        <v>5.5</v>
      </c>
      <c r="AR181" s="1">
        <v>8</v>
      </c>
      <c r="AS181" s="2">
        <v>7</v>
      </c>
      <c r="AU181" s="2">
        <v>15.5</v>
      </c>
      <c r="AV181" s="1">
        <v>22</v>
      </c>
      <c r="AX181" s="2">
        <v>8</v>
      </c>
      <c r="AY181" s="2">
        <v>10</v>
      </c>
      <c r="AZ181" s="2">
        <v>8</v>
      </c>
      <c r="BA181" s="2">
        <v>5</v>
      </c>
      <c r="BC181" t="s">
        <v>234</v>
      </c>
      <c r="BD181" t="s">
        <v>235</v>
      </c>
      <c r="BE181" t="s">
        <v>236</v>
      </c>
      <c r="BF181" t="s">
        <v>263</v>
      </c>
      <c r="BG181" t="s">
        <v>238</v>
      </c>
      <c r="BH181" t="s">
        <v>364</v>
      </c>
      <c r="BJ181" s="2" t="s">
        <v>214</v>
      </c>
      <c r="BK181" s="2" t="s">
        <v>381</v>
      </c>
      <c r="BL181" s="1" t="s">
        <v>221</v>
      </c>
      <c r="BM181" s="1">
        <v>8</v>
      </c>
      <c r="BN181" s="1">
        <v>9</v>
      </c>
      <c r="BO181" s="1">
        <v>2</v>
      </c>
      <c r="BP181" s="1">
        <v>7.5</v>
      </c>
      <c r="BQ181" s="1">
        <v>4.5</v>
      </c>
      <c r="BR181" s="2" t="s">
        <v>223</v>
      </c>
      <c r="BS181" s="2">
        <v>4</v>
      </c>
      <c r="BT181" s="2">
        <v>10</v>
      </c>
      <c r="BU181" s="2">
        <v>3</v>
      </c>
      <c r="BV181" s="2">
        <v>6.5</v>
      </c>
      <c r="BW181" s="2">
        <v>3</v>
      </c>
      <c r="BX181" s="3" t="s">
        <v>382</v>
      </c>
      <c r="BY181" s="1" t="s">
        <v>230</v>
      </c>
    </row>
    <row r="182" spans="1:77" x14ac:dyDescent="0.25">
      <c r="A182">
        <v>25</v>
      </c>
      <c r="B182" t="s">
        <v>22</v>
      </c>
      <c r="C182">
        <v>16459</v>
      </c>
      <c r="D182" t="s">
        <v>143</v>
      </c>
      <c r="E182" s="1" t="s">
        <v>13</v>
      </c>
      <c r="G182" s="1">
        <v>2.5</v>
      </c>
      <c r="H182" s="2">
        <v>8</v>
      </c>
      <c r="I182" s="2">
        <f t="shared" si="53"/>
        <v>1.5</v>
      </c>
      <c r="J182" s="3">
        <f t="shared" si="54"/>
        <v>3</v>
      </c>
      <c r="K182" s="1">
        <v>16.5</v>
      </c>
      <c r="N182" s="1">
        <v>16</v>
      </c>
      <c r="O182" s="3">
        <v>28.5</v>
      </c>
      <c r="P182" s="2">
        <f t="shared" si="55"/>
        <v>6</v>
      </c>
      <c r="Q182" s="3">
        <f t="shared" si="56"/>
        <v>10</v>
      </c>
      <c r="R182" s="1">
        <v>56</v>
      </c>
      <c r="U182" s="1">
        <v>4</v>
      </c>
      <c r="V182" s="3">
        <v>9.5</v>
      </c>
      <c r="W182" s="2">
        <f t="shared" si="57"/>
        <v>2</v>
      </c>
      <c r="X182" s="3">
        <f t="shared" si="58"/>
        <v>2</v>
      </c>
      <c r="Y182" s="1">
        <v>10</v>
      </c>
      <c r="AB182" s="1">
        <v>4.5</v>
      </c>
      <c r="AC182" s="3">
        <v>7</v>
      </c>
      <c r="AD182" s="2">
        <f t="shared" si="59"/>
        <v>1.5</v>
      </c>
      <c r="AE182" s="3">
        <f t="shared" si="60"/>
        <v>5</v>
      </c>
      <c r="AF182" s="1">
        <v>22.5</v>
      </c>
      <c r="AI182" s="1">
        <v>6.5</v>
      </c>
      <c r="AJ182" s="3">
        <v>4.5</v>
      </c>
      <c r="AK182" s="2">
        <f t="shared" si="61"/>
        <v>1.5</v>
      </c>
      <c r="AL182" s="3">
        <f t="shared" si="62"/>
        <v>1</v>
      </c>
      <c r="AM182" s="1">
        <v>14.5</v>
      </c>
      <c r="AN182" s="1">
        <f t="shared" si="52"/>
        <v>17</v>
      </c>
      <c r="AP182" s="1">
        <v>4</v>
      </c>
      <c r="AQ182" s="2">
        <v>4</v>
      </c>
      <c r="AR182" s="1">
        <v>4</v>
      </c>
      <c r="AS182" s="2">
        <v>5</v>
      </c>
      <c r="AU182" s="2">
        <v>10</v>
      </c>
      <c r="AV182" s="1">
        <v>24</v>
      </c>
      <c r="AX182" s="2">
        <v>2</v>
      </c>
      <c r="AY182" s="2">
        <v>8</v>
      </c>
      <c r="AZ182" s="2">
        <v>8</v>
      </c>
      <c r="BA182" s="2">
        <v>6</v>
      </c>
      <c r="BC182" t="s">
        <v>234</v>
      </c>
      <c r="BD182" t="s">
        <v>357</v>
      </c>
      <c r="BE182" t="s">
        <v>358</v>
      </c>
      <c r="BF182" t="s">
        <v>263</v>
      </c>
      <c r="BG182" t="s">
        <v>238</v>
      </c>
      <c r="BH182" t="s">
        <v>242</v>
      </c>
      <c r="BJ182" s="2" t="s">
        <v>214</v>
      </c>
      <c r="BK182" s="2" t="s">
        <v>381</v>
      </c>
      <c r="BL182" s="1" t="s">
        <v>221</v>
      </c>
      <c r="BM182" s="1">
        <v>3.5</v>
      </c>
      <c r="BN182" s="1">
        <v>9.5</v>
      </c>
      <c r="BO182" s="1">
        <v>2</v>
      </c>
      <c r="BP182" s="1">
        <v>4</v>
      </c>
      <c r="BQ182" s="1">
        <v>2</v>
      </c>
      <c r="BR182" s="2" t="s">
        <v>223</v>
      </c>
      <c r="BS182" s="2">
        <v>2</v>
      </c>
      <c r="BT182" s="2">
        <v>10</v>
      </c>
      <c r="BU182" s="2">
        <v>2</v>
      </c>
      <c r="BV182" s="2">
        <v>5.5</v>
      </c>
      <c r="BW182" s="2">
        <v>0</v>
      </c>
      <c r="BX182" s="3" t="s">
        <v>382</v>
      </c>
      <c r="BY182" s="1" t="s">
        <v>230</v>
      </c>
    </row>
    <row r="183" spans="1:77" x14ac:dyDescent="0.25">
      <c r="A183">
        <v>26</v>
      </c>
      <c r="B183" t="s">
        <v>22</v>
      </c>
      <c r="C183">
        <v>16461</v>
      </c>
      <c r="D183" t="s">
        <v>148</v>
      </c>
      <c r="E183" s="1" t="s">
        <v>13</v>
      </c>
      <c r="G183" s="1">
        <v>6</v>
      </c>
      <c r="H183" s="2">
        <v>10.5</v>
      </c>
      <c r="I183" s="2">
        <f t="shared" si="53"/>
        <v>2.5</v>
      </c>
      <c r="J183" s="3">
        <f t="shared" si="54"/>
        <v>5.5</v>
      </c>
      <c r="K183" s="1">
        <v>18</v>
      </c>
      <c r="N183" s="1">
        <v>23</v>
      </c>
      <c r="O183" s="3">
        <v>29</v>
      </c>
      <c r="P183" s="2">
        <f t="shared" si="55"/>
        <v>6.5</v>
      </c>
      <c r="Q183" s="3">
        <f t="shared" si="56"/>
        <v>9</v>
      </c>
      <c r="R183" s="1">
        <v>53</v>
      </c>
      <c r="U183" s="1">
        <v>15</v>
      </c>
      <c r="V183" s="3">
        <v>18.5</v>
      </c>
      <c r="W183" s="2">
        <f t="shared" si="57"/>
        <v>4.5</v>
      </c>
      <c r="X183" s="3">
        <f t="shared" si="58"/>
        <v>2.5</v>
      </c>
      <c r="Y183" s="1">
        <v>40</v>
      </c>
      <c r="AB183" s="1">
        <v>11</v>
      </c>
      <c r="AC183" s="3">
        <v>17.5</v>
      </c>
      <c r="AD183" s="2">
        <f t="shared" si="59"/>
        <v>4</v>
      </c>
      <c r="AE183" s="3">
        <f t="shared" si="60"/>
        <v>5.5</v>
      </c>
      <c r="AF183" s="1">
        <v>26</v>
      </c>
      <c r="AI183" s="1">
        <v>17</v>
      </c>
      <c r="AJ183" s="3">
        <v>16</v>
      </c>
      <c r="AK183" s="2">
        <f t="shared" si="61"/>
        <v>4.5</v>
      </c>
      <c r="AL183" s="3">
        <f t="shared" si="62"/>
        <v>5.5</v>
      </c>
      <c r="AM183" s="1">
        <v>24.5</v>
      </c>
      <c r="AN183" s="1">
        <f t="shared" si="52"/>
        <v>34.5</v>
      </c>
      <c r="AP183" s="1">
        <v>7</v>
      </c>
      <c r="AQ183" s="2">
        <v>5</v>
      </c>
      <c r="AR183" s="1">
        <v>11</v>
      </c>
      <c r="AS183" s="2">
        <v>5</v>
      </c>
      <c r="AU183" s="2">
        <v>12.5</v>
      </c>
      <c r="AV183" s="1">
        <v>23.5</v>
      </c>
      <c r="AX183" s="2">
        <v>9</v>
      </c>
      <c r="AY183" s="2">
        <v>10</v>
      </c>
      <c r="AZ183" s="2">
        <v>8</v>
      </c>
      <c r="BA183" s="2">
        <v>8</v>
      </c>
      <c r="BC183" t="s">
        <v>234</v>
      </c>
      <c r="BD183" t="s">
        <v>235</v>
      </c>
      <c r="BE183" t="s">
        <v>236</v>
      </c>
      <c r="BF183" t="s">
        <v>263</v>
      </c>
      <c r="BG183" t="s">
        <v>238</v>
      </c>
      <c r="BH183" t="s">
        <v>248</v>
      </c>
      <c r="BJ183" s="2" t="s">
        <v>214</v>
      </c>
      <c r="BK183" s="2" t="s">
        <v>381</v>
      </c>
      <c r="BL183" s="1" t="s">
        <v>221</v>
      </c>
      <c r="BM183" s="1">
        <v>5.5</v>
      </c>
      <c r="BN183" s="1">
        <v>9</v>
      </c>
      <c r="BO183" s="1">
        <v>1</v>
      </c>
      <c r="BP183" s="1">
        <v>5.5</v>
      </c>
      <c r="BQ183" s="1">
        <v>4.5</v>
      </c>
      <c r="BR183" s="2" t="s">
        <v>223</v>
      </c>
      <c r="BS183" s="2">
        <v>5</v>
      </c>
      <c r="BT183" s="2">
        <v>9</v>
      </c>
      <c r="BU183" s="2">
        <v>3.5</v>
      </c>
      <c r="BV183" s="2">
        <v>5</v>
      </c>
      <c r="BW183" s="2">
        <v>6</v>
      </c>
      <c r="BX183" s="3" t="s">
        <v>382</v>
      </c>
      <c r="BY183" s="1" t="s">
        <v>230</v>
      </c>
    </row>
    <row r="184" spans="1:77" x14ac:dyDescent="0.25">
      <c r="A184">
        <v>27</v>
      </c>
      <c r="B184" t="s">
        <v>22</v>
      </c>
      <c r="C184">
        <v>18394</v>
      </c>
      <c r="D184" t="s">
        <v>153</v>
      </c>
      <c r="E184" s="1" t="s">
        <v>13</v>
      </c>
      <c r="G184" s="1">
        <v>32.5</v>
      </c>
      <c r="H184" s="2">
        <v>25</v>
      </c>
      <c r="I184" s="2">
        <f t="shared" si="53"/>
        <v>7.5</v>
      </c>
      <c r="J184" s="3">
        <f t="shared" si="54"/>
        <v>8.5</v>
      </c>
      <c r="K184" s="1">
        <v>50.5</v>
      </c>
      <c r="N184" s="1">
        <v>32.5</v>
      </c>
      <c r="O184" s="3">
        <v>33</v>
      </c>
      <c r="P184" s="2">
        <f t="shared" si="55"/>
        <v>8.5</v>
      </c>
      <c r="Q184" s="3">
        <f t="shared" si="56"/>
        <v>9</v>
      </c>
      <c r="R184" s="1">
        <v>68</v>
      </c>
      <c r="U184" s="1">
        <v>27.5</v>
      </c>
      <c r="V184" s="3">
        <v>22.5</v>
      </c>
      <c r="W184" s="2">
        <f t="shared" si="57"/>
        <v>6.5</v>
      </c>
      <c r="X184" s="3">
        <f t="shared" si="58"/>
        <v>7</v>
      </c>
      <c r="Y184" s="1">
        <v>54.5</v>
      </c>
      <c r="AB184" s="1">
        <v>25.5</v>
      </c>
      <c r="AC184" s="3">
        <v>37</v>
      </c>
      <c r="AD184" s="2">
        <f t="shared" si="59"/>
        <v>8</v>
      </c>
      <c r="AE184" s="3">
        <f t="shared" si="60"/>
        <v>9</v>
      </c>
      <c r="AF184" s="1">
        <v>56.5</v>
      </c>
      <c r="AI184" s="1">
        <v>32.5</v>
      </c>
      <c r="AJ184" s="3">
        <v>30.5</v>
      </c>
      <c r="AK184" s="2">
        <f t="shared" si="61"/>
        <v>8</v>
      </c>
      <c r="AL184" s="3">
        <f t="shared" si="62"/>
        <v>4</v>
      </c>
      <c r="AM184" s="1">
        <v>62</v>
      </c>
      <c r="AN184" s="1">
        <f t="shared" si="52"/>
        <v>74</v>
      </c>
      <c r="AP184" s="1">
        <v>22</v>
      </c>
      <c r="AQ184" s="2">
        <v>15</v>
      </c>
      <c r="AR184" s="1">
        <v>22</v>
      </c>
      <c r="AS184" s="2">
        <v>5</v>
      </c>
      <c r="AU184" s="2" t="s">
        <v>21</v>
      </c>
      <c r="AV184" s="1">
        <v>34</v>
      </c>
      <c r="AX184" s="2">
        <v>7</v>
      </c>
      <c r="AY184" s="2">
        <v>10</v>
      </c>
      <c r="AZ184" s="2">
        <v>8</v>
      </c>
      <c r="BA184" s="2">
        <v>18</v>
      </c>
      <c r="BC184" t="s">
        <v>234</v>
      </c>
      <c r="BD184" t="s">
        <v>362</v>
      </c>
      <c r="BE184" t="s">
        <v>236</v>
      </c>
      <c r="BF184" t="s">
        <v>367</v>
      </c>
      <c r="BG184" t="s">
        <v>238</v>
      </c>
      <c r="BH184" t="s">
        <v>246</v>
      </c>
      <c r="BJ184" s="2" t="s">
        <v>214</v>
      </c>
      <c r="BK184" s="2" t="s">
        <v>381</v>
      </c>
      <c r="BL184" s="1" t="s">
        <v>221</v>
      </c>
      <c r="BM184" s="1">
        <v>8</v>
      </c>
      <c r="BN184" s="1">
        <v>9</v>
      </c>
      <c r="BO184" s="1">
        <v>7</v>
      </c>
      <c r="BP184" s="1">
        <v>10</v>
      </c>
      <c r="BQ184" s="1" t="s">
        <v>20</v>
      </c>
      <c r="BR184" s="2" t="s">
        <v>223</v>
      </c>
      <c r="BS184" s="2">
        <v>8.5</v>
      </c>
      <c r="BT184" s="2">
        <v>9</v>
      </c>
      <c r="BU184" s="2">
        <v>6.5</v>
      </c>
      <c r="BV184" s="2">
        <v>8</v>
      </c>
      <c r="BW184" s="2">
        <v>7.6</v>
      </c>
      <c r="BX184" s="3" t="s">
        <v>382</v>
      </c>
      <c r="BY184" s="1" t="s">
        <v>230</v>
      </c>
    </row>
    <row r="185" spans="1:77" x14ac:dyDescent="0.25">
      <c r="A185">
        <v>28</v>
      </c>
      <c r="B185" t="s">
        <v>22</v>
      </c>
      <c r="C185">
        <v>16795</v>
      </c>
      <c r="D185" t="s">
        <v>158</v>
      </c>
      <c r="E185" s="1" t="s">
        <v>13</v>
      </c>
      <c r="G185" s="1">
        <v>10.5</v>
      </c>
      <c r="H185" s="2">
        <v>8</v>
      </c>
      <c r="I185" s="2">
        <f t="shared" si="53"/>
        <v>2.5</v>
      </c>
      <c r="J185" s="3">
        <f t="shared" si="54"/>
        <v>5</v>
      </c>
      <c r="K185" s="1" t="s">
        <v>21</v>
      </c>
      <c r="N185" s="1">
        <v>16</v>
      </c>
      <c r="O185" s="3">
        <v>19.5</v>
      </c>
      <c r="P185" s="2">
        <f t="shared" si="55"/>
        <v>4.5</v>
      </c>
      <c r="Q185" s="3">
        <f t="shared" si="56"/>
        <v>9.5</v>
      </c>
      <c r="R185" s="1">
        <v>41.5</v>
      </c>
      <c r="U185" s="1">
        <v>15</v>
      </c>
      <c r="V185" s="3">
        <v>8.5</v>
      </c>
      <c r="W185" s="2">
        <f t="shared" si="57"/>
        <v>3</v>
      </c>
      <c r="X185" s="3">
        <f t="shared" si="58"/>
        <v>3.5</v>
      </c>
      <c r="Y185" s="1">
        <v>14</v>
      </c>
      <c r="AB185" s="1">
        <v>6.5</v>
      </c>
      <c r="AC185" s="3">
        <v>10</v>
      </c>
      <c r="AD185" s="2">
        <f t="shared" si="59"/>
        <v>2.5</v>
      </c>
      <c r="AE185" s="3">
        <f t="shared" si="60"/>
        <v>7.5</v>
      </c>
      <c r="AF185" s="1">
        <v>17</v>
      </c>
      <c r="AI185" s="1">
        <v>11.5</v>
      </c>
      <c r="AJ185" s="3">
        <v>8</v>
      </c>
      <c r="AK185" s="2">
        <f t="shared" si="61"/>
        <v>2.5</v>
      </c>
      <c r="AL185" s="3">
        <f t="shared" si="62"/>
        <v>5</v>
      </c>
      <c r="AM185" s="1">
        <v>12</v>
      </c>
      <c r="AN185" s="1">
        <f t="shared" si="52"/>
        <v>19.5</v>
      </c>
      <c r="AP185" s="1">
        <v>7</v>
      </c>
      <c r="AQ185" s="2">
        <v>6.5</v>
      </c>
      <c r="AR185" s="1">
        <v>16.5</v>
      </c>
      <c r="AS185" s="2">
        <v>7</v>
      </c>
      <c r="AU185" s="2">
        <v>11.5</v>
      </c>
      <c r="AV185" s="1">
        <v>23.5</v>
      </c>
      <c r="AX185" s="2">
        <v>4</v>
      </c>
      <c r="AY185" s="2">
        <v>6</v>
      </c>
      <c r="AZ185" s="2">
        <v>8</v>
      </c>
      <c r="BA185" s="2">
        <v>7</v>
      </c>
      <c r="BC185" t="s">
        <v>234</v>
      </c>
      <c r="BD185" t="s">
        <v>357</v>
      </c>
      <c r="BE185" t="s">
        <v>236</v>
      </c>
      <c r="BF185" t="s">
        <v>263</v>
      </c>
      <c r="BG185" t="s">
        <v>238</v>
      </c>
      <c r="BH185" t="s">
        <v>239</v>
      </c>
      <c r="BJ185" s="2" t="s">
        <v>214</v>
      </c>
      <c r="BK185" s="2" t="s">
        <v>381</v>
      </c>
      <c r="BL185" s="1" t="s">
        <v>221</v>
      </c>
      <c r="BM185" s="1">
        <v>5</v>
      </c>
      <c r="BN185" s="1">
        <v>9</v>
      </c>
      <c r="BO185" s="1">
        <v>1</v>
      </c>
      <c r="BP185" s="1">
        <v>10</v>
      </c>
      <c r="BQ185" s="1">
        <v>4</v>
      </c>
      <c r="BR185" s="2" t="s">
        <v>223</v>
      </c>
      <c r="BS185" s="2">
        <v>4.5</v>
      </c>
      <c r="BT185" s="2">
        <v>10</v>
      </c>
      <c r="BU185" s="2">
        <v>5.5</v>
      </c>
      <c r="BV185" s="2">
        <v>5</v>
      </c>
      <c r="BW185" s="2">
        <v>5.5</v>
      </c>
      <c r="BX185" s="3" t="s">
        <v>382</v>
      </c>
      <c r="BY185" s="1" t="s">
        <v>230</v>
      </c>
    </row>
    <row r="186" spans="1:77" x14ac:dyDescent="0.25">
      <c r="A186">
        <v>29</v>
      </c>
      <c r="B186" t="s">
        <v>22</v>
      </c>
      <c r="C186">
        <v>17931</v>
      </c>
      <c r="D186" t="s">
        <v>163</v>
      </c>
      <c r="E186" s="1" t="s">
        <v>13</v>
      </c>
      <c r="G186" s="1">
        <v>23.5</v>
      </c>
      <c r="H186" s="2">
        <v>13</v>
      </c>
      <c r="I186" s="2">
        <f t="shared" si="53"/>
        <v>5</v>
      </c>
      <c r="J186" s="3">
        <f t="shared" si="54"/>
        <v>4</v>
      </c>
      <c r="K186" s="1">
        <v>31</v>
      </c>
      <c r="N186" s="1">
        <v>19.5</v>
      </c>
      <c r="O186" s="3">
        <v>16</v>
      </c>
      <c r="P186" s="2">
        <f t="shared" si="55"/>
        <v>4.5</v>
      </c>
      <c r="Q186" s="3">
        <f t="shared" si="56"/>
        <v>10</v>
      </c>
      <c r="R186" s="1">
        <v>50.5</v>
      </c>
      <c r="U186" s="1">
        <v>25</v>
      </c>
      <c r="V186" s="3">
        <v>13.5</v>
      </c>
      <c r="W186" s="2">
        <f t="shared" si="57"/>
        <v>5</v>
      </c>
      <c r="X186" s="3">
        <f t="shared" si="58"/>
        <v>5</v>
      </c>
      <c r="Y186" s="1">
        <v>35.5</v>
      </c>
      <c r="AB186" s="1">
        <v>15</v>
      </c>
      <c r="AC186" s="3">
        <v>19.5</v>
      </c>
      <c r="AD186" s="2">
        <f t="shared" si="59"/>
        <v>4.5</v>
      </c>
      <c r="AE186" s="3">
        <f t="shared" si="60"/>
        <v>7</v>
      </c>
      <c r="AF186" s="1">
        <v>56</v>
      </c>
      <c r="AI186" s="1">
        <v>8.5</v>
      </c>
      <c r="AJ186" s="3">
        <v>15</v>
      </c>
      <c r="AK186" s="2">
        <f t="shared" si="61"/>
        <v>3</v>
      </c>
      <c r="AL186" s="3">
        <f t="shared" si="62"/>
        <v>2.5</v>
      </c>
      <c r="AM186" s="1">
        <v>40.5</v>
      </c>
      <c r="AN186" s="1">
        <f t="shared" si="52"/>
        <v>46</v>
      </c>
      <c r="AP186" s="1">
        <v>12</v>
      </c>
      <c r="AQ186" s="2">
        <v>11</v>
      </c>
      <c r="AR186" s="1">
        <v>11.5</v>
      </c>
      <c r="AS186" s="2">
        <v>5</v>
      </c>
      <c r="AU186" s="2">
        <v>14</v>
      </c>
      <c r="AV186" s="1">
        <v>24</v>
      </c>
      <c r="AX186" s="2">
        <v>8.5</v>
      </c>
      <c r="AY186" s="2">
        <v>7</v>
      </c>
      <c r="AZ186" s="2">
        <v>8</v>
      </c>
      <c r="BA186" s="2">
        <v>16</v>
      </c>
      <c r="BC186" t="s">
        <v>234</v>
      </c>
      <c r="BD186" t="s">
        <v>235</v>
      </c>
      <c r="BE186" t="s">
        <v>236</v>
      </c>
      <c r="BF186" t="s">
        <v>263</v>
      </c>
      <c r="BG186" t="s">
        <v>369</v>
      </c>
      <c r="BH186" t="s">
        <v>368</v>
      </c>
      <c r="BJ186" s="2" t="s">
        <v>214</v>
      </c>
      <c r="BK186" s="2" t="s">
        <v>381</v>
      </c>
      <c r="BL186" s="1" t="s">
        <v>221</v>
      </c>
      <c r="BM186" s="1">
        <v>3</v>
      </c>
      <c r="BN186" s="1">
        <v>10</v>
      </c>
      <c r="BO186" s="1">
        <v>4</v>
      </c>
      <c r="BP186" s="1">
        <v>7.5</v>
      </c>
      <c r="BQ186" s="1" t="s">
        <v>20</v>
      </c>
      <c r="BR186" s="2" t="s">
        <v>223</v>
      </c>
      <c r="BS186" s="2">
        <v>5</v>
      </c>
      <c r="BT186" s="2">
        <v>10</v>
      </c>
      <c r="BU186" s="2">
        <v>6</v>
      </c>
      <c r="BV186" s="2">
        <v>6.5</v>
      </c>
      <c r="BW186" s="2">
        <v>5</v>
      </c>
      <c r="BX186" s="3" t="s">
        <v>382</v>
      </c>
      <c r="BY186" s="1" t="s">
        <v>230</v>
      </c>
    </row>
    <row r="187" spans="1:77" x14ac:dyDescent="0.25">
      <c r="A187">
        <v>30</v>
      </c>
      <c r="B187" t="s">
        <v>22</v>
      </c>
      <c r="C187">
        <v>16531</v>
      </c>
      <c r="D187" t="s">
        <v>168</v>
      </c>
      <c r="E187" s="1" t="s">
        <v>13</v>
      </c>
      <c r="G187" s="1">
        <v>11</v>
      </c>
      <c r="H187" s="2">
        <v>5.5</v>
      </c>
      <c r="I187" s="2">
        <f t="shared" si="53"/>
        <v>2.5</v>
      </c>
      <c r="J187" s="3">
        <f t="shared" si="54"/>
        <v>5</v>
      </c>
      <c r="K187" s="1">
        <v>12</v>
      </c>
      <c r="N187" s="1">
        <v>26</v>
      </c>
      <c r="O187" s="3">
        <v>16.5</v>
      </c>
      <c r="P187" s="2">
        <f t="shared" si="55"/>
        <v>5.5</v>
      </c>
      <c r="Q187" s="3">
        <f t="shared" si="56"/>
        <v>10</v>
      </c>
      <c r="R187" s="1">
        <v>42.5</v>
      </c>
      <c r="U187" s="1">
        <v>26</v>
      </c>
      <c r="V187" s="3">
        <v>18.5</v>
      </c>
      <c r="W187" s="2">
        <f t="shared" si="57"/>
        <v>6</v>
      </c>
      <c r="X187" s="3">
        <f t="shared" si="58"/>
        <v>4.5</v>
      </c>
      <c r="Y187" s="1">
        <v>16.5</v>
      </c>
      <c r="AB187" s="1">
        <v>9.5</v>
      </c>
      <c r="AC187" s="3">
        <v>10</v>
      </c>
      <c r="AD187" s="2">
        <f t="shared" si="59"/>
        <v>2.5</v>
      </c>
      <c r="AE187" s="3">
        <f t="shared" si="60"/>
        <v>7.5</v>
      </c>
      <c r="AF187" s="1">
        <v>18</v>
      </c>
      <c r="AI187" s="1">
        <v>8</v>
      </c>
      <c r="AJ187" s="3">
        <v>14</v>
      </c>
      <c r="AK187" s="2">
        <f t="shared" si="61"/>
        <v>3</v>
      </c>
      <c r="AL187" s="3">
        <f t="shared" si="62"/>
        <v>5</v>
      </c>
      <c r="AM187" s="1">
        <v>26.5</v>
      </c>
      <c r="AN187" s="1">
        <f t="shared" si="52"/>
        <v>34.5</v>
      </c>
      <c r="AP187" s="1">
        <v>11.5</v>
      </c>
      <c r="AQ187" s="2">
        <v>11.5</v>
      </c>
      <c r="AR187" s="1">
        <v>13.5</v>
      </c>
      <c r="AS187" s="2">
        <v>6</v>
      </c>
      <c r="AU187" s="2">
        <v>13</v>
      </c>
      <c r="AV187" s="1">
        <v>20</v>
      </c>
      <c r="AX187" s="2">
        <v>7</v>
      </c>
      <c r="AY187" s="2">
        <v>6</v>
      </c>
      <c r="AZ187" s="2">
        <v>8</v>
      </c>
      <c r="BA187" s="2">
        <v>6</v>
      </c>
      <c r="BC187" t="s">
        <v>234</v>
      </c>
      <c r="BD187" t="s">
        <v>235</v>
      </c>
      <c r="BE187" t="s">
        <v>236</v>
      </c>
      <c r="BF187" t="s">
        <v>263</v>
      </c>
      <c r="BG187" t="s">
        <v>238</v>
      </c>
      <c r="BH187" t="s">
        <v>246</v>
      </c>
      <c r="BJ187" s="2" t="s">
        <v>214</v>
      </c>
      <c r="BK187" s="2" t="s">
        <v>381</v>
      </c>
      <c r="BL187" s="1" t="s">
        <v>221</v>
      </c>
      <c r="BM187" s="1">
        <v>5.5</v>
      </c>
      <c r="BN187" s="1">
        <v>10</v>
      </c>
      <c r="BO187" s="1">
        <v>4</v>
      </c>
      <c r="BP187" s="1">
        <v>8.5</v>
      </c>
      <c r="BQ187" s="1">
        <v>5.5</v>
      </c>
      <c r="BR187" s="2" t="s">
        <v>223</v>
      </c>
      <c r="BS187" s="2">
        <v>4.5</v>
      </c>
      <c r="BT187" s="2">
        <v>10</v>
      </c>
      <c r="BU187" s="2">
        <v>4.5</v>
      </c>
      <c r="BV187" s="2">
        <v>6</v>
      </c>
      <c r="BW187" s="2">
        <v>4.5</v>
      </c>
      <c r="BX187" s="3" t="s">
        <v>382</v>
      </c>
      <c r="BY187" s="1" t="s">
        <v>230</v>
      </c>
    </row>
    <row r="188" spans="1:77" x14ac:dyDescent="0.25">
      <c r="A188">
        <v>31</v>
      </c>
      <c r="B188" t="s">
        <v>22</v>
      </c>
      <c r="C188">
        <v>18327</v>
      </c>
      <c r="D188" t="s">
        <v>173</v>
      </c>
      <c r="E188" s="1" t="s">
        <v>13</v>
      </c>
      <c r="G188" s="1">
        <v>24.5</v>
      </c>
      <c r="H188" s="2">
        <v>20.5</v>
      </c>
      <c r="I188" s="2">
        <f t="shared" si="53"/>
        <v>6</v>
      </c>
      <c r="J188" s="3">
        <f t="shared" si="54"/>
        <v>7</v>
      </c>
      <c r="K188" s="1">
        <v>39.5</v>
      </c>
      <c r="N188" s="1">
        <v>29</v>
      </c>
      <c r="O188" s="3">
        <v>33</v>
      </c>
      <c r="P188" s="2">
        <f t="shared" si="55"/>
        <v>8</v>
      </c>
      <c r="Q188" s="3">
        <f t="shared" si="56"/>
        <v>9.5</v>
      </c>
      <c r="R188" s="1">
        <v>59</v>
      </c>
      <c r="U188" s="1">
        <v>24</v>
      </c>
      <c r="V188" s="3">
        <v>24.5</v>
      </c>
      <c r="W188" s="2">
        <f t="shared" si="57"/>
        <v>6.5</v>
      </c>
      <c r="X188" s="3">
        <f t="shared" si="58"/>
        <v>4.5</v>
      </c>
      <c r="Y188" s="1">
        <v>34.5</v>
      </c>
      <c r="AB188" s="1">
        <v>20</v>
      </c>
      <c r="AC188" s="3">
        <v>19.5</v>
      </c>
      <c r="AD188" s="2">
        <f t="shared" si="59"/>
        <v>5</v>
      </c>
      <c r="AE188" s="3">
        <f t="shared" si="60"/>
        <v>8</v>
      </c>
      <c r="AF188" s="1">
        <v>45.5</v>
      </c>
      <c r="AI188" s="1">
        <v>22.5</v>
      </c>
      <c r="AJ188" s="3">
        <v>14</v>
      </c>
      <c r="AK188" s="2">
        <f t="shared" si="61"/>
        <v>5</v>
      </c>
      <c r="AL188" s="3">
        <f t="shared" si="62"/>
        <v>6.5</v>
      </c>
      <c r="AM188" s="1">
        <v>28.5</v>
      </c>
      <c r="AN188" s="1">
        <f t="shared" si="52"/>
        <v>40</v>
      </c>
      <c r="AP188" s="1">
        <v>16.5</v>
      </c>
      <c r="AQ188" s="2">
        <v>8.5</v>
      </c>
      <c r="AR188" s="1">
        <v>20</v>
      </c>
      <c r="AS188" s="2">
        <v>5</v>
      </c>
      <c r="AU188" s="2">
        <v>15.5</v>
      </c>
      <c r="AV188" s="1">
        <v>23.5</v>
      </c>
      <c r="AX188" s="2">
        <v>9</v>
      </c>
      <c r="AY188" s="2">
        <v>10</v>
      </c>
      <c r="AZ188" s="2">
        <v>8</v>
      </c>
      <c r="BA188" s="2">
        <v>9.5</v>
      </c>
      <c r="BC188" t="s">
        <v>234</v>
      </c>
      <c r="BD188" t="s">
        <v>362</v>
      </c>
      <c r="BE188" t="s">
        <v>236</v>
      </c>
      <c r="BF188" t="s">
        <v>370</v>
      </c>
      <c r="BG188" t="s">
        <v>238</v>
      </c>
      <c r="BH188" t="s">
        <v>241</v>
      </c>
      <c r="BJ188" s="2" t="s">
        <v>214</v>
      </c>
      <c r="BK188" s="2" t="s">
        <v>381</v>
      </c>
      <c r="BL188" s="1" t="s">
        <v>221</v>
      </c>
      <c r="BM188" s="1">
        <v>7</v>
      </c>
      <c r="BN188" s="1">
        <v>9</v>
      </c>
      <c r="BO188" s="1">
        <v>4</v>
      </c>
      <c r="BP188" s="1">
        <v>9</v>
      </c>
      <c r="BQ188" s="1">
        <v>6.5</v>
      </c>
      <c r="BR188" s="2" t="s">
        <v>223</v>
      </c>
      <c r="BS188" s="2">
        <v>7</v>
      </c>
      <c r="BT188" s="2">
        <v>10</v>
      </c>
      <c r="BU188" s="2">
        <v>4.5</v>
      </c>
      <c r="BV188" s="2">
        <v>7</v>
      </c>
      <c r="BW188" s="2">
        <v>6</v>
      </c>
      <c r="BX188" s="3" t="s">
        <v>382</v>
      </c>
      <c r="BY188" s="1" t="s">
        <v>230</v>
      </c>
    </row>
    <row r="189" spans="1:77" x14ac:dyDescent="0.25">
      <c r="A189">
        <v>32</v>
      </c>
      <c r="B189" t="s">
        <v>22</v>
      </c>
      <c r="C189">
        <v>16494</v>
      </c>
      <c r="D189" t="s">
        <v>178</v>
      </c>
      <c r="E189" s="1" t="s">
        <v>13</v>
      </c>
      <c r="G189" s="1">
        <v>26</v>
      </c>
      <c r="H189" s="2">
        <v>10.5</v>
      </c>
      <c r="I189" s="2">
        <f t="shared" si="53"/>
        <v>5</v>
      </c>
      <c r="J189" s="3">
        <f t="shared" si="54"/>
        <v>2</v>
      </c>
      <c r="K189" s="1">
        <v>30</v>
      </c>
      <c r="N189" s="1">
        <v>24</v>
      </c>
      <c r="O189" s="3">
        <v>29</v>
      </c>
      <c r="P189" s="2">
        <f t="shared" si="55"/>
        <v>7</v>
      </c>
      <c r="Q189" s="3">
        <f t="shared" si="56"/>
        <v>9.5</v>
      </c>
      <c r="R189" s="1">
        <v>50.5</v>
      </c>
      <c r="U189" s="1">
        <v>25</v>
      </c>
      <c r="V189" s="3">
        <v>21.5</v>
      </c>
      <c r="W189" s="2">
        <f t="shared" si="57"/>
        <v>6</v>
      </c>
      <c r="X189" s="3">
        <f t="shared" si="58"/>
        <v>3.5</v>
      </c>
      <c r="Y189" s="1">
        <v>39</v>
      </c>
      <c r="AB189" s="1">
        <v>8</v>
      </c>
      <c r="AC189" s="3">
        <v>12.5</v>
      </c>
      <c r="AD189" s="2">
        <f t="shared" si="59"/>
        <v>3</v>
      </c>
      <c r="AE189" s="3">
        <f t="shared" si="60"/>
        <v>7</v>
      </c>
      <c r="AF189" s="1">
        <v>30.5</v>
      </c>
      <c r="AI189" s="1">
        <v>10.5</v>
      </c>
      <c r="AJ189" s="3">
        <v>13.5</v>
      </c>
      <c r="AK189" s="2">
        <f t="shared" si="61"/>
        <v>3</v>
      </c>
      <c r="AL189" s="3">
        <f t="shared" si="62"/>
        <v>5</v>
      </c>
      <c r="AM189" s="1">
        <v>26.5</v>
      </c>
      <c r="AN189" s="1">
        <f t="shared" si="52"/>
        <v>34.5</v>
      </c>
      <c r="AP189" s="1">
        <v>4</v>
      </c>
      <c r="AQ189" s="2">
        <v>6</v>
      </c>
      <c r="AR189" s="1">
        <v>8</v>
      </c>
      <c r="AS189" s="2">
        <v>3</v>
      </c>
      <c r="AU189" s="2">
        <v>15.5</v>
      </c>
      <c r="AV189" s="1">
        <v>21.5</v>
      </c>
      <c r="AX189" s="2">
        <v>8</v>
      </c>
      <c r="AY189" s="2">
        <v>10</v>
      </c>
      <c r="AZ189" s="2">
        <v>8</v>
      </c>
      <c r="BA189" s="2">
        <v>5</v>
      </c>
      <c r="BC189" t="s">
        <v>234</v>
      </c>
      <c r="BD189" t="s">
        <v>235</v>
      </c>
      <c r="BE189" t="s">
        <v>236</v>
      </c>
      <c r="BF189" t="s">
        <v>263</v>
      </c>
      <c r="BG189" t="s">
        <v>238</v>
      </c>
      <c r="BH189" t="s">
        <v>241</v>
      </c>
      <c r="BJ189" s="2" t="s">
        <v>214</v>
      </c>
      <c r="BK189" s="2" t="s">
        <v>381</v>
      </c>
      <c r="BL189" s="1" t="s">
        <v>221</v>
      </c>
      <c r="BM189" s="1">
        <v>4</v>
      </c>
      <c r="BN189" s="1">
        <v>9.5</v>
      </c>
      <c r="BO189" s="1">
        <v>2</v>
      </c>
      <c r="BP189" s="1">
        <v>7.5</v>
      </c>
      <c r="BQ189" s="1">
        <v>5.5</v>
      </c>
      <c r="BR189" s="2" t="s">
        <v>223</v>
      </c>
      <c r="BS189" s="2" t="s">
        <v>224</v>
      </c>
      <c r="BT189" s="2">
        <v>9</v>
      </c>
      <c r="BU189" s="2">
        <v>5</v>
      </c>
      <c r="BV189" s="2">
        <v>6.5</v>
      </c>
      <c r="BW189" s="2">
        <v>4</v>
      </c>
      <c r="BX189" s="3" t="s">
        <v>382</v>
      </c>
      <c r="BY189" s="1" t="s">
        <v>230</v>
      </c>
    </row>
    <row r="190" spans="1:77" x14ac:dyDescent="0.25">
      <c r="A190">
        <v>33</v>
      </c>
      <c r="B190" t="s">
        <v>22</v>
      </c>
      <c r="C190">
        <v>16670</v>
      </c>
      <c r="D190" t="s">
        <v>183</v>
      </c>
      <c r="E190" s="1" t="s">
        <v>13</v>
      </c>
      <c r="G190" s="1">
        <v>22.5</v>
      </c>
      <c r="H190" s="2">
        <v>17.5</v>
      </c>
      <c r="I190" s="2">
        <f t="shared" si="53"/>
        <v>5</v>
      </c>
      <c r="J190" s="3">
        <f t="shared" si="54"/>
        <v>5.5</v>
      </c>
      <c r="K190" s="1">
        <v>44.5</v>
      </c>
      <c r="N190" s="1">
        <v>27.5</v>
      </c>
      <c r="O190" s="3">
        <v>28.5</v>
      </c>
      <c r="P190" s="2">
        <f t="shared" si="55"/>
        <v>7</v>
      </c>
      <c r="Q190" s="3">
        <f t="shared" si="56"/>
        <v>9.5</v>
      </c>
      <c r="R190" s="1">
        <v>57</v>
      </c>
      <c r="U190" s="1">
        <v>22</v>
      </c>
      <c r="V190" s="3" t="s">
        <v>220</v>
      </c>
      <c r="W190" s="2">
        <f t="shared" si="57"/>
        <v>3</v>
      </c>
      <c r="X190" s="3">
        <f t="shared" si="58"/>
        <v>5.5</v>
      </c>
      <c r="Y190" s="1">
        <v>57</v>
      </c>
      <c r="AB190" s="1">
        <v>32</v>
      </c>
      <c r="AC190" s="3">
        <v>31.5</v>
      </c>
      <c r="AD190" s="2">
        <f t="shared" si="59"/>
        <v>8</v>
      </c>
      <c r="AE190" s="3">
        <f t="shared" si="60"/>
        <v>9</v>
      </c>
      <c r="AF190" s="1">
        <v>53.5</v>
      </c>
      <c r="AI190" s="1">
        <v>20.5</v>
      </c>
      <c r="AJ190" s="3">
        <v>25.5</v>
      </c>
      <c r="AK190" s="2">
        <f t="shared" si="61"/>
        <v>6</v>
      </c>
      <c r="AL190" s="3">
        <f t="shared" si="62"/>
        <v>6</v>
      </c>
      <c r="AM190" s="1">
        <v>47</v>
      </c>
      <c r="AN190" s="1">
        <f t="shared" si="52"/>
        <v>59</v>
      </c>
      <c r="AP190" s="1">
        <v>13</v>
      </c>
      <c r="AQ190" s="2">
        <v>12.5</v>
      </c>
      <c r="AR190" s="1">
        <v>18.5</v>
      </c>
      <c r="AS190" s="2">
        <v>8</v>
      </c>
      <c r="AU190" s="2">
        <v>17.5</v>
      </c>
      <c r="AV190" s="1">
        <v>33</v>
      </c>
      <c r="AX190" s="2">
        <v>9</v>
      </c>
      <c r="AY190" s="2">
        <v>10</v>
      </c>
      <c r="AZ190" s="2">
        <v>8</v>
      </c>
      <c r="BA190" s="2">
        <v>15</v>
      </c>
      <c r="BC190" t="s">
        <v>234</v>
      </c>
      <c r="BD190" t="s">
        <v>235</v>
      </c>
      <c r="BE190" t="s">
        <v>236</v>
      </c>
      <c r="BF190" t="s">
        <v>263</v>
      </c>
      <c r="BG190" t="s">
        <v>238</v>
      </c>
      <c r="BH190" t="s">
        <v>371</v>
      </c>
      <c r="BJ190" s="2" t="s">
        <v>214</v>
      </c>
      <c r="BK190" s="2" t="s">
        <v>381</v>
      </c>
      <c r="BL190" s="1" t="s">
        <v>221</v>
      </c>
      <c r="BM190" s="1">
        <v>4.5</v>
      </c>
      <c r="BN190" s="1">
        <v>8.5</v>
      </c>
      <c r="BO190" s="1">
        <v>4</v>
      </c>
      <c r="BP190" s="1">
        <v>10</v>
      </c>
      <c r="BQ190" s="1">
        <v>6.5</v>
      </c>
      <c r="BR190" s="2" t="s">
        <v>223</v>
      </c>
      <c r="BS190" s="2">
        <v>6.5</v>
      </c>
      <c r="BT190" s="2">
        <v>10</v>
      </c>
      <c r="BU190" s="2">
        <v>6.5</v>
      </c>
      <c r="BV190" s="2">
        <v>8</v>
      </c>
      <c r="BW190" s="2">
        <v>5.5</v>
      </c>
      <c r="BX190" s="3" t="s">
        <v>382</v>
      </c>
      <c r="BY190" s="1" t="s">
        <v>230</v>
      </c>
    </row>
    <row r="191" spans="1:77" x14ac:dyDescent="0.25">
      <c r="A191">
        <v>34</v>
      </c>
      <c r="B191" t="s">
        <v>22</v>
      </c>
      <c r="C191">
        <v>16473</v>
      </c>
      <c r="D191" t="s">
        <v>188</v>
      </c>
      <c r="E191" s="1" t="s">
        <v>13</v>
      </c>
      <c r="G191" s="1">
        <v>9.5</v>
      </c>
      <c r="H191" s="2">
        <v>13.5</v>
      </c>
      <c r="I191" s="2">
        <f t="shared" si="53"/>
        <v>3</v>
      </c>
      <c r="J191" s="3">
        <f t="shared" si="54"/>
        <v>4.5</v>
      </c>
      <c r="K191" s="1">
        <v>20.5</v>
      </c>
      <c r="N191" s="1">
        <v>22.5</v>
      </c>
      <c r="O191" s="3">
        <v>23.5</v>
      </c>
      <c r="P191" s="2">
        <f t="shared" si="55"/>
        <v>6</v>
      </c>
      <c r="Q191" s="3">
        <f t="shared" si="56"/>
        <v>4.5</v>
      </c>
      <c r="R191" s="1" t="s">
        <v>20</v>
      </c>
      <c r="U191" s="1">
        <v>14.5</v>
      </c>
      <c r="V191" s="3">
        <v>17</v>
      </c>
      <c r="W191" s="2">
        <f t="shared" si="57"/>
        <v>4</v>
      </c>
      <c r="X191" s="3">
        <f t="shared" si="58"/>
        <v>5</v>
      </c>
      <c r="Y191" s="1" t="s">
        <v>20</v>
      </c>
      <c r="AB191" s="1">
        <v>9.5</v>
      </c>
      <c r="AC191" s="3">
        <v>13.5</v>
      </c>
      <c r="AD191" s="2">
        <f t="shared" si="59"/>
        <v>3</v>
      </c>
      <c r="AE191" s="3">
        <f t="shared" si="60"/>
        <v>4</v>
      </c>
      <c r="AF191" s="1" t="s">
        <v>44</v>
      </c>
      <c r="AI191" s="1">
        <v>15.5</v>
      </c>
      <c r="AJ191" s="3">
        <v>8</v>
      </c>
      <c r="AK191" s="2">
        <f t="shared" si="61"/>
        <v>3</v>
      </c>
      <c r="AL191" s="3">
        <f t="shared" si="62"/>
        <v>2</v>
      </c>
      <c r="AM191" s="1">
        <v>23</v>
      </c>
      <c r="AN191" s="1">
        <f t="shared" si="52"/>
        <v>28</v>
      </c>
      <c r="AP191" s="1">
        <v>3</v>
      </c>
      <c r="AQ191" s="2">
        <v>6</v>
      </c>
      <c r="AR191" s="1">
        <v>3.5</v>
      </c>
      <c r="AS191" s="2">
        <v>4</v>
      </c>
      <c r="AU191" s="2">
        <v>12.5</v>
      </c>
      <c r="AV191" s="1">
        <v>23</v>
      </c>
      <c r="AX191" s="2">
        <v>7</v>
      </c>
      <c r="AY191" s="2">
        <v>5</v>
      </c>
      <c r="AZ191" s="2">
        <v>8</v>
      </c>
      <c r="BA191" s="2">
        <v>6</v>
      </c>
      <c r="BC191" t="s">
        <v>234</v>
      </c>
      <c r="BD191" t="s">
        <v>235</v>
      </c>
      <c r="BE191" t="s">
        <v>236</v>
      </c>
      <c r="BF191" t="s">
        <v>263</v>
      </c>
      <c r="BG191" t="s">
        <v>238</v>
      </c>
      <c r="BH191" t="s">
        <v>372</v>
      </c>
      <c r="BJ191" s="2" t="s">
        <v>214</v>
      </c>
      <c r="BK191" s="2" t="s">
        <v>381</v>
      </c>
      <c r="BL191" s="1" t="s">
        <v>221</v>
      </c>
      <c r="BM191" s="1">
        <v>4</v>
      </c>
      <c r="BN191" s="1" t="s">
        <v>20</v>
      </c>
      <c r="BO191" s="1">
        <v>4</v>
      </c>
      <c r="BP191" s="1">
        <v>7.5</v>
      </c>
      <c r="BQ191" s="1" t="s">
        <v>20</v>
      </c>
      <c r="BR191" s="2" t="s">
        <v>223</v>
      </c>
      <c r="BS191" s="2">
        <v>4.5</v>
      </c>
      <c r="BT191" s="2">
        <v>9</v>
      </c>
      <c r="BU191" s="2">
        <v>5.5</v>
      </c>
      <c r="BV191" s="2" t="s">
        <v>44</v>
      </c>
      <c r="BW191" s="2">
        <v>4</v>
      </c>
      <c r="BX191" s="3" t="s">
        <v>382</v>
      </c>
      <c r="BY191" s="1" t="s">
        <v>230</v>
      </c>
    </row>
    <row r="192" spans="1:77" x14ac:dyDescent="0.25">
      <c r="A192">
        <v>35</v>
      </c>
      <c r="B192" t="s">
        <v>22</v>
      </c>
      <c r="C192">
        <v>16471</v>
      </c>
      <c r="D192" t="s">
        <v>193</v>
      </c>
      <c r="E192" s="1" t="s">
        <v>13</v>
      </c>
      <c r="G192" s="1">
        <v>30</v>
      </c>
      <c r="H192" s="2">
        <v>25</v>
      </c>
      <c r="I192" s="2">
        <f t="shared" si="53"/>
        <v>7</v>
      </c>
      <c r="J192" s="3">
        <f t="shared" si="54"/>
        <v>7.5</v>
      </c>
      <c r="K192" s="1">
        <v>45.5</v>
      </c>
      <c r="N192" s="1">
        <v>29</v>
      </c>
      <c r="O192" s="3">
        <v>29.5</v>
      </c>
      <c r="P192" s="2">
        <f t="shared" si="55"/>
        <v>7.5</v>
      </c>
      <c r="Q192" s="3">
        <f t="shared" si="56"/>
        <v>9.5</v>
      </c>
      <c r="R192" s="1">
        <v>57.5</v>
      </c>
      <c r="U192" s="1">
        <v>27.5</v>
      </c>
      <c r="V192" s="3">
        <v>29</v>
      </c>
      <c r="W192" s="2">
        <f t="shared" si="57"/>
        <v>7.5</v>
      </c>
      <c r="X192" s="3">
        <f t="shared" si="58"/>
        <v>8</v>
      </c>
      <c r="Y192" s="1">
        <v>58</v>
      </c>
      <c r="AB192" s="1">
        <v>28.5</v>
      </c>
      <c r="AC192" s="3">
        <v>29.5</v>
      </c>
      <c r="AD192" s="2">
        <f t="shared" si="59"/>
        <v>7.5</v>
      </c>
      <c r="AE192" s="3">
        <f t="shared" si="60"/>
        <v>9</v>
      </c>
      <c r="AF192" s="1">
        <v>48</v>
      </c>
      <c r="AI192" s="1">
        <v>33</v>
      </c>
      <c r="AJ192" s="3">
        <v>30</v>
      </c>
      <c r="AK192" s="2">
        <f t="shared" si="61"/>
        <v>8</v>
      </c>
      <c r="AL192" s="3">
        <f t="shared" si="62"/>
        <v>6.5</v>
      </c>
      <c r="AM192" s="1">
        <v>58</v>
      </c>
      <c r="AN192" s="1">
        <f t="shared" si="52"/>
        <v>72.5</v>
      </c>
      <c r="AP192" s="1">
        <v>11</v>
      </c>
      <c r="AQ192" s="2">
        <v>11</v>
      </c>
      <c r="AR192" s="1">
        <v>14</v>
      </c>
      <c r="AS192" s="2">
        <v>5</v>
      </c>
      <c r="AU192" s="2">
        <v>21.5</v>
      </c>
      <c r="AV192" s="1">
        <v>31.5</v>
      </c>
      <c r="AX192" s="2">
        <v>9</v>
      </c>
      <c r="AY192" s="2">
        <v>10</v>
      </c>
      <c r="AZ192" s="2">
        <v>8</v>
      </c>
      <c r="BA192" s="2">
        <v>18.5</v>
      </c>
      <c r="BC192" t="s">
        <v>234</v>
      </c>
      <c r="BD192" t="s">
        <v>362</v>
      </c>
      <c r="BE192" t="s">
        <v>236</v>
      </c>
      <c r="BF192" t="s">
        <v>263</v>
      </c>
      <c r="BG192" t="s">
        <v>238</v>
      </c>
      <c r="BH192" t="s">
        <v>247</v>
      </c>
      <c r="BJ192" s="2" t="s">
        <v>214</v>
      </c>
      <c r="BK192" s="2" t="s">
        <v>381</v>
      </c>
      <c r="BL192" s="1" t="s">
        <v>221</v>
      </c>
      <c r="BM192" s="1">
        <v>7</v>
      </c>
      <c r="BN192" s="1">
        <v>9.5</v>
      </c>
      <c r="BO192" s="1">
        <v>8</v>
      </c>
      <c r="BP192" s="1">
        <v>9.5</v>
      </c>
      <c r="BQ192" s="1">
        <v>7</v>
      </c>
      <c r="BR192" s="2" t="s">
        <v>223</v>
      </c>
      <c r="BS192" s="2">
        <v>7.5</v>
      </c>
      <c r="BT192" s="2">
        <v>9</v>
      </c>
      <c r="BU192" s="2">
        <v>7.5</v>
      </c>
      <c r="BV192" s="2">
        <v>8.5</v>
      </c>
      <c r="BW192" s="2">
        <v>6</v>
      </c>
      <c r="BX192" s="3" t="s">
        <v>382</v>
      </c>
      <c r="BY192" s="1" t="s">
        <v>230</v>
      </c>
    </row>
    <row r="193" spans="1:77" x14ac:dyDescent="0.25">
      <c r="A193">
        <v>36</v>
      </c>
      <c r="B193" t="s">
        <v>22</v>
      </c>
      <c r="C193">
        <v>16498</v>
      </c>
      <c r="D193" t="s">
        <v>198</v>
      </c>
      <c r="E193" s="1" t="s">
        <v>13</v>
      </c>
      <c r="G193" s="1" t="s">
        <v>20</v>
      </c>
      <c r="H193" s="2">
        <v>15.5</v>
      </c>
      <c r="I193" s="2">
        <f t="shared" si="53"/>
        <v>2</v>
      </c>
      <c r="J193" s="3">
        <f t="shared" si="54"/>
        <v>5</v>
      </c>
      <c r="K193" s="1">
        <v>33.5</v>
      </c>
      <c r="N193" s="1">
        <v>29.5</v>
      </c>
      <c r="O193" s="3">
        <v>32</v>
      </c>
      <c r="P193" s="2">
        <f t="shared" si="55"/>
        <v>8</v>
      </c>
      <c r="Q193" s="3">
        <f t="shared" si="56"/>
        <v>9</v>
      </c>
      <c r="R193" s="1">
        <v>56.5</v>
      </c>
      <c r="U193" s="1">
        <v>13.5</v>
      </c>
      <c r="V193" s="3">
        <v>18</v>
      </c>
      <c r="W193" s="2">
        <f t="shared" si="57"/>
        <v>4</v>
      </c>
      <c r="X193" s="3">
        <f t="shared" si="58"/>
        <v>3</v>
      </c>
      <c r="Y193" s="1">
        <v>30.5</v>
      </c>
      <c r="AB193" s="1">
        <v>19</v>
      </c>
      <c r="AC193" s="3">
        <v>34</v>
      </c>
      <c r="AD193" s="2">
        <f t="shared" si="59"/>
        <v>7</v>
      </c>
      <c r="AE193" s="3">
        <f t="shared" si="60"/>
        <v>7</v>
      </c>
      <c r="AF193" s="1">
        <v>49.5</v>
      </c>
      <c r="AI193" s="1">
        <v>21.5</v>
      </c>
      <c r="AJ193" s="3">
        <v>27.5</v>
      </c>
      <c r="AK193" s="2">
        <f t="shared" si="61"/>
        <v>6.5</v>
      </c>
      <c r="AL193" s="3">
        <f t="shared" si="62"/>
        <v>4.5</v>
      </c>
      <c r="AM193" s="1">
        <v>39</v>
      </c>
      <c r="AN193" s="1">
        <f t="shared" si="52"/>
        <v>50</v>
      </c>
      <c r="AP193" s="1">
        <v>8.5</v>
      </c>
      <c r="AQ193" s="2">
        <v>13</v>
      </c>
      <c r="AR193" s="1">
        <v>19.5</v>
      </c>
      <c r="AS193" s="2">
        <v>4</v>
      </c>
      <c r="AU193" s="2">
        <v>12.5</v>
      </c>
      <c r="AV193" s="1">
        <v>19</v>
      </c>
      <c r="AX193" s="2">
        <v>5</v>
      </c>
      <c r="AY193" s="2">
        <v>9</v>
      </c>
      <c r="AZ193" s="2">
        <v>8</v>
      </c>
      <c r="BA193" s="2">
        <v>11</v>
      </c>
      <c r="BC193" t="s">
        <v>234</v>
      </c>
      <c r="BD193" t="s">
        <v>235</v>
      </c>
      <c r="BE193" t="s">
        <v>236</v>
      </c>
      <c r="BF193" t="s">
        <v>373</v>
      </c>
      <c r="BG193" t="s">
        <v>238</v>
      </c>
      <c r="BH193" t="s">
        <v>242</v>
      </c>
      <c r="BJ193" s="2" t="s">
        <v>214</v>
      </c>
      <c r="BK193" s="2" t="s">
        <v>381</v>
      </c>
      <c r="BL193" s="1" t="s">
        <v>221</v>
      </c>
      <c r="BM193" s="1">
        <v>5.5</v>
      </c>
      <c r="BN193" s="1">
        <v>9.5</v>
      </c>
      <c r="BO193" s="1">
        <v>2</v>
      </c>
      <c r="BP193" s="1">
        <v>7.5</v>
      </c>
      <c r="BQ193" s="1">
        <v>8.5</v>
      </c>
      <c r="BR193" s="2" t="s">
        <v>223</v>
      </c>
      <c r="BS193" s="2">
        <v>4</v>
      </c>
      <c r="BT193" s="2">
        <v>8</v>
      </c>
      <c r="BU193" s="2">
        <v>4</v>
      </c>
      <c r="BV193" s="2">
        <v>6.5</v>
      </c>
      <c r="BW193" s="2" t="s">
        <v>20</v>
      </c>
      <c r="BX193" s="3" t="s">
        <v>382</v>
      </c>
      <c r="BY193" s="1" t="s">
        <v>230</v>
      </c>
    </row>
    <row r="194" spans="1:77" x14ac:dyDescent="0.25">
      <c r="A194">
        <v>37</v>
      </c>
      <c r="B194" t="s">
        <v>22</v>
      </c>
      <c r="C194">
        <v>16474</v>
      </c>
      <c r="D194" t="s">
        <v>203</v>
      </c>
      <c r="E194" s="1" t="s">
        <v>13</v>
      </c>
      <c r="G194" s="1">
        <v>18.5</v>
      </c>
      <c r="H194" s="2">
        <v>16.5</v>
      </c>
      <c r="I194" s="2">
        <f t="shared" ref="I194:I195" si="63">CEILING((N(G194)+N(H194))/80*10,0.5)</f>
        <v>4.5</v>
      </c>
      <c r="J194" s="3">
        <f t="shared" si="54"/>
        <v>6</v>
      </c>
      <c r="K194" s="1">
        <v>21</v>
      </c>
      <c r="N194" s="1">
        <v>27.5</v>
      </c>
      <c r="O194" s="3">
        <v>28.5</v>
      </c>
      <c r="P194" s="2">
        <f t="shared" ref="P194:P195" si="64">CEILING((N(N194)+N(O194))/80*10,0.5)</f>
        <v>7</v>
      </c>
      <c r="Q194" s="3">
        <f t="shared" si="56"/>
        <v>9.5</v>
      </c>
      <c r="R194" s="1">
        <v>39</v>
      </c>
      <c r="U194" s="1">
        <v>29</v>
      </c>
      <c r="V194" s="3">
        <v>25</v>
      </c>
      <c r="W194" s="2">
        <f t="shared" ref="W194:W195" si="65">CEILING((N(U194)+N(V194))/80*10,0.5)</f>
        <v>7</v>
      </c>
      <c r="X194" s="3">
        <f t="shared" si="58"/>
        <v>7</v>
      </c>
      <c r="Y194" s="1">
        <v>42.5</v>
      </c>
      <c r="AB194" s="1">
        <v>15</v>
      </c>
      <c r="AC194" s="3">
        <v>8</v>
      </c>
      <c r="AD194" s="2">
        <f t="shared" ref="AD194:AD195" si="66">CEILING((N(AB194)+N(AC194))/80*10,0.5)</f>
        <v>3</v>
      </c>
      <c r="AE194" s="3">
        <f t="shared" si="60"/>
        <v>6.5</v>
      </c>
      <c r="AF194" s="1">
        <v>29.5</v>
      </c>
      <c r="AI194" s="1">
        <v>19</v>
      </c>
      <c r="AJ194" s="3">
        <v>18</v>
      </c>
      <c r="AK194" s="2">
        <f t="shared" ref="AK194:AK195" si="67">CEILING((N(AI194)+N(AJ194))/80*10,0.5)</f>
        <v>5</v>
      </c>
      <c r="AL194" s="3">
        <f t="shared" si="62"/>
        <v>7.5</v>
      </c>
      <c r="AM194" s="1">
        <v>29</v>
      </c>
      <c r="AN194" s="1">
        <f t="shared" si="52"/>
        <v>41.5</v>
      </c>
      <c r="AP194" s="1">
        <v>17</v>
      </c>
      <c r="AQ194" s="2">
        <v>13.5</v>
      </c>
      <c r="AR194" s="1">
        <v>15</v>
      </c>
      <c r="AS194" s="2">
        <v>5</v>
      </c>
      <c r="AU194" s="2">
        <v>16.5</v>
      </c>
      <c r="AV194" s="1">
        <v>26.5</v>
      </c>
      <c r="AX194" s="2">
        <v>8.5</v>
      </c>
      <c r="AY194" s="2">
        <v>10</v>
      </c>
      <c r="AZ194" s="2">
        <v>8</v>
      </c>
      <c r="BA194" s="2">
        <v>6</v>
      </c>
      <c r="BC194" t="s">
        <v>234</v>
      </c>
      <c r="BD194" t="s">
        <v>362</v>
      </c>
      <c r="BE194" t="s">
        <v>236</v>
      </c>
      <c r="BF194" t="s">
        <v>374</v>
      </c>
      <c r="BG194" t="s">
        <v>238</v>
      </c>
      <c r="BH194" t="s">
        <v>239</v>
      </c>
      <c r="BJ194" s="2" t="s">
        <v>214</v>
      </c>
      <c r="BK194" s="2" t="s">
        <v>381</v>
      </c>
      <c r="BL194" s="1" t="s">
        <v>221</v>
      </c>
      <c r="BM194" s="1">
        <v>5</v>
      </c>
      <c r="BN194" s="1">
        <v>10</v>
      </c>
      <c r="BO194" s="1">
        <v>7</v>
      </c>
      <c r="BP194" s="1">
        <v>8</v>
      </c>
      <c r="BQ194" s="1">
        <v>7.5</v>
      </c>
      <c r="BR194" s="2" t="s">
        <v>223</v>
      </c>
      <c r="BS194" s="2">
        <v>6.5</v>
      </c>
      <c r="BT194" s="2">
        <v>9</v>
      </c>
      <c r="BU194" s="2">
        <v>7</v>
      </c>
      <c r="BV194" s="2">
        <v>5</v>
      </c>
      <c r="BW194" s="2">
        <v>7.5</v>
      </c>
      <c r="BX194" s="3" t="s">
        <v>382</v>
      </c>
      <c r="BY194" s="1" t="s">
        <v>230</v>
      </c>
    </row>
    <row r="195" spans="1:77" x14ac:dyDescent="0.25">
      <c r="A195">
        <v>38</v>
      </c>
      <c r="B195" t="s">
        <v>22</v>
      </c>
      <c r="C195">
        <v>16711</v>
      </c>
      <c r="D195" t="s">
        <v>208</v>
      </c>
      <c r="E195" s="1" t="s">
        <v>13</v>
      </c>
      <c r="G195" s="1">
        <v>8.5</v>
      </c>
      <c r="H195" s="2">
        <v>10.5</v>
      </c>
      <c r="I195" s="2">
        <f t="shared" si="63"/>
        <v>2.5</v>
      </c>
      <c r="J195" s="3">
        <f t="shared" si="54"/>
        <v>5.5</v>
      </c>
      <c r="K195" s="1">
        <v>14.5</v>
      </c>
      <c r="N195" s="1">
        <v>5</v>
      </c>
      <c r="O195" s="3">
        <v>6</v>
      </c>
      <c r="P195" s="2">
        <f t="shared" si="64"/>
        <v>1.5</v>
      </c>
      <c r="Q195" s="3">
        <f t="shared" si="56"/>
        <v>7.5</v>
      </c>
      <c r="R195" s="1">
        <v>18.5</v>
      </c>
      <c r="U195" s="1">
        <v>11</v>
      </c>
      <c r="V195" s="3">
        <v>6</v>
      </c>
      <c r="W195" s="2">
        <f t="shared" si="65"/>
        <v>2.5</v>
      </c>
      <c r="X195" s="3">
        <f t="shared" si="58"/>
        <v>0.5</v>
      </c>
      <c r="Y195" s="1">
        <v>16.5</v>
      </c>
      <c r="AB195" s="1">
        <v>8.5</v>
      </c>
      <c r="AC195" s="3">
        <v>4.5</v>
      </c>
      <c r="AD195" s="2">
        <f t="shared" si="66"/>
        <v>2</v>
      </c>
      <c r="AE195" s="3">
        <f t="shared" si="60"/>
        <v>8.5</v>
      </c>
      <c r="AF195" s="1">
        <v>14</v>
      </c>
      <c r="AI195" s="1">
        <v>9</v>
      </c>
      <c r="AJ195" s="3">
        <v>4</v>
      </c>
      <c r="AK195" s="2">
        <f t="shared" si="67"/>
        <v>2</v>
      </c>
      <c r="AL195" s="3">
        <f t="shared" si="62"/>
        <v>4.5</v>
      </c>
      <c r="AM195" s="1">
        <v>22.5</v>
      </c>
      <c r="AN195" s="1">
        <f t="shared" ref="AN195" si="68">AK195+AL195+AM195</f>
        <v>29</v>
      </c>
      <c r="AP195" s="1">
        <v>3</v>
      </c>
      <c r="AQ195" s="2">
        <v>2</v>
      </c>
      <c r="AR195" s="1">
        <v>4</v>
      </c>
      <c r="AS195" s="2">
        <v>4</v>
      </c>
      <c r="AU195" s="2">
        <v>11.5</v>
      </c>
      <c r="AV195" s="1">
        <v>20</v>
      </c>
      <c r="AX195" s="2">
        <v>5</v>
      </c>
      <c r="AY195" s="2">
        <v>4</v>
      </c>
      <c r="AZ195" s="2">
        <v>8</v>
      </c>
      <c r="BA195" s="2">
        <v>2.5</v>
      </c>
      <c r="BC195" t="s">
        <v>234</v>
      </c>
      <c r="BD195" t="s">
        <v>235</v>
      </c>
      <c r="BE195" t="s">
        <v>236</v>
      </c>
      <c r="BF195" t="s">
        <v>263</v>
      </c>
      <c r="BG195" t="s">
        <v>238</v>
      </c>
      <c r="BH195" t="s">
        <v>246</v>
      </c>
      <c r="BJ195" s="2" t="s">
        <v>214</v>
      </c>
      <c r="BK195" s="2" t="s">
        <v>381</v>
      </c>
      <c r="BL195" s="1" t="s">
        <v>221</v>
      </c>
      <c r="BM195" s="1">
        <v>4.5</v>
      </c>
      <c r="BN195" s="1">
        <v>6</v>
      </c>
      <c r="BO195" s="1">
        <v>1</v>
      </c>
      <c r="BP195" s="1">
        <v>10</v>
      </c>
      <c r="BQ195" s="1">
        <v>4</v>
      </c>
      <c r="BR195" s="2" t="s">
        <v>223</v>
      </c>
      <c r="BS195" s="2">
        <v>6</v>
      </c>
      <c r="BT195" s="2">
        <v>9</v>
      </c>
      <c r="BU195" s="2" t="s">
        <v>20</v>
      </c>
      <c r="BV195" s="2">
        <v>6.5</v>
      </c>
      <c r="BW195" s="2">
        <v>5</v>
      </c>
      <c r="BX195" s="3" t="s">
        <v>382</v>
      </c>
      <c r="BY195" s="1" t="s">
        <v>230</v>
      </c>
    </row>
  </sheetData>
  <sortState ref="A2:AU208">
    <sortCondition ref="B2:B208"/>
    <sortCondition ref="A2:A20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WEBEXCEL</cp:lastModifiedBy>
  <dcterms:created xsi:type="dcterms:W3CDTF">2024-10-04T13:36:33Z</dcterms:created>
  <dcterms:modified xsi:type="dcterms:W3CDTF">2024-10-05T03:24:45Z</dcterms:modified>
</cp:coreProperties>
</file>