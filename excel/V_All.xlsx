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60" windowHeight="7680"/>
  </bookViews>
  <sheets>
    <sheet name="Sheet1" sheetId="1" r:id="rId1"/>
  </sheets>
  <definedNames>
    <definedName name="_xlnm._FilterDatabase" localSheetId="0" hidden="1">Sheet1!$A$1:$AT$202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3" i="1" l="1"/>
  <c r="P3" i="1"/>
  <c r="AB3" i="1"/>
  <c r="J3" i="1"/>
  <c r="V3" i="1"/>
  <c r="AH4" i="1"/>
  <c r="P4" i="1"/>
  <c r="AB4" i="1"/>
  <c r="J4" i="1"/>
  <c r="V4" i="1"/>
  <c r="AH5" i="1"/>
  <c r="P5" i="1"/>
  <c r="AB5" i="1"/>
  <c r="J5" i="1"/>
  <c r="V5" i="1"/>
  <c r="AH6" i="1"/>
  <c r="P6" i="1"/>
  <c r="AB6" i="1"/>
  <c r="J6" i="1"/>
  <c r="V6" i="1"/>
  <c r="AH7" i="1"/>
  <c r="P7" i="1"/>
  <c r="AB7" i="1"/>
  <c r="J7" i="1"/>
  <c r="V7" i="1"/>
  <c r="AH8" i="1"/>
  <c r="P8" i="1"/>
  <c r="AB8" i="1"/>
  <c r="J8" i="1"/>
  <c r="V8" i="1"/>
  <c r="AH9" i="1"/>
  <c r="P9" i="1"/>
  <c r="AB9" i="1"/>
  <c r="J9" i="1"/>
  <c r="V9" i="1"/>
  <c r="AH10" i="1"/>
  <c r="P10" i="1"/>
  <c r="AB10" i="1"/>
  <c r="J10" i="1"/>
  <c r="V10" i="1"/>
  <c r="AH11" i="1"/>
  <c r="P11" i="1"/>
  <c r="AB11" i="1"/>
  <c r="J11" i="1"/>
  <c r="V11" i="1"/>
  <c r="AH12" i="1"/>
  <c r="P12" i="1"/>
  <c r="AB12" i="1"/>
  <c r="J12" i="1"/>
  <c r="V12" i="1"/>
  <c r="AH13" i="1"/>
  <c r="P13" i="1"/>
  <c r="AB13" i="1"/>
  <c r="J13" i="1"/>
  <c r="V13" i="1"/>
  <c r="AH14" i="1"/>
  <c r="P14" i="1"/>
  <c r="AB14" i="1"/>
  <c r="J14" i="1"/>
  <c r="V14" i="1"/>
  <c r="AH15" i="1"/>
  <c r="P15" i="1"/>
  <c r="AB15" i="1"/>
  <c r="J15" i="1"/>
  <c r="V15" i="1"/>
  <c r="AH16" i="1"/>
  <c r="P16" i="1"/>
  <c r="AB16" i="1"/>
  <c r="J16" i="1"/>
  <c r="V16" i="1"/>
  <c r="AH17" i="1"/>
  <c r="P17" i="1"/>
  <c r="AB17" i="1"/>
  <c r="J17" i="1"/>
  <c r="V17" i="1"/>
  <c r="AH18" i="1"/>
  <c r="P18" i="1"/>
  <c r="AB18" i="1"/>
  <c r="J18" i="1"/>
  <c r="V18" i="1"/>
  <c r="AH19" i="1"/>
  <c r="P19" i="1"/>
  <c r="AB19" i="1"/>
  <c r="J19" i="1"/>
  <c r="V19" i="1"/>
  <c r="AH20" i="1"/>
  <c r="P20" i="1"/>
  <c r="AB20" i="1"/>
  <c r="J20" i="1"/>
  <c r="V20" i="1"/>
  <c r="AH21" i="1"/>
  <c r="P21" i="1"/>
  <c r="AB21" i="1"/>
  <c r="J21" i="1"/>
  <c r="V21" i="1"/>
  <c r="AH22" i="1"/>
  <c r="P22" i="1"/>
  <c r="AB22" i="1"/>
  <c r="J22" i="1"/>
  <c r="V22" i="1"/>
  <c r="AH23" i="1"/>
  <c r="P23" i="1"/>
  <c r="AB23" i="1"/>
  <c r="J23" i="1"/>
  <c r="V23" i="1"/>
  <c r="AH24" i="1"/>
  <c r="P24" i="1"/>
  <c r="AB24" i="1"/>
  <c r="J24" i="1"/>
  <c r="V24" i="1"/>
  <c r="AH25" i="1"/>
  <c r="P25" i="1"/>
  <c r="AB25" i="1"/>
  <c r="J25" i="1"/>
  <c r="V25" i="1"/>
  <c r="AH26" i="1"/>
  <c r="P26" i="1"/>
  <c r="AB26" i="1"/>
  <c r="J26" i="1"/>
  <c r="V26" i="1"/>
  <c r="AH27" i="1"/>
  <c r="P27" i="1"/>
  <c r="AB27" i="1"/>
  <c r="J27" i="1"/>
  <c r="V27" i="1"/>
  <c r="AH28" i="1"/>
  <c r="P28" i="1"/>
  <c r="AB28" i="1"/>
  <c r="J28" i="1"/>
  <c r="V28" i="1"/>
  <c r="AH29" i="1"/>
  <c r="P29" i="1"/>
  <c r="AB29" i="1"/>
  <c r="J29" i="1"/>
  <c r="V29" i="1"/>
  <c r="AH30" i="1"/>
  <c r="P30" i="1"/>
  <c r="AB30" i="1"/>
  <c r="J30" i="1"/>
  <c r="V30" i="1"/>
  <c r="AH31" i="1"/>
  <c r="P31" i="1"/>
  <c r="AB31" i="1"/>
  <c r="J31" i="1"/>
  <c r="V31" i="1"/>
  <c r="AH32" i="1"/>
  <c r="P32" i="1"/>
  <c r="AB32" i="1"/>
  <c r="J32" i="1"/>
  <c r="V32" i="1"/>
  <c r="AH33" i="1"/>
  <c r="P33" i="1"/>
  <c r="AB33" i="1"/>
  <c r="J33" i="1"/>
  <c r="V33" i="1"/>
  <c r="AH34" i="1"/>
  <c r="P34" i="1"/>
  <c r="AB34" i="1"/>
  <c r="J34" i="1"/>
  <c r="V34" i="1"/>
  <c r="AH35" i="1"/>
  <c r="P35" i="1"/>
  <c r="AB35" i="1"/>
  <c r="J35" i="1"/>
  <c r="V35" i="1"/>
  <c r="AH36" i="1"/>
  <c r="P36" i="1"/>
  <c r="AB36" i="1"/>
  <c r="J36" i="1"/>
  <c r="V36" i="1"/>
  <c r="AH37" i="1"/>
  <c r="P37" i="1"/>
  <c r="AB37" i="1"/>
  <c r="J37" i="1"/>
  <c r="V37" i="1"/>
  <c r="AH38" i="1"/>
  <c r="P38" i="1"/>
  <c r="AB38" i="1"/>
  <c r="J38" i="1"/>
  <c r="V38" i="1"/>
  <c r="AH39" i="1"/>
  <c r="P39" i="1"/>
  <c r="AB39" i="1"/>
  <c r="J39" i="1"/>
  <c r="V39" i="1"/>
  <c r="AH40" i="1"/>
  <c r="P40" i="1"/>
  <c r="AB40" i="1"/>
  <c r="J40" i="1"/>
  <c r="V40" i="1"/>
  <c r="AH41" i="1"/>
  <c r="P41" i="1"/>
  <c r="AB41" i="1"/>
  <c r="J41" i="1"/>
  <c r="V41" i="1"/>
  <c r="AH42" i="1"/>
  <c r="P42" i="1"/>
  <c r="AB42" i="1"/>
  <c r="J42" i="1"/>
  <c r="V42" i="1"/>
  <c r="AH43" i="1"/>
  <c r="P43" i="1"/>
  <c r="AB43" i="1"/>
  <c r="J43" i="1"/>
  <c r="V43" i="1"/>
  <c r="AH44" i="1"/>
  <c r="P44" i="1"/>
  <c r="AB44" i="1"/>
  <c r="J44" i="1"/>
  <c r="V44" i="1"/>
  <c r="AH45" i="1"/>
  <c r="P45" i="1"/>
  <c r="AB45" i="1"/>
  <c r="J45" i="1"/>
  <c r="V45" i="1"/>
  <c r="AH46" i="1"/>
  <c r="P46" i="1"/>
  <c r="AB46" i="1"/>
  <c r="J46" i="1"/>
  <c r="V46" i="1"/>
  <c r="AH47" i="1"/>
  <c r="P47" i="1"/>
  <c r="AB47" i="1"/>
  <c r="J47" i="1"/>
  <c r="V47" i="1"/>
  <c r="AH48" i="1"/>
  <c r="P48" i="1"/>
  <c r="AB48" i="1"/>
  <c r="J48" i="1"/>
  <c r="V48" i="1"/>
  <c r="AH49" i="1"/>
  <c r="P49" i="1"/>
  <c r="AB49" i="1"/>
  <c r="J49" i="1"/>
  <c r="V49" i="1"/>
  <c r="AH50" i="1"/>
  <c r="P50" i="1"/>
  <c r="AB50" i="1"/>
  <c r="J50" i="1"/>
  <c r="V50" i="1"/>
  <c r="AH51" i="1"/>
  <c r="P51" i="1"/>
  <c r="AB51" i="1"/>
  <c r="J51" i="1"/>
  <c r="V51" i="1"/>
  <c r="AH52" i="1"/>
  <c r="P52" i="1"/>
  <c r="AB52" i="1"/>
  <c r="J52" i="1"/>
  <c r="V52" i="1"/>
  <c r="AH53" i="1"/>
  <c r="P53" i="1"/>
  <c r="AB53" i="1"/>
  <c r="J53" i="1"/>
  <c r="V53" i="1"/>
  <c r="AH54" i="1"/>
  <c r="P54" i="1"/>
  <c r="AB54" i="1"/>
  <c r="J54" i="1"/>
  <c r="V54" i="1"/>
  <c r="AH55" i="1"/>
  <c r="P55" i="1"/>
  <c r="AB55" i="1"/>
  <c r="J55" i="1"/>
  <c r="V55" i="1"/>
  <c r="AH56" i="1"/>
  <c r="P56" i="1"/>
  <c r="AB56" i="1"/>
  <c r="J56" i="1"/>
  <c r="V56" i="1"/>
  <c r="AH57" i="1"/>
  <c r="P57" i="1"/>
  <c r="AB57" i="1"/>
  <c r="J57" i="1"/>
  <c r="V57" i="1"/>
  <c r="AH58" i="1"/>
  <c r="P58" i="1"/>
  <c r="AB58" i="1"/>
  <c r="J58" i="1"/>
  <c r="V58" i="1"/>
  <c r="AH59" i="1"/>
  <c r="P59" i="1"/>
  <c r="AB59" i="1"/>
  <c r="J59" i="1"/>
  <c r="V59" i="1"/>
  <c r="AH60" i="1"/>
  <c r="P60" i="1"/>
  <c r="AB60" i="1"/>
  <c r="J60" i="1"/>
  <c r="V60" i="1"/>
  <c r="AH61" i="1"/>
  <c r="P61" i="1"/>
  <c r="AB61" i="1"/>
  <c r="J61" i="1"/>
  <c r="V61" i="1"/>
  <c r="AH62" i="1"/>
  <c r="P62" i="1"/>
  <c r="AB62" i="1"/>
  <c r="J62" i="1"/>
  <c r="V62" i="1"/>
  <c r="AH63" i="1"/>
  <c r="P63" i="1"/>
  <c r="AB63" i="1"/>
  <c r="J63" i="1"/>
  <c r="V63" i="1"/>
  <c r="AH64" i="1"/>
  <c r="P64" i="1"/>
  <c r="AB64" i="1"/>
  <c r="J64" i="1"/>
  <c r="V64" i="1"/>
  <c r="AH65" i="1"/>
  <c r="P65" i="1"/>
  <c r="AB65" i="1"/>
  <c r="J65" i="1"/>
  <c r="V65" i="1"/>
  <c r="AH66" i="1"/>
  <c r="P66" i="1"/>
  <c r="AB66" i="1"/>
  <c r="J66" i="1"/>
  <c r="V66" i="1"/>
  <c r="AH67" i="1"/>
  <c r="P67" i="1"/>
  <c r="AB67" i="1"/>
  <c r="J67" i="1"/>
  <c r="V67" i="1"/>
  <c r="AH68" i="1"/>
  <c r="P68" i="1"/>
  <c r="AB68" i="1"/>
  <c r="J68" i="1"/>
  <c r="V68" i="1"/>
  <c r="AH69" i="1"/>
  <c r="P69" i="1"/>
  <c r="AB69" i="1"/>
  <c r="J69" i="1"/>
  <c r="V69" i="1"/>
  <c r="AH70" i="1"/>
  <c r="P70" i="1"/>
  <c r="AB70" i="1"/>
  <c r="J70" i="1"/>
  <c r="V70" i="1"/>
  <c r="AH71" i="1"/>
  <c r="P71" i="1"/>
  <c r="AB71" i="1"/>
  <c r="J71" i="1"/>
  <c r="V71" i="1"/>
  <c r="AH72" i="1"/>
  <c r="P72" i="1"/>
  <c r="AB72" i="1"/>
  <c r="J72" i="1"/>
  <c r="V72" i="1"/>
  <c r="AH73" i="1"/>
  <c r="P73" i="1"/>
  <c r="AB73" i="1"/>
  <c r="J73" i="1"/>
  <c r="V73" i="1"/>
  <c r="AH74" i="1"/>
  <c r="P74" i="1"/>
  <c r="AB74" i="1"/>
  <c r="J74" i="1"/>
  <c r="V74" i="1"/>
  <c r="AH75" i="1"/>
  <c r="P75" i="1"/>
  <c r="AB75" i="1"/>
  <c r="J75" i="1"/>
  <c r="V75" i="1"/>
  <c r="AH76" i="1"/>
  <c r="P76" i="1"/>
  <c r="AB76" i="1"/>
  <c r="J76" i="1"/>
  <c r="V76" i="1"/>
  <c r="AH77" i="1"/>
  <c r="P77" i="1"/>
  <c r="AB77" i="1"/>
  <c r="J77" i="1"/>
  <c r="V77" i="1"/>
  <c r="AH78" i="1"/>
  <c r="P78" i="1"/>
  <c r="AB78" i="1"/>
  <c r="J78" i="1"/>
  <c r="V78" i="1"/>
  <c r="AH79" i="1"/>
  <c r="P79" i="1"/>
  <c r="AB79" i="1"/>
  <c r="J79" i="1"/>
  <c r="V79" i="1"/>
  <c r="AH80" i="1"/>
  <c r="P80" i="1"/>
  <c r="AB80" i="1"/>
  <c r="J80" i="1"/>
  <c r="V80" i="1"/>
  <c r="AH81" i="1"/>
  <c r="P81" i="1"/>
  <c r="AB81" i="1"/>
  <c r="J81" i="1"/>
  <c r="V81" i="1"/>
  <c r="AH82" i="1"/>
  <c r="P82" i="1"/>
  <c r="AB82" i="1"/>
  <c r="J82" i="1"/>
  <c r="V82" i="1"/>
  <c r="AH83" i="1"/>
  <c r="P83" i="1"/>
  <c r="AB83" i="1"/>
  <c r="J83" i="1"/>
  <c r="V83" i="1"/>
  <c r="AH84" i="1"/>
  <c r="P84" i="1"/>
  <c r="AB84" i="1"/>
  <c r="J84" i="1"/>
  <c r="V84" i="1"/>
  <c r="AH85" i="1"/>
  <c r="P85" i="1"/>
  <c r="AB85" i="1"/>
  <c r="J85" i="1"/>
  <c r="V85" i="1"/>
  <c r="AH86" i="1"/>
  <c r="P86" i="1"/>
  <c r="AB86" i="1"/>
  <c r="J86" i="1"/>
  <c r="V86" i="1"/>
  <c r="AH87" i="1"/>
  <c r="P87" i="1"/>
  <c r="AB87" i="1"/>
  <c r="J87" i="1"/>
  <c r="V87" i="1"/>
  <c r="AH88" i="1"/>
  <c r="P88" i="1"/>
  <c r="AB88" i="1"/>
  <c r="J88" i="1"/>
  <c r="V88" i="1"/>
  <c r="AH89" i="1"/>
  <c r="P89" i="1"/>
  <c r="AB89" i="1"/>
  <c r="J89" i="1"/>
  <c r="V89" i="1"/>
  <c r="AH90" i="1"/>
  <c r="P90" i="1"/>
  <c r="AB90" i="1"/>
  <c r="J90" i="1"/>
  <c r="V90" i="1"/>
  <c r="AH91" i="1"/>
  <c r="P91" i="1"/>
  <c r="AB91" i="1"/>
  <c r="J91" i="1"/>
  <c r="V91" i="1"/>
  <c r="AH92" i="1"/>
  <c r="P92" i="1"/>
  <c r="AB92" i="1"/>
  <c r="J92" i="1"/>
  <c r="V92" i="1"/>
  <c r="AH93" i="1"/>
  <c r="P93" i="1"/>
  <c r="AB93" i="1"/>
  <c r="J93" i="1"/>
  <c r="V93" i="1"/>
  <c r="AH94" i="1"/>
  <c r="P94" i="1"/>
  <c r="AB94" i="1"/>
  <c r="J94" i="1"/>
  <c r="V94" i="1"/>
  <c r="AH95" i="1"/>
  <c r="P95" i="1"/>
  <c r="AB95" i="1"/>
  <c r="J95" i="1"/>
  <c r="V95" i="1"/>
  <c r="AH96" i="1"/>
  <c r="P96" i="1"/>
  <c r="AB96" i="1"/>
  <c r="J96" i="1"/>
  <c r="V96" i="1"/>
  <c r="AH97" i="1"/>
  <c r="P97" i="1"/>
  <c r="AB97" i="1"/>
  <c r="J97" i="1"/>
  <c r="V97" i="1"/>
  <c r="AH98" i="1"/>
  <c r="P98" i="1"/>
  <c r="AB98" i="1"/>
  <c r="J98" i="1"/>
  <c r="V98" i="1"/>
  <c r="AH99" i="1"/>
  <c r="P99" i="1"/>
  <c r="AB99" i="1"/>
  <c r="J99" i="1"/>
  <c r="V99" i="1"/>
  <c r="AH100" i="1"/>
  <c r="P100" i="1"/>
  <c r="AB100" i="1"/>
  <c r="J100" i="1"/>
  <c r="V100" i="1"/>
  <c r="AH101" i="1"/>
  <c r="P101" i="1"/>
  <c r="AB101" i="1"/>
  <c r="J101" i="1"/>
  <c r="V101" i="1"/>
  <c r="AH102" i="1"/>
  <c r="P102" i="1"/>
  <c r="AB102" i="1"/>
  <c r="J102" i="1"/>
  <c r="V102" i="1"/>
  <c r="AH103" i="1"/>
  <c r="P103" i="1"/>
  <c r="AB103" i="1"/>
  <c r="J103" i="1"/>
  <c r="V103" i="1"/>
  <c r="AH104" i="1"/>
  <c r="P104" i="1"/>
  <c r="AB104" i="1"/>
  <c r="J104" i="1"/>
  <c r="V104" i="1"/>
  <c r="AH105" i="1"/>
  <c r="P105" i="1"/>
  <c r="AB105" i="1"/>
  <c r="J105" i="1"/>
  <c r="V105" i="1"/>
  <c r="AH106" i="1"/>
  <c r="P106" i="1"/>
  <c r="AB106" i="1"/>
  <c r="J106" i="1"/>
  <c r="V106" i="1"/>
  <c r="AH107" i="1"/>
  <c r="P107" i="1"/>
  <c r="AB107" i="1"/>
  <c r="J107" i="1"/>
  <c r="V107" i="1"/>
  <c r="AH108" i="1"/>
  <c r="P108" i="1"/>
  <c r="AB108" i="1"/>
  <c r="J108" i="1"/>
  <c r="V108" i="1"/>
  <c r="AH109" i="1"/>
  <c r="P109" i="1"/>
  <c r="AB109" i="1"/>
  <c r="J109" i="1"/>
  <c r="V109" i="1"/>
  <c r="AH110" i="1"/>
  <c r="P110" i="1"/>
  <c r="AB110" i="1"/>
  <c r="J110" i="1"/>
  <c r="V110" i="1"/>
  <c r="AH111" i="1"/>
  <c r="P111" i="1"/>
  <c r="AB111" i="1"/>
  <c r="J111" i="1"/>
  <c r="V111" i="1"/>
  <c r="AH112" i="1"/>
  <c r="P112" i="1"/>
  <c r="AB112" i="1"/>
  <c r="J112" i="1"/>
  <c r="V112" i="1"/>
  <c r="AH113" i="1"/>
  <c r="P113" i="1"/>
  <c r="AB113" i="1"/>
  <c r="J113" i="1"/>
  <c r="V113" i="1"/>
  <c r="AH114" i="1"/>
  <c r="P114" i="1"/>
  <c r="AB114" i="1"/>
  <c r="J114" i="1"/>
  <c r="V114" i="1"/>
  <c r="AH115" i="1"/>
  <c r="P115" i="1"/>
  <c r="AB115" i="1"/>
  <c r="J115" i="1"/>
  <c r="V115" i="1"/>
  <c r="AH116" i="1"/>
  <c r="P116" i="1"/>
  <c r="AB116" i="1"/>
  <c r="J116" i="1"/>
  <c r="V116" i="1"/>
  <c r="AH117" i="1"/>
  <c r="P117" i="1"/>
  <c r="AB117" i="1"/>
  <c r="J117" i="1"/>
  <c r="V117" i="1"/>
  <c r="AH118" i="1"/>
  <c r="P118" i="1"/>
  <c r="AB118" i="1"/>
  <c r="J118" i="1"/>
  <c r="V118" i="1"/>
  <c r="AH119" i="1"/>
  <c r="P119" i="1"/>
  <c r="AB119" i="1"/>
  <c r="J119" i="1"/>
  <c r="V119" i="1"/>
  <c r="AH120" i="1"/>
  <c r="P120" i="1"/>
  <c r="AB120" i="1"/>
  <c r="J120" i="1"/>
  <c r="V120" i="1"/>
  <c r="AH121" i="1"/>
  <c r="P121" i="1"/>
  <c r="AB121" i="1"/>
  <c r="J121" i="1"/>
  <c r="V121" i="1"/>
  <c r="AH122" i="1"/>
  <c r="P122" i="1"/>
  <c r="AB122" i="1"/>
  <c r="J122" i="1"/>
  <c r="V122" i="1"/>
  <c r="AH123" i="1"/>
  <c r="P123" i="1"/>
  <c r="AB123" i="1"/>
  <c r="J123" i="1"/>
  <c r="V123" i="1"/>
  <c r="AH124" i="1"/>
  <c r="P124" i="1"/>
  <c r="AB124" i="1"/>
  <c r="J124" i="1"/>
  <c r="V124" i="1"/>
  <c r="AH125" i="1"/>
  <c r="P125" i="1"/>
  <c r="AB125" i="1"/>
  <c r="J125" i="1"/>
  <c r="V125" i="1"/>
  <c r="AH126" i="1"/>
  <c r="P126" i="1"/>
  <c r="AB126" i="1"/>
  <c r="J126" i="1"/>
  <c r="V126" i="1"/>
  <c r="AH127" i="1"/>
  <c r="P127" i="1"/>
  <c r="AB127" i="1"/>
  <c r="J127" i="1"/>
  <c r="V127" i="1"/>
  <c r="AH128" i="1"/>
  <c r="P128" i="1"/>
  <c r="AB128" i="1"/>
  <c r="J128" i="1"/>
  <c r="V128" i="1"/>
  <c r="AH129" i="1"/>
  <c r="P129" i="1"/>
  <c r="AB129" i="1"/>
  <c r="J129" i="1"/>
  <c r="V129" i="1"/>
  <c r="AH130" i="1"/>
  <c r="P130" i="1"/>
  <c r="AB130" i="1"/>
  <c r="J130" i="1"/>
  <c r="V130" i="1"/>
  <c r="AH131" i="1"/>
  <c r="P131" i="1"/>
  <c r="AB131" i="1"/>
  <c r="J131" i="1"/>
  <c r="V131" i="1"/>
  <c r="AH132" i="1"/>
  <c r="P132" i="1"/>
  <c r="AB132" i="1"/>
  <c r="J132" i="1"/>
  <c r="V132" i="1"/>
  <c r="AH133" i="1"/>
  <c r="P133" i="1"/>
  <c r="AB133" i="1"/>
  <c r="J133" i="1"/>
  <c r="V133" i="1"/>
  <c r="AH134" i="1"/>
  <c r="P134" i="1"/>
  <c r="AB134" i="1"/>
  <c r="J134" i="1"/>
  <c r="V134" i="1"/>
  <c r="AH135" i="1"/>
  <c r="P135" i="1"/>
  <c r="AB135" i="1"/>
  <c r="J135" i="1"/>
  <c r="V135" i="1"/>
  <c r="AH136" i="1"/>
  <c r="P136" i="1"/>
  <c r="AB136" i="1"/>
  <c r="J136" i="1"/>
  <c r="V136" i="1"/>
  <c r="AH137" i="1"/>
  <c r="P137" i="1"/>
  <c r="AB137" i="1"/>
  <c r="J137" i="1"/>
  <c r="V137" i="1"/>
  <c r="AH138" i="1"/>
  <c r="P138" i="1"/>
  <c r="AB138" i="1"/>
  <c r="J138" i="1"/>
  <c r="V138" i="1"/>
  <c r="AH139" i="1"/>
  <c r="P139" i="1"/>
  <c r="AB139" i="1"/>
  <c r="J139" i="1"/>
  <c r="V139" i="1"/>
  <c r="AH140" i="1"/>
  <c r="P140" i="1"/>
  <c r="AB140" i="1"/>
  <c r="J140" i="1"/>
  <c r="V140" i="1"/>
  <c r="AH141" i="1"/>
  <c r="P141" i="1"/>
  <c r="AB141" i="1"/>
  <c r="J141" i="1"/>
  <c r="V141" i="1"/>
  <c r="AH142" i="1"/>
  <c r="P142" i="1"/>
  <c r="AB142" i="1"/>
  <c r="J142" i="1"/>
  <c r="V142" i="1"/>
  <c r="AH143" i="1"/>
  <c r="P143" i="1"/>
  <c r="AB143" i="1"/>
  <c r="J143" i="1"/>
  <c r="V143" i="1"/>
  <c r="AH144" i="1"/>
  <c r="P144" i="1"/>
  <c r="AB144" i="1"/>
  <c r="J144" i="1"/>
  <c r="V144" i="1"/>
  <c r="AH145" i="1"/>
  <c r="P145" i="1"/>
  <c r="AB145" i="1"/>
  <c r="J145" i="1"/>
  <c r="V145" i="1"/>
  <c r="AH146" i="1"/>
  <c r="P146" i="1"/>
  <c r="AB146" i="1"/>
  <c r="J146" i="1"/>
  <c r="V146" i="1"/>
  <c r="AH147" i="1"/>
  <c r="P147" i="1"/>
  <c r="AB147" i="1"/>
  <c r="J147" i="1"/>
  <c r="V147" i="1"/>
  <c r="AH148" i="1"/>
  <c r="P148" i="1"/>
  <c r="AB148" i="1"/>
  <c r="J148" i="1"/>
  <c r="V148" i="1"/>
  <c r="AH149" i="1"/>
  <c r="P149" i="1"/>
  <c r="AB149" i="1"/>
  <c r="J149" i="1"/>
  <c r="V149" i="1"/>
  <c r="AH150" i="1"/>
  <c r="P150" i="1"/>
  <c r="AB150" i="1"/>
  <c r="J150" i="1"/>
  <c r="V150" i="1"/>
  <c r="AH151" i="1"/>
  <c r="P151" i="1"/>
  <c r="AB151" i="1"/>
  <c r="J151" i="1"/>
  <c r="V151" i="1"/>
  <c r="AH152" i="1"/>
  <c r="P152" i="1"/>
  <c r="AB152" i="1"/>
  <c r="J152" i="1"/>
  <c r="V152" i="1"/>
  <c r="AH153" i="1"/>
  <c r="P153" i="1"/>
  <c r="AB153" i="1"/>
  <c r="J153" i="1"/>
  <c r="V153" i="1"/>
  <c r="AH154" i="1"/>
  <c r="P154" i="1"/>
  <c r="AB154" i="1"/>
  <c r="J154" i="1"/>
  <c r="V154" i="1"/>
  <c r="AH155" i="1"/>
  <c r="P155" i="1"/>
  <c r="AB155" i="1"/>
  <c r="J155" i="1"/>
  <c r="V155" i="1"/>
  <c r="AH156" i="1"/>
  <c r="P156" i="1"/>
  <c r="AB156" i="1"/>
  <c r="J156" i="1"/>
  <c r="V156" i="1"/>
  <c r="AH157" i="1"/>
  <c r="P157" i="1"/>
  <c r="AB157" i="1"/>
  <c r="J157" i="1"/>
  <c r="V157" i="1"/>
  <c r="AH158" i="1"/>
  <c r="P158" i="1"/>
  <c r="AB158" i="1"/>
  <c r="J158" i="1"/>
  <c r="V158" i="1"/>
  <c r="AH159" i="1"/>
  <c r="P159" i="1"/>
  <c r="AB159" i="1"/>
  <c r="J159" i="1"/>
  <c r="V159" i="1"/>
  <c r="AH160" i="1"/>
  <c r="P160" i="1"/>
  <c r="AB160" i="1"/>
  <c r="J160" i="1"/>
  <c r="V160" i="1"/>
  <c r="AH161" i="1"/>
  <c r="P161" i="1"/>
  <c r="AB161" i="1"/>
  <c r="J161" i="1"/>
  <c r="V161" i="1"/>
  <c r="AH162" i="1"/>
  <c r="P162" i="1"/>
  <c r="AB162" i="1"/>
  <c r="J162" i="1"/>
  <c r="V162" i="1"/>
  <c r="AH163" i="1"/>
  <c r="P163" i="1"/>
  <c r="AB163" i="1"/>
  <c r="J163" i="1"/>
  <c r="V163" i="1"/>
  <c r="AH164" i="1"/>
  <c r="P164" i="1"/>
  <c r="AB164" i="1"/>
  <c r="J164" i="1"/>
  <c r="V164" i="1"/>
  <c r="AH165" i="1"/>
  <c r="P165" i="1"/>
  <c r="AB165" i="1"/>
  <c r="J165" i="1"/>
  <c r="V165" i="1"/>
  <c r="AH166" i="1"/>
  <c r="P166" i="1"/>
  <c r="AB166" i="1"/>
  <c r="J166" i="1"/>
  <c r="V166" i="1"/>
  <c r="AH167" i="1"/>
  <c r="P167" i="1"/>
  <c r="AB167" i="1"/>
  <c r="J167" i="1"/>
  <c r="V167" i="1"/>
  <c r="AH168" i="1"/>
  <c r="P168" i="1"/>
  <c r="AB168" i="1"/>
  <c r="J168" i="1"/>
  <c r="V168" i="1"/>
  <c r="AH169" i="1"/>
  <c r="P169" i="1"/>
  <c r="AB169" i="1"/>
  <c r="J169" i="1"/>
  <c r="V169" i="1"/>
  <c r="AH170" i="1"/>
  <c r="P170" i="1"/>
  <c r="AB170" i="1"/>
  <c r="J170" i="1"/>
  <c r="V170" i="1"/>
  <c r="AH171" i="1"/>
  <c r="P171" i="1"/>
  <c r="AB171" i="1"/>
  <c r="J171" i="1"/>
  <c r="V171" i="1"/>
  <c r="AH172" i="1"/>
  <c r="P172" i="1"/>
  <c r="AB172" i="1"/>
  <c r="J172" i="1"/>
  <c r="V172" i="1"/>
  <c r="AH173" i="1"/>
  <c r="P173" i="1"/>
  <c r="AB173" i="1"/>
  <c r="J173" i="1"/>
  <c r="V173" i="1"/>
  <c r="AH174" i="1"/>
  <c r="P174" i="1"/>
  <c r="AB174" i="1"/>
  <c r="J174" i="1"/>
  <c r="V174" i="1"/>
  <c r="AH175" i="1"/>
  <c r="P175" i="1"/>
  <c r="AB175" i="1"/>
  <c r="J175" i="1"/>
  <c r="V175" i="1"/>
  <c r="AH176" i="1"/>
  <c r="P176" i="1"/>
  <c r="AB176" i="1"/>
  <c r="J176" i="1"/>
  <c r="V176" i="1"/>
  <c r="AH177" i="1"/>
  <c r="P177" i="1"/>
  <c r="AB177" i="1"/>
  <c r="J177" i="1"/>
  <c r="V177" i="1"/>
  <c r="AH178" i="1"/>
  <c r="P178" i="1"/>
  <c r="AB178" i="1"/>
  <c r="J178" i="1"/>
  <c r="V178" i="1"/>
  <c r="AH179" i="1"/>
  <c r="P179" i="1"/>
  <c r="AB179" i="1"/>
  <c r="J179" i="1"/>
  <c r="V179" i="1"/>
  <c r="AH180" i="1"/>
  <c r="P180" i="1"/>
  <c r="AB180" i="1"/>
  <c r="J180" i="1"/>
  <c r="V180" i="1"/>
  <c r="AH181" i="1"/>
  <c r="P181" i="1"/>
  <c r="AB181" i="1"/>
  <c r="J181" i="1"/>
  <c r="V181" i="1"/>
  <c r="AH182" i="1"/>
  <c r="P182" i="1"/>
  <c r="AB182" i="1"/>
  <c r="J182" i="1"/>
  <c r="V182" i="1"/>
  <c r="AH183" i="1"/>
  <c r="P183" i="1"/>
  <c r="AB183" i="1"/>
  <c r="J183" i="1"/>
  <c r="V183" i="1"/>
  <c r="AH184" i="1"/>
  <c r="P184" i="1"/>
  <c r="AB184" i="1"/>
  <c r="J184" i="1"/>
  <c r="V184" i="1"/>
  <c r="AH185" i="1"/>
  <c r="P185" i="1"/>
  <c r="AB185" i="1"/>
  <c r="J185" i="1"/>
  <c r="V185" i="1"/>
  <c r="AH186" i="1"/>
  <c r="P186" i="1"/>
  <c r="AB186" i="1"/>
  <c r="J186" i="1"/>
  <c r="V186" i="1"/>
  <c r="AH187" i="1"/>
  <c r="P187" i="1"/>
  <c r="AB187" i="1"/>
  <c r="J187" i="1"/>
  <c r="V187" i="1"/>
  <c r="AH188" i="1"/>
  <c r="P188" i="1"/>
  <c r="AB188" i="1"/>
  <c r="J188" i="1"/>
  <c r="V188" i="1"/>
  <c r="AH189" i="1"/>
  <c r="P189" i="1"/>
  <c r="AB189" i="1"/>
  <c r="J189" i="1"/>
  <c r="V189" i="1"/>
  <c r="AH190" i="1"/>
  <c r="P190" i="1"/>
  <c r="AB190" i="1"/>
  <c r="J190" i="1"/>
  <c r="V190" i="1"/>
  <c r="AH191" i="1"/>
  <c r="P191" i="1"/>
  <c r="AB191" i="1"/>
  <c r="J191" i="1"/>
  <c r="V191" i="1"/>
  <c r="AH192" i="1"/>
  <c r="P192" i="1"/>
  <c r="AB192" i="1"/>
  <c r="J192" i="1"/>
  <c r="V192" i="1"/>
  <c r="AH193" i="1"/>
  <c r="P193" i="1"/>
  <c r="AB193" i="1"/>
  <c r="J193" i="1"/>
  <c r="V193" i="1"/>
  <c r="AH194" i="1"/>
  <c r="P194" i="1"/>
  <c r="AB194" i="1"/>
  <c r="J194" i="1"/>
  <c r="V194" i="1"/>
  <c r="AH195" i="1"/>
  <c r="P195" i="1"/>
  <c r="AB195" i="1"/>
  <c r="J195" i="1"/>
  <c r="V195" i="1"/>
  <c r="AH196" i="1"/>
  <c r="P196" i="1"/>
  <c r="AB196" i="1"/>
  <c r="J196" i="1"/>
  <c r="V196" i="1"/>
  <c r="AH197" i="1"/>
  <c r="P197" i="1"/>
  <c r="AB197" i="1"/>
  <c r="J197" i="1"/>
  <c r="V197" i="1"/>
  <c r="AH198" i="1"/>
  <c r="P198" i="1"/>
  <c r="AB198" i="1"/>
  <c r="J198" i="1"/>
  <c r="V198" i="1"/>
  <c r="AH199" i="1"/>
  <c r="P199" i="1"/>
  <c r="AB199" i="1"/>
  <c r="J199" i="1"/>
  <c r="V199" i="1"/>
  <c r="AH200" i="1"/>
  <c r="P200" i="1"/>
  <c r="AB200" i="1"/>
  <c r="J200" i="1"/>
  <c r="V200" i="1"/>
  <c r="AH201" i="1"/>
  <c r="P201" i="1"/>
  <c r="AB201" i="1"/>
  <c r="J201" i="1"/>
  <c r="V201" i="1"/>
  <c r="AH202" i="1"/>
  <c r="P202" i="1"/>
  <c r="AB202" i="1"/>
  <c r="J202" i="1"/>
  <c r="V202" i="1"/>
  <c r="P2" i="1"/>
  <c r="AB2" i="1"/>
  <c r="J2" i="1"/>
  <c r="V2" i="1"/>
  <c r="AH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" i="1"/>
  <c r="AG3" i="1" l="1"/>
  <c r="AJ3" i="1" s="1"/>
  <c r="AG4" i="1"/>
  <c r="AJ4" i="1" s="1"/>
  <c r="AG5" i="1"/>
  <c r="AJ5" i="1" s="1"/>
  <c r="AG6" i="1"/>
  <c r="AJ6" i="1" s="1"/>
  <c r="AG7" i="1"/>
  <c r="AJ7" i="1" s="1"/>
  <c r="AG8" i="1"/>
  <c r="AJ8" i="1" s="1"/>
  <c r="AG9" i="1"/>
  <c r="AJ9" i="1" s="1"/>
  <c r="AG10" i="1"/>
  <c r="AJ10" i="1" s="1"/>
  <c r="AG11" i="1"/>
  <c r="AJ11" i="1" s="1"/>
  <c r="AG12" i="1"/>
  <c r="AJ12" i="1" s="1"/>
  <c r="AG13" i="1"/>
  <c r="AJ13" i="1" s="1"/>
  <c r="AG14" i="1"/>
  <c r="AJ14" i="1" s="1"/>
  <c r="AG15" i="1"/>
  <c r="AJ15" i="1" s="1"/>
  <c r="AG16" i="1"/>
  <c r="AJ16" i="1" s="1"/>
  <c r="AG17" i="1"/>
  <c r="AJ17" i="1" s="1"/>
  <c r="AG18" i="1"/>
  <c r="AJ18" i="1" s="1"/>
  <c r="AG19" i="1"/>
  <c r="AJ19" i="1" s="1"/>
  <c r="AG20" i="1"/>
  <c r="AJ20" i="1" s="1"/>
  <c r="AG21" i="1"/>
  <c r="AJ21" i="1" s="1"/>
  <c r="AG22" i="1"/>
  <c r="AJ22" i="1" s="1"/>
  <c r="AG23" i="1"/>
  <c r="AJ23" i="1" s="1"/>
  <c r="AG24" i="1"/>
  <c r="AJ24" i="1" s="1"/>
  <c r="AG25" i="1"/>
  <c r="AJ25" i="1" s="1"/>
  <c r="AG26" i="1"/>
  <c r="AJ26" i="1" s="1"/>
  <c r="AG27" i="1"/>
  <c r="AJ27" i="1" s="1"/>
  <c r="AG28" i="1"/>
  <c r="AJ28" i="1" s="1"/>
  <c r="AG29" i="1"/>
  <c r="AJ29" i="1" s="1"/>
  <c r="AG30" i="1"/>
  <c r="AJ30" i="1" s="1"/>
  <c r="AG31" i="1"/>
  <c r="AJ31" i="1" s="1"/>
  <c r="AG32" i="1"/>
  <c r="AJ32" i="1" s="1"/>
  <c r="AG33" i="1"/>
  <c r="AJ33" i="1" s="1"/>
  <c r="AG34" i="1"/>
  <c r="AJ34" i="1" s="1"/>
  <c r="AG35" i="1"/>
  <c r="AJ35" i="1" s="1"/>
  <c r="AG36" i="1"/>
  <c r="AJ36" i="1" s="1"/>
  <c r="AG37" i="1"/>
  <c r="AJ37" i="1" s="1"/>
  <c r="AG38" i="1"/>
  <c r="AJ38" i="1" s="1"/>
  <c r="AG39" i="1"/>
  <c r="AJ39" i="1" s="1"/>
  <c r="AG40" i="1"/>
  <c r="AJ40" i="1" s="1"/>
  <c r="AG41" i="1"/>
  <c r="AJ41" i="1" s="1"/>
  <c r="AG42" i="1"/>
  <c r="AJ42" i="1" s="1"/>
  <c r="AG43" i="1"/>
  <c r="AJ43" i="1" s="1"/>
  <c r="AG44" i="1"/>
  <c r="AJ44" i="1" s="1"/>
  <c r="AG45" i="1"/>
  <c r="AJ45" i="1" s="1"/>
  <c r="AG46" i="1"/>
  <c r="AJ46" i="1" s="1"/>
  <c r="AG47" i="1"/>
  <c r="AJ47" i="1" s="1"/>
  <c r="AG48" i="1"/>
  <c r="AJ48" i="1" s="1"/>
  <c r="AG49" i="1"/>
  <c r="AJ49" i="1" s="1"/>
  <c r="AG50" i="1"/>
  <c r="AJ50" i="1" s="1"/>
  <c r="AG51" i="1"/>
  <c r="AJ51" i="1" s="1"/>
  <c r="AG52" i="1"/>
  <c r="AJ52" i="1" s="1"/>
  <c r="AG53" i="1"/>
  <c r="AJ53" i="1" s="1"/>
  <c r="AG54" i="1"/>
  <c r="AJ54" i="1" s="1"/>
  <c r="AG55" i="1"/>
  <c r="AJ55" i="1" s="1"/>
  <c r="AG56" i="1"/>
  <c r="AJ56" i="1" s="1"/>
  <c r="AG57" i="1"/>
  <c r="AJ57" i="1" s="1"/>
  <c r="AG58" i="1"/>
  <c r="AJ58" i="1" s="1"/>
  <c r="AG59" i="1"/>
  <c r="AJ59" i="1" s="1"/>
  <c r="AG60" i="1"/>
  <c r="AJ60" i="1" s="1"/>
  <c r="AG61" i="1"/>
  <c r="AJ61" i="1" s="1"/>
  <c r="AG62" i="1"/>
  <c r="AJ62" i="1" s="1"/>
  <c r="AG63" i="1"/>
  <c r="AJ63" i="1" s="1"/>
  <c r="AG64" i="1"/>
  <c r="AJ64" i="1" s="1"/>
  <c r="AG65" i="1"/>
  <c r="AJ65" i="1" s="1"/>
  <c r="AG66" i="1"/>
  <c r="AJ66" i="1" s="1"/>
  <c r="AG67" i="1"/>
  <c r="AJ67" i="1" s="1"/>
  <c r="AG68" i="1"/>
  <c r="AJ68" i="1" s="1"/>
  <c r="AG69" i="1"/>
  <c r="AJ69" i="1" s="1"/>
  <c r="AG70" i="1"/>
  <c r="AJ70" i="1" s="1"/>
  <c r="AG71" i="1"/>
  <c r="AJ71" i="1" s="1"/>
  <c r="AG72" i="1"/>
  <c r="AJ72" i="1" s="1"/>
  <c r="AG73" i="1"/>
  <c r="AJ73" i="1" s="1"/>
  <c r="AG74" i="1"/>
  <c r="AJ74" i="1" s="1"/>
  <c r="AG75" i="1"/>
  <c r="AJ75" i="1" s="1"/>
  <c r="AG76" i="1"/>
  <c r="AJ76" i="1" s="1"/>
  <c r="AG77" i="1"/>
  <c r="AJ77" i="1" s="1"/>
  <c r="AG78" i="1"/>
  <c r="AJ78" i="1" s="1"/>
  <c r="AG79" i="1"/>
  <c r="AJ79" i="1" s="1"/>
  <c r="AG80" i="1"/>
  <c r="AJ80" i="1" s="1"/>
  <c r="AG81" i="1"/>
  <c r="AJ81" i="1" s="1"/>
  <c r="AG82" i="1"/>
  <c r="AJ82" i="1" s="1"/>
  <c r="AG83" i="1"/>
  <c r="AJ83" i="1" s="1"/>
  <c r="AG84" i="1"/>
  <c r="AJ84" i="1" s="1"/>
  <c r="AG85" i="1"/>
  <c r="AJ85" i="1" s="1"/>
  <c r="AG86" i="1"/>
  <c r="AJ86" i="1" s="1"/>
  <c r="AG87" i="1"/>
  <c r="AJ87" i="1" s="1"/>
  <c r="AG88" i="1"/>
  <c r="AJ88" i="1" s="1"/>
  <c r="AG89" i="1"/>
  <c r="AJ89" i="1" s="1"/>
  <c r="AG90" i="1"/>
  <c r="AJ90" i="1" s="1"/>
  <c r="AG91" i="1"/>
  <c r="AJ91" i="1" s="1"/>
  <c r="AG92" i="1"/>
  <c r="AJ92" i="1" s="1"/>
  <c r="AG93" i="1"/>
  <c r="AJ93" i="1" s="1"/>
  <c r="AG94" i="1"/>
  <c r="AJ94" i="1" s="1"/>
  <c r="AG95" i="1"/>
  <c r="AJ95" i="1" s="1"/>
  <c r="AG96" i="1"/>
  <c r="AJ96" i="1" s="1"/>
  <c r="AG97" i="1"/>
  <c r="AJ97" i="1" s="1"/>
  <c r="AG98" i="1"/>
  <c r="AJ98" i="1" s="1"/>
  <c r="AG99" i="1"/>
  <c r="AJ99" i="1" s="1"/>
  <c r="AG100" i="1"/>
  <c r="AJ100" i="1" s="1"/>
  <c r="AG101" i="1"/>
  <c r="AJ101" i="1" s="1"/>
  <c r="AG102" i="1"/>
  <c r="AJ102" i="1" s="1"/>
  <c r="AG103" i="1"/>
  <c r="AJ103" i="1" s="1"/>
  <c r="AG104" i="1"/>
  <c r="AJ104" i="1" s="1"/>
  <c r="AG105" i="1"/>
  <c r="AJ105" i="1" s="1"/>
  <c r="AG106" i="1"/>
  <c r="AJ106" i="1" s="1"/>
  <c r="AG107" i="1"/>
  <c r="AJ107" i="1" s="1"/>
  <c r="AG108" i="1"/>
  <c r="AJ108" i="1" s="1"/>
  <c r="AG109" i="1"/>
  <c r="AJ109" i="1" s="1"/>
  <c r="AG110" i="1"/>
  <c r="AJ110" i="1" s="1"/>
  <c r="AG111" i="1"/>
  <c r="AJ111" i="1" s="1"/>
  <c r="AG112" i="1"/>
  <c r="AJ112" i="1" s="1"/>
  <c r="AG113" i="1"/>
  <c r="AJ113" i="1" s="1"/>
  <c r="AG114" i="1"/>
  <c r="AJ114" i="1" s="1"/>
  <c r="AG115" i="1"/>
  <c r="AJ115" i="1" s="1"/>
  <c r="AG116" i="1"/>
  <c r="AJ116" i="1" s="1"/>
  <c r="AG117" i="1"/>
  <c r="AJ117" i="1" s="1"/>
  <c r="AG118" i="1"/>
  <c r="AJ118" i="1" s="1"/>
  <c r="AG119" i="1"/>
  <c r="AJ119" i="1" s="1"/>
  <c r="AG120" i="1"/>
  <c r="AJ120" i="1" s="1"/>
  <c r="AG121" i="1"/>
  <c r="AJ121" i="1" s="1"/>
  <c r="AG122" i="1"/>
  <c r="AJ122" i="1" s="1"/>
  <c r="AG123" i="1"/>
  <c r="AJ123" i="1" s="1"/>
  <c r="AG124" i="1"/>
  <c r="AJ124" i="1" s="1"/>
  <c r="AG125" i="1"/>
  <c r="AJ125" i="1" s="1"/>
  <c r="AG126" i="1"/>
  <c r="AJ126" i="1" s="1"/>
  <c r="AG127" i="1"/>
  <c r="AJ127" i="1" s="1"/>
  <c r="AG128" i="1"/>
  <c r="AJ128" i="1" s="1"/>
  <c r="AG129" i="1"/>
  <c r="AJ129" i="1" s="1"/>
  <c r="AG130" i="1"/>
  <c r="AJ130" i="1" s="1"/>
  <c r="AG131" i="1"/>
  <c r="AJ131" i="1" s="1"/>
  <c r="AG132" i="1"/>
  <c r="AJ132" i="1" s="1"/>
  <c r="AG133" i="1"/>
  <c r="AJ133" i="1" s="1"/>
  <c r="AG134" i="1"/>
  <c r="AJ134" i="1" s="1"/>
  <c r="AG135" i="1"/>
  <c r="AJ135" i="1" s="1"/>
  <c r="AG136" i="1"/>
  <c r="AJ136" i="1" s="1"/>
  <c r="AG137" i="1"/>
  <c r="AJ137" i="1" s="1"/>
  <c r="AG138" i="1"/>
  <c r="AJ138" i="1" s="1"/>
  <c r="AG139" i="1"/>
  <c r="AJ139" i="1" s="1"/>
  <c r="AG140" i="1"/>
  <c r="AJ140" i="1" s="1"/>
  <c r="AG141" i="1"/>
  <c r="AJ141" i="1" s="1"/>
  <c r="AG142" i="1"/>
  <c r="AJ142" i="1" s="1"/>
  <c r="AG143" i="1"/>
  <c r="AJ143" i="1" s="1"/>
  <c r="AG144" i="1"/>
  <c r="AJ144" i="1" s="1"/>
  <c r="AG145" i="1"/>
  <c r="AJ145" i="1" s="1"/>
  <c r="AG146" i="1"/>
  <c r="AJ146" i="1" s="1"/>
  <c r="AG147" i="1"/>
  <c r="AJ147" i="1" s="1"/>
  <c r="AG148" i="1"/>
  <c r="AJ148" i="1" s="1"/>
  <c r="AG149" i="1"/>
  <c r="AJ149" i="1" s="1"/>
  <c r="AG150" i="1"/>
  <c r="AJ150" i="1" s="1"/>
  <c r="AG151" i="1"/>
  <c r="AJ151" i="1" s="1"/>
  <c r="AG152" i="1"/>
  <c r="AJ152" i="1" s="1"/>
  <c r="AG153" i="1"/>
  <c r="AJ153" i="1" s="1"/>
  <c r="AG154" i="1"/>
  <c r="AJ154" i="1" s="1"/>
  <c r="AG155" i="1"/>
  <c r="AJ155" i="1" s="1"/>
  <c r="AG156" i="1"/>
  <c r="AJ156" i="1" s="1"/>
  <c r="AG157" i="1"/>
  <c r="AJ157" i="1" s="1"/>
  <c r="AG158" i="1"/>
  <c r="AJ158" i="1" s="1"/>
  <c r="AG159" i="1"/>
  <c r="AJ159" i="1" s="1"/>
  <c r="AG160" i="1"/>
  <c r="AJ160" i="1" s="1"/>
  <c r="AG161" i="1"/>
  <c r="AJ161" i="1" s="1"/>
  <c r="AG162" i="1"/>
  <c r="AJ162" i="1" s="1"/>
  <c r="AG163" i="1"/>
  <c r="AJ163" i="1" s="1"/>
  <c r="AG164" i="1"/>
  <c r="AJ164" i="1" s="1"/>
  <c r="AG165" i="1"/>
  <c r="AJ165" i="1" s="1"/>
  <c r="AG166" i="1"/>
  <c r="AJ166" i="1" s="1"/>
  <c r="AG167" i="1"/>
  <c r="AJ167" i="1" s="1"/>
  <c r="AG168" i="1"/>
  <c r="AJ168" i="1" s="1"/>
  <c r="AG169" i="1"/>
  <c r="AJ169" i="1" s="1"/>
  <c r="AG170" i="1"/>
  <c r="AJ170" i="1" s="1"/>
  <c r="AG171" i="1"/>
  <c r="AJ171" i="1" s="1"/>
  <c r="AG172" i="1"/>
  <c r="AJ172" i="1" s="1"/>
  <c r="AG173" i="1"/>
  <c r="AJ173" i="1" s="1"/>
  <c r="AG174" i="1"/>
  <c r="AJ174" i="1" s="1"/>
  <c r="AG175" i="1"/>
  <c r="AJ175" i="1" s="1"/>
  <c r="AG176" i="1"/>
  <c r="AJ176" i="1" s="1"/>
  <c r="AG177" i="1"/>
  <c r="AJ177" i="1" s="1"/>
  <c r="AG178" i="1"/>
  <c r="AJ178" i="1" s="1"/>
  <c r="AG179" i="1"/>
  <c r="AJ179" i="1" s="1"/>
  <c r="AG180" i="1"/>
  <c r="AJ180" i="1" s="1"/>
  <c r="AG181" i="1"/>
  <c r="AJ181" i="1" s="1"/>
  <c r="AG182" i="1"/>
  <c r="AJ182" i="1" s="1"/>
  <c r="AG183" i="1"/>
  <c r="AJ183" i="1" s="1"/>
  <c r="AG184" i="1"/>
  <c r="AJ184" i="1" s="1"/>
  <c r="AG185" i="1"/>
  <c r="AJ185" i="1" s="1"/>
  <c r="AG186" i="1"/>
  <c r="AJ186" i="1" s="1"/>
  <c r="AG187" i="1"/>
  <c r="AJ187" i="1" s="1"/>
  <c r="AG188" i="1"/>
  <c r="AJ188" i="1" s="1"/>
  <c r="AG189" i="1"/>
  <c r="AJ189" i="1" s="1"/>
  <c r="AG190" i="1"/>
  <c r="AJ190" i="1" s="1"/>
  <c r="AG191" i="1"/>
  <c r="AJ191" i="1" s="1"/>
  <c r="AG192" i="1"/>
  <c r="AJ192" i="1" s="1"/>
  <c r="AG193" i="1"/>
  <c r="AJ193" i="1" s="1"/>
  <c r="AG194" i="1"/>
  <c r="AJ194" i="1" s="1"/>
  <c r="AG195" i="1"/>
  <c r="AJ195" i="1" s="1"/>
  <c r="AG196" i="1"/>
  <c r="AJ196" i="1" s="1"/>
  <c r="AG197" i="1"/>
  <c r="AJ197" i="1" s="1"/>
  <c r="AG198" i="1"/>
  <c r="AJ198" i="1" s="1"/>
  <c r="AG199" i="1"/>
  <c r="AJ199" i="1" s="1"/>
  <c r="AG200" i="1"/>
  <c r="AJ200" i="1" s="1"/>
  <c r="AG201" i="1"/>
  <c r="AJ201" i="1" s="1"/>
  <c r="AG202" i="1"/>
  <c r="AJ202" i="1" s="1"/>
  <c r="AG2" i="1"/>
  <c r="AJ2" i="1" s="1"/>
  <c r="AA3" i="1"/>
  <c r="AD3" i="1" s="1"/>
  <c r="AA4" i="1"/>
  <c r="AD4" i="1" s="1"/>
  <c r="AA5" i="1"/>
  <c r="AD5" i="1" s="1"/>
  <c r="AA6" i="1"/>
  <c r="AD6" i="1" s="1"/>
  <c r="AA7" i="1"/>
  <c r="AD7" i="1" s="1"/>
  <c r="AA8" i="1"/>
  <c r="AD8" i="1" s="1"/>
  <c r="AA9" i="1"/>
  <c r="AD9" i="1" s="1"/>
  <c r="AA10" i="1"/>
  <c r="AD10" i="1" s="1"/>
  <c r="AA11" i="1"/>
  <c r="AD11" i="1" s="1"/>
  <c r="AA12" i="1"/>
  <c r="AD12" i="1" s="1"/>
  <c r="AA13" i="1"/>
  <c r="AD13" i="1" s="1"/>
  <c r="AA14" i="1"/>
  <c r="AD14" i="1" s="1"/>
  <c r="AA15" i="1"/>
  <c r="AD15" i="1" s="1"/>
  <c r="AA16" i="1"/>
  <c r="AD16" i="1" s="1"/>
  <c r="AA17" i="1"/>
  <c r="AD17" i="1" s="1"/>
  <c r="AA18" i="1"/>
  <c r="AD18" i="1" s="1"/>
  <c r="AA19" i="1"/>
  <c r="AD19" i="1" s="1"/>
  <c r="AA20" i="1"/>
  <c r="AD20" i="1" s="1"/>
  <c r="AA21" i="1"/>
  <c r="AD21" i="1" s="1"/>
  <c r="AA22" i="1"/>
  <c r="AD22" i="1" s="1"/>
  <c r="AA23" i="1"/>
  <c r="AD23" i="1" s="1"/>
  <c r="AA24" i="1"/>
  <c r="AD24" i="1" s="1"/>
  <c r="AA25" i="1"/>
  <c r="AD25" i="1" s="1"/>
  <c r="AA26" i="1"/>
  <c r="AD26" i="1" s="1"/>
  <c r="AA27" i="1"/>
  <c r="AD27" i="1" s="1"/>
  <c r="AA28" i="1"/>
  <c r="AD28" i="1" s="1"/>
  <c r="AA29" i="1"/>
  <c r="AD29" i="1" s="1"/>
  <c r="AA30" i="1"/>
  <c r="AD30" i="1" s="1"/>
  <c r="AA31" i="1"/>
  <c r="AD31" i="1" s="1"/>
  <c r="AA32" i="1"/>
  <c r="AD32" i="1" s="1"/>
  <c r="AA33" i="1"/>
  <c r="AD33" i="1" s="1"/>
  <c r="AA34" i="1"/>
  <c r="AD34" i="1" s="1"/>
  <c r="AA35" i="1"/>
  <c r="AD35" i="1" s="1"/>
  <c r="AA36" i="1"/>
  <c r="AD36" i="1" s="1"/>
  <c r="AA37" i="1"/>
  <c r="AD37" i="1" s="1"/>
  <c r="AA38" i="1"/>
  <c r="AD38" i="1" s="1"/>
  <c r="AA39" i="1"/>
  <c r="AD39" i="1" s="1"/>
  <c r="AA40" i="1"/>
  <c r="AD40" i="1" s="1"/>
  <c r="AA41" i="1"/>
  <c r="AD41" i="1" s="1"/>
  <c r="AA42" i="1"/>
  <c r="AD42" i="1" s="1"/>
  <c r="AA43" i="1"/>
  <c r="AD43" i="1" s="1"/>
  <c r="AA44" i="1"/>
  <c r="AD44" i="1" s="1"/>
  <c r="AA45" i="1"/>
  <c r="AD45" i="1" s="1"/>
  <c r="AA46" i="1"/>
  <c r="AD46" i="1" s="1"/>
  <c r="AA47" i="1"/>
  <c r="AD47" i="1" s="1"/>
  <c r="AA48" i="1"/>
  <c r="AD48" i="1" s="1"/>
  <c r="AA49" i="1"/>
  <c r="AD49" i="1" s="1"/>
  <c r="AA50" i="1"/>
  <c r="AD50" i="1" s="1"/>
  <c r="AA51" i="1"/>
  <c r="AD51" i="1" s="1"/>
  <c r="AA52" i="1"/>
  <c r="AD52" i="1" s="1"/>
  <c r="AA53" i="1"/>
  <c r="AD53" i="1" s="1"/>
  <c r="AA54" i="1"/>
  <c r="AD54" i="1" s="1"/>
  <c r="AA55" i="1"/>
  <c r="AD55" i="1" s="1"/>
  <c r="AA56" i="1"/>
  <c r="AD56" i="1" s="1"/>
  <c r="AA57" i="1"/>
  <c r="AD57" i="1" s="1"/>
  <c r="AA58" i="1"/>
  <c r="AD58" i="1" s="1"/>
  <c r="AA59" i="1"/>
  <c r="AD59" i="1" s="1"/>
  <c r="AA60" i="1"/>
  <c r="AD60" i="1" s="1"/>
  <c r="AA61" i="1"/>
  <c r="AD61" i="1" s="1"/>
  <c r="AA62" i="1"/>
  <c r="AD62" i="1" s="1"/>
  <c r="AA63" i="1"/>
  <c r="AD63" i="1" s="1"/>
  <c r="AA64" i="1"/>
  <c r="AD64" i="1" s="1"/>
  <c r="AA65" i="1"/>
  <c r="AD65" i="1" s="1"/>
  <c r="AA66" i="1"/>
  <c r="AD66" i="1" s="1"/>
  <c r="AA67" i="1"/>
  <c r="AD67" i="1" s="1"/>
  <c r="AA68" i="1"/>
  <c r="AD68" i="1" s="1"/>
  <c r="AA69" i="1"/>
  <c r="AD69" i="1" s="1"/>
  <c r="AA70" i="1"/>
  <c r="AD70" i="1" s="1"/>
  <c r="AA71" i="1"/>
  <c r="AD71" i="1" s="1"/>
  <c r="AA72" i="1"/>
  <c r="AD72" i="1" s="1"/>
  <c r="AA73" i="1"/>
  <c r="AD73" i="1" s="1"/>
  <c r="AA74" i="1"/>
  <c r="AD74" i="1" s="1"/>
  <c r="AA75" i="1"/>
  <c r="AD75" i="1" s="1"/>
  <c r="AA76" i="1"/>
  <c r="AD76" i="1" s="1"/>
  <c r="AA77" i="1"/>
  <c r="AD77" i="1" s="1"/>
  <c r="AA78" i="1"/>
  <c r="AD78" i="1" s="1"/>
  <c r="AA79" i="1"/>
  <c r="AD79" i="1" s="1"/>
  <c r="AA80" i="1"/>
  <c r="AD80" i="1" s="1"/>
  <c r="AA81" i="1"/>
  <c r="AD81" i="1" s="1"/>
  <c r="AA82" i="1"/>
  <c r="AD82" i="1" s="1"/>
  <c r="AA83" i="1"/>
  <c r="AD83" i="1" s="1"/>
  <c r="AA84" i="1"/>
  <c r="AD84" i="1" s="1"/>
  <c r="AA85" i="1"/>
  <c r="AD85" i="1" s="1"/>
  <c r="AA86" i="1"/>
  <c r="AD86" i="1" s="1"/>
  <c r="AA87" i="1"/>
  <c r="AD87" i="1" s="1"/>
  <c r="AA88" i="1"/>
  <c r="AD88" i="1" s="1"/>
  <c r="AA89" i="1"/>
  <c r="AD89" i="1" s="1"/>
  <c r="AA90" i="1"/>
  <c r="AD90" i="1" s="1"/>
  <c r="AA91" i="1"/>
  <c r="AD91" i="1" s="1"/>
  <c r="AA92" i="1"/>
  <c r="AD92" i="1" s="1"/>
  <c r="AA93" i="1"/>
  <c r="AD93" i="1" s="1"/>
  <c r="AA94" i="1"/>
  <c r="AD94" i="1" s="1"/>
  <c r="AA95" i="1"/>
  <c r="AD95" i="1" s="1"/>
  <c r="AA96" i="1"/>
  <c r="AD96" i="1" s="1"/>
  <c r="AA97" i="1"/>
  <c r="AD97" i="1" s="1"/>
  <c r="AA98" i="1"/>
  <c r="AD98" i="1" s="1"/>
  <c r="AA99" i="1"/>
  <c r="AD99" i="1" s="1"/>
  <c r="AA100" i="1"/>
  <c r="AD100" i="1" s="1"/>
  <c r="AA101" i="1"/>
  <c r="AD101" i="1" s="1"/>
  <c r="AA102" i="1"/>
  <c r="AD102" i="1" s="1"/>
  <c r="AA103" i="1"/>
  <c r="AD103" i="1" s="1"/>
  <c r="AA104" i="1"/>
  <c r="AD104" i="1" s="1"/>
  <c r="AA105" i="1"/>
  <c r="AD105" i="1" s="1"/>
  <c r="AA106" i="1"/>
  <c r="AD106" i="1" s="1"/>
  <c r="AA107" i="1"/>
  <c r="AD107" i="1" s="1"/>
  <c r="AA108" i="1"/>
  <c r="AD108" i="1" s="1"/>
  <c r="AA109" i="1"/>
  <c r="AD109" i="1" s="1"/>
  <c r="AA110" i="1"/>
  <c r="AD110" i="1" s="1"/>
  <c r="AA111" i="1"/>
  <c r="AD111" i="1" s="1"/>
  <c r="AA112" i="1"/>
  <c r="AD112" i="1" s="1"/>
  <c r="AA113" i="1"/>
  <c r="AD113" i="1" s="1"/>
  <c r="AA114" i="1"/>
  <c r="AD114" i="1" s="1"/>
  <c r="AA115" i="1"/>
  <c r="AD115" i="1" s="1"/>
  <c r="AA116" i="1"/>
  <c r="AD116" i="1" s="1"/>
  <c r="AA117" i="1"/>
  <c r="AD117" i="1" s="1"/>
  <c r="AA118" i="1"/>
  <c r="AD118" i="1" s="1"/>
  <c r="AA119" i="1"/>
  <c r="AD119" i="1" s="1"/>
  <c r="AA120" i="1"/>
  <c r="AD120" i="1" s="1"/>
  <c r="AA121" i="1"/>
  <c r="AD121" i="1" s="1"/>
  <c r="AA122" i="1"/>
  <c r="AD122" i="1" s="1"/>
  <c r="AA123" i="1"/>
  <c r="AD123" i="1" s="1"/>
  <c r="AA124" i="1"/>
  <c r="AD124" i="1" s="1"/>
  <c r="AA125" i="1"/>
  <c r="AD125" i="1" s="1"/>
  <c r="AA126" i="1"/>
  <c r="AD126" i="1" s="1"/>
  <c r="AA127" i="1"/>
  <c r="AD127" i="1" s="1"/>
  <c r="AA128" i="1"/>
  <c r="AD128" i="1" s="1"/>
  <c r="AA129" i="1"/>
  <c r="AD129" i="1" s="1"/>
  <c r="AA130" i="1"/>
  <c r="AD130" i="1" s="1"/>
  <c r="AA131" i="1"/>
  <c r="AD131" i="1" s="1"/>
  <c r="AA132" i="1"/>
  <c r="AD132" i="1" s="1"/>
  <c r="AA133" i="1"/>
  <c r="AD133" i="1" s="1"/>
  <c r="AA134" i="1"/>
  <c r="AD134" i="1" s="1"/>
  <c r="AA135" i="1"/>
  <c r="AD135" i="1" s="1"/>
  <c r="AA136" i="1"/>
  <c r="AD136" i="1" s="1"/>
  <c r="AA137" i="1"/>
  <c r="AD137" i="1" s="1"/>
  <c r="AA138" i="1"/>
  <c r="AD138" i="1" s="1"/>
  <c r="AA139" i="1"/>
  <c r="AD139" i="1" s="1"/>
  <c r="AA140" i="1"/>
  <c r="AD140" i="1" s="1"/>
  <c r="AA141" i="1"/>
  <c r="AD141" i="1" s="1"/>
  <c r="AA142" i="1"/>
  <c r="AD142" i="1" s="1"/>
  <c r="AA143" i="1"/>
  <c r="AD143" i="1" s="1"/>
  <c r="AA144" i="1"/>
  <c r="AD144" i="1" s="1"/>
  <c r="AA145" i="1"/>
  <c r="AD145" i="1" s="1"/>
  <c r="AA146" i="1"/>
  <c r="AD146" i="1" s="1"/>
  <c r="AA147" i="1"/>
  <c r="AD147" i="1" s="1"/>
  <c r="AA148" i="1"/>
  <c r="AD148" i="1" s="1"/>
  <c r="AA149" i="1"/>
  <c r="AD149" i="1" s="1"/>
  <c r="AA150" i="1"/>
  <c r="AD150" i="1" s="1"/>
  <c r="AA151" i="1"/>
  <c r="AD151" i="1" s="1"/>
  <c r="AA152" i="1"/>
  <c r="AD152" i="1" s="1"/>
  <c r="AA153" i="1"/>
  <c r="AD153" i="1" s="1"/>
  <c r="AA154" i="1"/>
  <c r="AD154" i="1" s="1"/>
  <c r="AA155" i="1"/>
  <c r="AD155" i="1" s="1"/>
  <c r="AA156" i="1"/>
  <c r="AD156" i="1" s="1"/>
  <c r="AA157" i="1"/>
  <c r="AD157" i="1" s="1"/>
  <c r="AA158" i="1"/>
  <c r="AD158" i="1" s="1"/>
  <c r="AA159" i="1"/>
  <c r="AD159" i="1" s="1"/>
  <c r="AA160" i="1"/>
  <c r="AD160" i="1" s="1"/>
  <c r="AA161" i="1"/>
  <c r="AD161" i="1" s="1"/>
  <c r="AA162" i="1"/>
  <c r="AD162" i="1" s="1"/>
  <c r="AA163" i="1"/>
  <c r="AD163" i="1" s="1"/>
  <c r="AA164" i="1"/>
  <c r="AD164" i="1" s="1"/>
  <c r="AA165" i="1"/>
  <c r="AD165" i="1" s="1"/>
  <c r="AA166" i="1"/>
  <c r="AD166" i="1" s="1"/>
  <c r="AA167" i="1"/>
  <c r="AD167" i="1" s="1"/>
  <c r="AA168" i="1"/>
  <c r="AD168" i="1" s="1"/>
  <c r="AA169" i="1"/>
  <c r="AD169" i="1" s="1"/>
  <c r="AA170" i="1"/>
  <c r="AD170" i="1" s="1"/>
  <c r="AA171" i="1"/>
  <c r="AD171" i="1" s="1"/>
  <c r="AA172" i="1"/>
  <c r="AD172" i="1" s="1"/>
  <c r="AA173" i="1"/>
  <c r="AD173" i="1" s="1"/>
  <c r="AA174" i="1"/>
  <c r="AD174" i="1" s="1"/>
  <c r="AA175" i="1"/>
  <c r="AD175" i="1" s="1"/>
  <c r="AA176" i="1"/>
  <c r="AD176" i="1" s="1"/>
  <c r="AA177" i="1"/>
  <c r="AD177" i="1" s="1"/>
  <c r="AA178" i="1"/>
  <c r="AD178" i="1" s="1"/>
  <c r="AA179" i="1"/>
  <c r="AD179" i="1" s="1"/>
  <c r="AA180" i="1"/>
  <c r="AD180" i="1" s="1"/>
  <c r="AA181" i="1"/>
  <c r="AD181" i="1" s="1"/>
  <c r="AA182" i="1"/>
  <c r="AD182" i="1" s="1"/>
  <c r="AA183" i="1"/>
  <c r="AD183" i="1" s="1"/>
  <c r="AA184" i="1"/>
  <c r="AD184" i="1" s="1"/>
  <c r="AA185" i="1"/>
  <c r="AD185" i="1" s="1"/>
  <c r="AA186" i="1"/>
  <c r="AD186" i="1" s="1"/>
  <c r="AA187" i="1"/>
  <c r="AD187" i="1" s="1"/>
  <c r="AA188" i="1"/>
  <c r="AD188" i="1" s="1"/>
  <c r="AA189" i="1"/>
  <c r="AD189" i="1" s="1"/>
  <c r="AA190" i="1"/>
  <c r="AD190" i="1" s="1"/>
  <c r="AA191" i="1"/>
  <c r="AD191" i="1" s="1"/>
  <c r="AA192" i="1"/>
  <c r="AD192" i="1" s="1"/>
  <c r="AA193" i="1"/>
  <c r="AD193" i="1" s="1"/>
  <c r="AA194" i="1"/>
  <c r="AD194" i="1" s="1"/>
  <c r="AA195" i="1"/>
  <c r="AD195" i="1" s="1"/>
  <c r="AA196" i="1"/>
  <c r="AD196" i="1" s="1"/>
  <c r="AA197" i="1"/>
  <c r="AD197" i="1" s="1"/>
  <c r="AA198" i="1"/>
  <c r="AD198" i="1" s="1"/>
  <c r="AA199" i="1"/>
  <c r="AD199" i="1" s="1"/>
  <c r="AA200" i="1"/>
  <c r="AD200" i="1" s="1"/>
  <c r="AA201" i="1"/>
  <c r="AD201" i="1" s="1"/>
  <c r="AA202" i="1"/>
  <c r="AD202" i="1" s="1"/>
  <c r="AA2" i="1"/>
  <c r="AD2" i="1" s="1"/>
  <c r="U3" i="1"/>
  <c r="X3" i="1" s="1"/>
  <c r="U4" i="1"/>
  <c r="X4" i="1" s="1"/>
  <c r="U5" i="1"/>
  <c r="X5" i="1" s="1"/>
  <c r="U6" i="1"/>
  <c r="X6" i="1" s="1"/>
  <c r="U7" i="1"/>
  <c r="X7" i="1" s="1"/>
  <c r="U8" i="1"/>
  <c r="X8" i="1" s="1"/>
  <c r="U9" i="1"/>
  <c r="X9" i="1" s="1"/>
  <c r="U10" i="1"/>
  <c r="X10" i="1" s="1"/>
  <c r="U11" i="1"/>
  <c r="X11" i="1" s="1"/>
  <c r="U12" i="1"/>
  <c r="X12" i="1" s="1"/>
  <c r="U13" i="1"/>
  <c r="X13" i="1" s="1"/>
  <c r="U14" i="1"/>
  <c r="X14" i="1" s="1"/>
  <c r="U15" i="1"/>
  <c r="X15" i="1" s="1"/>
  <c r="U16" i="1"/>
  <c r="X16" i="1" s="1"/>
  <c r="U17" i="1"/>
  <c r="X17" i="1" s="1"/>
  <c r="U18" i="1"/>
  <c r="X18" i="1" s="1"/>
  <c r="U19" i="1"/>
  <c r="X19" i="1" s="1"/>
  <c r="U20" i="1"/>
  <c r="X20" i="1" s="1"/>
  <c r="U21" i="1"/>
  <c r="X21" i="1" s="1"/>
  <c r="U22" i="1"/>
  <c r="X22" i="1" s="1"/>
  <c r="U23" i="1"/>
  <c r="X23" i="1" s="1"/>
  <c r="U24" i="1"/>
  <c r="X24" i="1" s="1"/>
  <c r="U25" i="1"/>
  <c r="X25" i="1" s="1"/>
  <c r="U26" i="1"/>
  <c r="X26" i="1" s="1"/>
  <c r="U27" i="1"/>
  <c r="X27" i="1" s="1"/>
  <c r="U28" i="1"/>
  <c r="X28" i="1" s="1"/>
  <c r="U29" i="1"/>
  <c r="X29" i="1" s="1"/>
  <c r="U30" i="1"/>
  <c r="X30" i="1" s="1"/>
  <c r="U31" i="1"/>
  <c r="X31" i="1" s="1"/>
  <c r="U32" i="1"/>
  <c r="X32" i="1" s="1"/>
  <c r="U33" i="1"/>
  <c r="X33" i="1" s="1"/>
  <c r="U34" i="1"/>
  <c r="X34" i="1" s="1"/>
  <c r="U35" i="1"/>
  <c r="X35" i="1" s="1"/>
  <c r="U36" i="1"/>
  <c r="X36" i="1" s="1"/>
  <c r="U37" i="1"/>
  <c r="X37" i="1" s="1"/>
  <c r="U38" i="1"/>
  <c r="X38" i="1" s="1"/>
  <c r="U39" i="1"/>
  <c r="X39" i="1" s="1"/>
  <c r="U40" i="1"/>
  <c r="X40" i="1" s="1"/>
  <c r="U41" i="1"/>
  <c r="X41" i="1" s="1"/>
  <c r="U42" i="1"/>
  <c r="X42" i="1" s="1"/>
  <c r="U43" i="1"/>
  <c r="X43" i="1" s="1"/>
  <c r="U44" i="1"/>
  <c r="X44" i="1" s="1"/>
  <c r="U45" i="1"/>
  <c r="X45" i="1" s="1"/>
  <c r="U46" i="1"/>
  <c r="X46" i="1" s="1"/>
  <c r="U47" i="1"/>
  <c r="X47" i="1" s="1"/>
  <c r="U48" i="1"/>
  <c r="X48" i="1" s="1"/>
  <c r="U49" i="1"/>
  <c r="X49" i="1" s="1"/>
  <c r="U50" i="1"/>
  <c r="X50" i="1" s="1"/>
  <c r="U51" i="1"/>
  <c r="X51" i="1" s="1"/>
  <c r="U52" i="1"/>
  <c r="X52" i="1" s="1"/>
  <c r="U53" i="1"/>
  <c r="X53" i="1" s="1"/>
  <c r="U54" i="1"/>
  <c r="X54" i="1" s="1"/>
  <c r="U55" i="1"/>
  <c r="X55" i="1" s="1"/>
  <c r="U56" i="1"/>
  <c r="X56" i="1" s="1"/>
  <c r="U57" i="1"/>
  <c r="X57" i="1" s="1"/>
  <c r="U58" i="1"/>
  <c r="X58" i="1" s="1"/>
  <c r="U59" i="1"/>
  <c r="X59" i="1" s="1"/>
  <c r="U60" i="1"/>
  <c r="X60" i="1" s="1"/>
  <c r="U61" i="1"/>
  <c r="X61" i="1" s="1"/>
  <c r="U62" i="1"/>
  <c r="X62" i="1" s="1"/>
  <c r="U63" i="1"/>
  <c r="X63" i="1" s="1"/>
  <c r="U64" i="1"/>
  <c r="X64" i="1" s="1"/>
  <c r="U65" i="1"/>
  <c r="X65" i="1" s="1"/>
  <c r="U66" i="1"/>
  <c r="X66" i="1" s="1"/>
  <c r="U67" i="1"/>
  <c r="X67" i="1" s="1"/>
  <c r="U68" i="1"/>
  <c r="X68" i="1" s="1"/>
  <c r="U69" i="1"/>
  <c r="X69" i="1" s="1"/>
  <c r="U70" i="1"/>
  <c r="X70" i="1" s="1"/>
  <c r="U71" i="1"/>
  <c r="X71" i="1" s="1"/>
  <c r="U72" i="1"/>
  <c r="X72" i="1" s="1"/>
  <c r="U73" i="1"/>
  <c r="X73" i="1" s="1"/>
  <c r="U74" i="1"/>
  <c r="X74" i="1" s="1"/>
  <c r="U75" i="1"/>
  <c r="X75" i="1" s="1"/>
  <c r="U76" i="1"/>
  <c r="X76" i="1" s="1"/>
  <c r="U77" i="1"/>
  <c r="X77" i="1" s="1"/>
  <c r="U78" i="1"/>
  <c r="X78" i="1" s="1"/>
  <c r="U79" i="1"/>
  <c r="X79" i="1" s="1"/>
  <c r="U80" i="1"/>
  <c r="X80" i="1" s="1"/>
  <c r="U81" i="1"/>
  <c r="X81" i="1" s="1"/>
  <c r="U82" i="1"/>
  <c r="X82" i="1" s="1"/>
  <c r="U83" i="1"/>
  <c r="X83" i="1" s="1"/>
  <c r="U84" i="1"/>
  <c r="X84" i="1" s="1"/>
  <c r="U85" i="1"/>
  <c r="X85" i="1" s="1"/>
  <c r="U86" i="1"/>
  <c r="X86" i="1" s="1"/>
  <c r="U87" i="1"/>
  <c r="X87" i="1" s="1"/>
  <c r="U88" i="1"/>
  <c r="X88" i="1" s="1"/>
  <c r="U89" i="1"/>
  <c r="X89" i="1" s="1"/>
  <c r="U90" i="1"/>
  <c r="X90" i="1" s="1"/>
  <c r="U91" i="1"/>
  <c r="X91" i="1" s="1"/>
  <c r="U92" i="1"/>
  <c r="X92" i="1" s="1"/>
  <c r="U93" i="1"/>
  <c r="X93" i="1" s="1"/>
  <c r="U94" i="1"/>
  <c r="X94" i="1" s="1"/>
  <c r="U95" i="1"/>
  <c r="X95" i="1" s="1"/>
  <c r="U96" i="1"/>
  <c r="X96" i="1" s="1"/>
  <c r="U97" i="1"/>
  <c r="X97" i="1" s="1"/>
  <c r="U98" i="1"/>
  <c r="X98" i="1" s="1"/>
  <c r="U99" i="1"/>
  <c r="X99" i="1" s="1"/>
  <c r="U100" i="1"/>
  <c r="X100" i="1" s="1"/>
  <c r="U101" i="1"/>
  <c r="X101" i="1" s="1"/>
  <c r="U102" i="1"/>
  <c r="X102" i="1" s="1"/>
  <c r="U103" i="1"/>
  <c r="X103" i="1" s="1"/>
  <c r="U104" i="1"/>
  <c r="X104" i="1" s="1"/>
  <c r="U105" i="1"/>
  <c r="X105" i="1" s="1"/>
  <c r="U106" i="1"/>
  <c r="X106" i="1" s="1"/>
  <c r="U107" i="1"/>
  <c r="X107" i="1" s="1"/>
  <c r="U108" i="1"/>
  <c r="X108" i="1" s="1"/>
  <c r="U109" i="1"/>
  <c r="X109" i="1" s="1"/>
  <c r="U110" i="1"/>
  <c r="X110" i="1" s="1"/>
  <c r="U111" i="1"/>
  <c r="X111" i="1" s="1"/>
  <c r="U112" i="1"/>
  <c r="X112" i="1" s="1"/>
  <c r="U113" i="1"/>
  <c r="X113" i="1" s="1"/>
  <c r="U114" i="1"/>
  <c r="X114" i="1" s="1"/>
  <c r="U115" i="1"/>
  <c r="X115" i="1" s="1"/>
  <c r="U116" i="1"/>
  <c r="X116" i="1" s="1"/>
  <c r="U117" i="1"/>
  <c r="X117" i="1" s="1"/>
  <c r="U118" i="1"/>
  <c r="X118" i="1" s="1"/>
  <c r="U119" i="1"/>
  <c r="X119" i="1" s="1"/>
  <c r="U120" i="1"/>
  <c r="X120" i="1" s="1"/>
  <c r="U121" i="1"/>
  <c r="X121" i="1" s="1"/>
  <c r="U122" i="1"/>
  <c r="X122" i="1" s="1"/>
  <c r="U123" i="1"/>
  <c r="X123" i="1" s="1"/>
  <c r="U124" i="1"/>
  <c r="X124" i="1" s="1"/>
  <c r="U125" i="1"/>
  <c r="X125" i="1" s="1"/>
  <c r="U126" i="1"/>
  <c r="X126" i="1" s="1"/>
  <c r="U127" i="1"/>
  <c r="X127" i="1" s="1"/>
  <c r="U128" i="1"/>
  <c r="X128" i="1" s="1"/>
  <c r="U129" i="1"/>
  <c r="X129" i="1" s="1"/>
  <c r="U130" i="1"/>
  <c r="X130" i="1" s="1"/>
  <c r="U131" i="1"/>
  <c r="X131" i="1" s="1"/>
  <c r="U132" i="1"/>
  <c r="X132" i="1" s="1"/>
  <c r="U133" i="1"/>
  <c r="X133" i="1" s="1"/>
  <c r="U134" i="1"/>
  <c r="X134" i="1" s="1"/>
  <c r="U135" i="1"/>
  <c r="X135" i="1" s="1"/>
  <c r="U136" i="1"/>
  <c r="X136" i="1" s="1"/>
  <c r="U137" i="1"/>
  <c r="X137" i="1" s="1"/>
  <c r="U138" i="1"/>
  <c r="X138" i="1" s="1"/>
  <c r="U139" i="1"/>
  <c r="X139" i="1" s="1"/>
  <c r="U140" i="1"/>
  <c r="X140" i="1" s="1"/>
  <c r="U141" i="1"/>
  <c r="X141" i="1" s="1"/>
  <c r="U142" i="1"/>
  <c r="X142" i="1" s="1"/>
  <c r="U143" i="1"/>
  <c r="X143" i="1" s="1"/>
  <c r="U144" i="1"/>
  <c r="X144" i="1" s="1"/>
  <c r="U145" i="1"/>
  <c r="X145" i="1" s="1"/>
  <c r="U146" i="1"/>
  <c r="X146" i="1" s="1"/>
  <c r="U147" i="1"/>
  <c r="X147" i="1" s="1"/>
  <c r="U148" i="1"/>
  <c r="X148" i="1" s="1"/>
  <c r="U149" i="1"/>
  <c r="X149" i="1" s="1"/>
  <c r="U150" i="1"/>
  <c r="X150" i="1" s="1"/>
  <c r="U151" i="1"/>
  <c r="X151" i="1" s="1"/>
  <c r="U152" i="1"/>
  <c r="X152" i="1" s="1"/>
  <c r="U153" i="1"/>
  <c r="X153" i="1" s="1"/>
  <c r="U154" i="1"/>
  <c r="X154" i="1" s="1"/>
  <c r="U155" i="1"/>
  <c r="X155" i="1" s="1"/>
  <c r="U156" i="1"/>
  <c r="X156" i="1" s="1"/>
  <c r="U157" i="1"/>
  <c r="X157" i="1" s="1"/>
  <c r="U158" i="1"/>
  <c r="X158" i="1" s="1"/>
  <c r="U159" i="1"/>
  <c r="X159" i="1" s="1"/>
  <c r="U160" i="1"/>
  <c r="X160" i="1" s="1"/>
  <c r="U161" i="1"/>
  <c r="X161" i="1" s="1"/>
  <c r="U162" i="1"/>
  <c r="X162" i="1" s="1"/>
  <c r="U163" i="1"/>
  <c r="X163" i="1" s="1"/>
  <c r="U164" i="1"/>
  <c r="X164" i="1" s="1"/>
  <c r="U165" i="1"/>
  <c r="X165" i="1" s="1"/>
  <c r="U166" i="1"/>
  <c r="X166" i="1" s="1"/>
  <c r="U167" i="1"/>
  <c r="X167" i="1" s="1"/>
  <c r="U168" i="1"/>
  <c r="X168" i="1" s="1"/>
  <c r="U169" i="1"/>
  <c r="X169" i="1" s="1"/>
  <c r="U170" i="1"/>
  <c r="X170" i="1" s="1"/>
  <c r="U171" i="1"/>
  <c r="X171" i="1" s="1"/>
  <c r="U172" i="1"/>
  <c r="X172" i="1" s="1"/>
  <c r="U173" i="1"/>
  <c r="X173" i="1" s="1"/>
  <c r="U174" i="1"/>
  <c r="X174" i="1" s="1"/>
  <c r="U175" i="1"/>
  <c r="X175" i="1" s="1"/>
  <c r="U176" i="1"/>
  <c r="X176" i="1" s="1"/>
  <c r="U177" i="1"/>
  <c r="X177" i="1" s="1"/>
  <c r="U178" i="1"/>
  <c r="X178" i="1" s="1"/>
  <c r="U179" i="1"/>
  <c r="X179" i="1" s="1"/>
  <c r="U180" i="1"/>
  <c r="X180" i="1" s="1"/>
  <c r="U181" i="1"/>
  <c r="X181" i="1" s="1"/>
  <c r="U182" i="1"/>
  <c r="X182" i="1" s="1"/>
  <c r="U183" i="1"/>
  <c r="X183" i="1" s="1"/>
  <c r="U184" i="1"/>
  <c r="X184" i="1" s="1"/>
  <c r="U185" i="1"/>
  <c r="X185" i="1" s="1"/>
  <c r="U186" i="1"/>
  <c r="X186" i="1" s="1"/>
  <c r="U187" i="1"/>
  <c r="X187" i="1" s="1"/>
  <c r="U188" i="1"/>
  <c r="X188" i="1" s="1"/>
  <c r="U189" i="1"/>
  <c r="X189" i="1" s="1"/>
  <c r="U190" i="1"/>
  <c r="X190" i="1" s="1"/>
  <c r="U191" i="1"/>
  <c r="X191" i="1" s="1"/>
  <c r="U192" i="1"/>
  <c r="X192" i="1" s="1"/>
  <c r="U193" i="1"/>
  <c r="X193" i="1" s="1"/>
  <c r="U194" i="1"/>
  <c r="X194" i="1" s="1"/>
  <c r="U195" i="1"/>
  <c r="X195" i="1" s="1"/>
  <c r="U196" i="1"/>
  <c r="X196" i="1" s="1"/>
  <c r="U197" i="1"/>
  <c r="X197" i="1" s="1"/>
  <c r="U198" i="1"/>
  <c r="X198" i="1" s="1"/>
  <c r="U199" i="1"/>
  <c r="X199" i="1" s="1"/>
  <c r="U200" i="1"/>
  <c r="X200" i="1" s="1"/>
  <c r="U201" i="1"/>
  <c r="X201" i="1" s="1"/>
  <c r="U202" i="1"/>
  <c r="X202" i="1" s="1"/>
  <c r="U2" i="1"/>
  <c r="X2" i="1" s="1"/>
  <c r="O3" i="1"/>
  <c r="R3" i="1" s="1"/>
  <c r="O4" i="1"/>
  <c r="R4" i="1" s="1"/>
  <c r="O5" i="1"/>
  <c r="R5" i="1" s="1"/>
  <c r="O6" i="1"/>
  <c r="R6" i="1" s="1"/>
  <c r="O7" i="1"/>
  <c r="R7" i="1" s="1"/>
  <c r="O8" i="1"/>
  <c r="R8" i="1" s="1"/>
  <c r="O9" i="1"/>
  <c r="R9" i="1" s="1"/>
  <c r="O10" i="1"/>
  <c r="R10" i="1" s="1"/>
  <c r="O11" i="1"/>
  <c r="R11" i="1" s="1"/>
  <c r="O12" i="1"/>
  <c r="R12" i="1" s="1"/>
  <c r="O13" i="1"/>
  <c r="R13" i="1" s="1"/>
  <c r="O14" i="1"/>
  <c r="R14" i="1" s="1"/>
  <c r="O15" i="1"/>
  <c r="R15" i="1" s="1"/>
  <c r="O16" i="1"/>
  <c r="R16" i="1" s="1"/>
  <c r="O17" i="1"/>
  <c r="R17" i="1" s="1"/>
  <c r="O18" i="1"/>
  <c r="R18" i="1" s="1"/>
  <c r="O19" i="1"/>
  <c r="R19" i="1" s="1"/>
  <c r="O20" i="1"/>
  <c r="R20" i="1" s="1"/>
  <c r="O21" i="1"/>
  <c r="R21" i="1" s="1"/>
  <c r="O22" i="1"/>
  <c r="R22" i="1" s="1"/>
  <c r="O23" i="1"/>
  <c r="R23" i="1" s="1"/>
  <c r="O24" i="1"/>
  <c r="R24" i="1" s="1"/>
  <c r="O25" i="1"/>
  <c r="R25" i="1" s="1"/>
  <c r="O26" i="1"/>
  <c r="R26" i="1" s="1"/>
  <c r="O27" i="1"/>
  <c r="R27" i="1" s="1"/>
  <c r="O28" i="1"/>
  <c r="R28" i="1" s="1"/>
  <c r="O29" i="1"/>
  <c r="R29" i="1" s="1"/>
  <c r="O30" i="1"/>
  <c r="R30" i="1" s="1"/>
  <c r="O31" i="1"/>
  <c r="R31" i="1" s="1"/>
  <c r="O32" i="1"/>
  <c r="R32" i="1" s="1"/>
  <c r="O33" i="1"/>
  <c r="R33" i="1" s="1"/>
  <c r="O34" i="1"/>
  <c r="R34" i="1" s="1"/>
  <c r="O35" i="1"/>
  <c r="R35" i="1" s="1"/>
  <c r="O36" i="1"/>
  <c r="R36" i="1" s="1"/>
  <c r="O37" i="1"/>
  <c r="R37" i="1" s="1"/>
  <c r="O38" i="1"/>
  <c r="R38" i="1" s="1"/>
  <c r="O39" i="1"/>
  <c r="R39" i="1" s="1"/>
  <c r="O40" i="1"/>
  <c r="R40" i="1" s="1"/>
  <c r="O41" i="1"/>
  <c r="R41" i="1" s="1"/>
  <c r="O42" i="1"/>
  <c r="R42" i="1" s="1"/>
  <c r="O43" i="1"/>
  <c r="R43" i="1" s="1"/>
  <c r="O44" i="1"/>
  <c r="R44" i="1" s="1"/>
  <c r="O45" i="1"/>
  <c r="R45" i="1" s="1"/>
  <c r="O46" i="1"/>
  <c r="R46" i="1" s="1"/>
  <c r="O47" i="1"/>
  <c r="R47" i="1" s="1"/>
  <c r="O48" i="1"/>
  <c r="R48" i="1" s="1"/>
  <c r="O49" i="1"/>
  <c r="R49" i="1" s="1"/>
  <c r="O50" i="1"/>
  <c r="R50" i="1" s="1"/>
  <c r="O51" i="1"/>
  <c r="R51" i="1" s="1"/>
  <c r="O52" i="1"/>
  <c r="R52" i="1" s="1"/>
  <c r="O53" i="1"/>
  <c r="R53" i="1" s="1"/>
  <c r="O54" i="1"/>
  <c r="R54" i="1" s="1"/>
  <c r="O55" i="1"/>
  <c r="R55" i="1" s="1"/>
  <c r="O56" i="1"/>
  <c r="R56" i="1" s="1"/>
  <c r="O57" i="1"/>
  <c r="R57" i="1" s="1"/>
  <c r="O58" i="1"/>
  <c r="R58" i="1" s="1"/>
  <c r="O59" i="1"/>
  <c r="R59" i="1" s="1"/>
  <c r="O60" i="1"/>
  <c r="R60" i="1" s="1"/>
  <c r="O61" i="1"/>
  <c r="R61" i="1" s="1"/>
  <c r="O62" i="1"/>
  <c r="R62" i="1" s="1"/>
  <c r="O63" i="1"/>
  <c r="R63" i="1" s="1"/>
  <c r="O64" i="1"/>
  <c r="R64" i="1" s="1"/>
  <c r="O65" i="1"/>
  <c r="R65" i="1" s="1"/>
  <c r="O66" i="1"/>
  <c r="R66" i="1" s="1"/>
  <c r="O67" i="1"/>
  <c r="R67" i="1" s="1"/>
  <c r="O68" i="1"/>
  <c r="R68" i="1" s="1"/>
  <c r="O69" i="1"/>
  <c r="R69" i="1" s="1"/>
  <c r="O70" i="1"/>
  <c r="R70" i="1" s="1"/>
  <c r="O71" i="1"/>
  <c r="R71" i="1" s="1"/>
  <c r="O72" i="1"/>
  <c r="R72" i="1" s="1"/>
  <c r="O73" i="1"/>
  <c r="R73" i="1" s="1"/>
  <c r="O74" i="1"/>
  <c r="R74" i="1" s="1"/>
  <c r="O75" i="1"/>
  <c r="R75" i="1" s="1"/>
  <c r="O76" i="1"/>
  <c r="R76" i="1" s="1"/>
  <c r="O77" i="1"/>
  <c r="R77" i="1" s="1"/>
  <c r="O78" i="1"/>
  <c r="R78" i="1" s="1"/>
  <c r="O79" i="1"/>
  <c r="R79" i="1" s="1"/>
  <c r="O80" i="1"/>
  <c r="R80" i="1" s="1"/>
  <c r="O81" i="1"/>
  <c r="R81" i="1" s="1"/>
  <c r="O82" i="1"/>
  <c r="R82" i="1" s="1"/>
  <c r="O83" i="1"/>
  <c r="R83" i="1" s="1"/>
  <c r="O84" i="1"/>
  <c r="R84" i="1" s="1"/>
  <c r="O85" i="1"/>
  <c r="R85" i="1" s="1"/>
  <c r="O86" i="1"/>
  <c r="R86" i="1" s="1"/>
  <c r="O87" i="1"/>
  <c r="R87" i="1" s="1"/>
  <c r="O88" i="1"/>
  <c r="R88" i="1" s="1"/>
  <c r="O89" i="1"/>
  <c r="R89" i="1" s="1"/>
  <c r="O90" i="1"/>
  <c r="R90" i="1" s="1"/>
  <c r="O91" i="1"/>
  <c r="R91" i="1" s="1"/>
  <c r="O92" i="1"/>
  <c r="R92" i="1" s="1"/>
  <c r="O93" i="1"/>
  <c r="R93" i="1" s="1"/>
  <c r="O94" i="1"/>
  <c r="R94" i="1" s="1"/>
  <c r="O95" i="1"/>
  <c r="R95" i="1" s="1"/>
  <c r="O96" i="1"/>
  <c r="R96" i="1" s="1"/>
  <c r="O97" i="1"/>
  <c r="R97" i="1" s="1"/>
  <c r="O98" i="1"/>
  <c r="R98" i="1" s="1"/>
  <c r="O99" i="1"/>
  <c r="R99" i="1" s="1"/>
  <c r="O100" i="1"/>
  <c r="R100" i="1" s="1"/>
  <c r="O101" i="1"/>
  <c r="R101" i="1" s="1"/>
  <c r="O102" i="1"/>
  <c r="R102" i="1" s="1"/>
  <c r="O103" i="1"/>
  <c r="R103" i="1" s="1"/>
  <c r="O104" i="1"/>
  <c r="R104" i="1" s="1"/>
  <c r="O105" i="1"/>
  <c r="R105" i="1" s="1"/>
  <c r="O106" i="1"/>
  <c r="R106" i="1" s="1"/>
  <c r="O107" i="1"/>
  <c r="R107" i="1" s="1"/>
  <c r="O108" i="1"/>
  <c r="R108" i="1" s="1"/>
  <c r="O109" i="1"/>
  <c r="R109" i="1" s="1"/>
  <c r="O110" i="1"/>
  <c r="R110" i="1" s="1"/>
  <c r="O111" i="1"/>
  <c r="R111" i="1" s="1"/>
  <c r="O112" i="1"/>
  <c r="R112" i="1" s="1"/>
  <c r="O113" i="1"/>
  <c r="R113" i="1" s="1"/>
  <c r="O114" i="1"/>
  <c r="R114" i="1" s="1"/>
  <c r="O115" i="1"/>
  <c r="R115" i="1" s="1"/>
  <c r="O116" i="1"/>
  <c r="R116" i="1" s="1"/>
  <c r="O117" i="1"/>
  <c r="R117" i="1" s="1"/>
  <c r="O118" i="1"/>
  <c r="R118" i="1" s="1"/>
  <c r="O119" i="1"/>
  <c r="R119" i="1" s="1"/>
  <c r="O120" i="1"/>
  <c r="R120" i="1" s="1"/>
  <c r="O121" i="1"/>
  <c r="R121" i="1" s="1"/>
  <c r="O122" i="1"/>
  <c r="R122" i="1" s="1"/>
  <c r="O123" i="1"/>
  <c r="R123" i="1" s="1"/>
  <c r="O124" i="1"/>
  <c r="R124" i="1" s="1"/>
  <c r="O125" i="1"/>
  <c r="R125" i="1" s="1"/>
  <c r="O126" i="1"/>
  <c r="R126" i="1" s="1"/>
  <c r="O127" i="1"/>
  <c r="R127" i="1" s="1"/>
  <c r="O128" i="1"/>
  <c r="R128" i="1" s="1"/>
  <c r="O129" i="1"/>
  <c r="R129" i="1" s="1"/>
  <c r="O130" i="1"/>
  <c r="R130" i="1" s="1"/>
  <c r="O131" i="1"/>
  <c r="R131" i="1" s="1"/>
  <c r="O132" i="1"/>
  <c r="R132" i="1" s="1"/>
  <c r="O133" i="1"/>
  <c r="R133" i="1" s="1"/>
  <c r="O134" i="1"/>
  <c r="R134" i="1" s="1"/>
  <c r="O135" i="1"/>
  <c r="R135" i="1" s="1"/>
  <c r="O136" i="1"/>
  <c r="R136" i="1" s="1"/>
  <c r="O137" i="1"/>
  <c r="R137" i="1" s="1"/>
  <c r="O138" i="1"/>
  <c r="R138" i="1" s="1"/>
  <c r="O139" i="1"/>
  <c r="R139" i="1" s="1"/>
  <c r="O140" i="1"/>
  <c r="R140" i="1" s="1"/>
  <c r="O141" i="1"/>
  <c r="R141" i="1" s="1"/>
  <c r="O142" i="1"/>
  <c r="R142" i="1" s="1"/>
  <c r="O143" i="1"/>
  <c r="R143" i="1" s="1"/>
  <c r="O144" i="1"/>
  <c r="R144" i="1" s="1"/>
  <c r="O145" i="1"/>
  <c r="R145" i="1" s="1"/>
  <c r="O146" i="1"/>
  <c r="R146" i="1" s="1"/>
  <c r="O147" i="1"/>
  <c r="R147" i="1" s="1"/>
  <c r="O148" i="1"/>
  <c r="R148" i="1" s="1"/>
  <c r="O149" i="1"/>
  <c r="R149" i="1" s="1"/>
  <c r="O150" i="1"/>
  <c r="R150" i="1" s="1"/>
  <c r="O151" i="1"/>
  <c r="R151" i="1" s="1"/>
  <c r="O152" i="1"/>
  <c r="R152" i="1" s="1"/>
  <c r="O153" i="1"/>
  <c r="R153" i="1" s="1"/>
  <c r="O154" i="1"/>
  <c r="R154" i="1" s="1"/>
  <c r="O155" i="1"/>
  <c r="R155" i="1" s="1"/>
  <c r="O156" i="1"/>
  <c r="R156" i="1" s="1"/>
  <c r="O157" i="1"/>
  <c r="R157" i="1" s="1"/>
  <c r="O158" i="1"/>
  <c r="R158" i="1" s="1"/>
  <c r="O159" i="1"/>
  <c r="R159" i="1" s="1"/>
  <c r="O160" i="1"/>
  <c r="R160" i="1" s="1"/>
  <c r="O161" i="1"/>
  <c r="R161" i="1" s="1"/>
  <c r="O162" i="1"/>
  <c r="R162" i="1" s="1"/>
  <c r="O163" i="1"/>
  <c r="R163" i="1" s="1"/>
  <c r="O164" i="1"/>
  <c r="R164" i="1" s="1"/>
  <c r="O165" i="1"/>
  <c r="R165" i="1" s="1"/>
  <c r="O166" i="1"/>
  <c r="R166" i="1" s="1"/>
  <c r="O167" i="1"/>
  <c r="R167" i="1" s="1"/>
  <c r="O168" i="1"/>
  <c r="R168" i="1" s="1"/>
  <c r="O169" i="1"/>
  <c r="R169" i="1" s="1"/>
  <c r="O170" i="1"/>
  <c r="R170" i="1" s="1"/>
  <c r="O171" i="1"/>
  <c r="R171" i="1" s="1"/>
  <c r="O172" i="1"/>
  <c r="R172" i="1" s="1"/>
  <c r="O173" i="1"/>
  <c r="R173" i="1" s="1"/>
  <c r="O174" i="1"/>
  <c r="R174" i="1" s="1"/>
  <c r="O175" i="1"/>
  <c r="R175" i="1" s="1"/>
  <c r="O176" i="1"/>
  <c r="R176" i="1" s="1"/>
  <c r="O177" i="1"/>
  <c r="R177" i="1" s="1"/>
  <c r="O178" i="1"/>
  <c r="R178" i="1" s="1"/>
  <c r="O179" i="1"/>
  <c r="R179" i="1" s="1"/>
  <c r="O180" i="1"/>
  <c r="R180" i="1" s="1"/>
  <c r="O181" i="1"/>
  <c r="R181" i="1" s="1"/>
  <c r="O182" i="1"/>
  <c r="R182" i="1" s="1"/>
  <c r="O183" i="1"/>
  <c r="R183" i="1" s="1"/>
  <c r="O184" i="1"/>
  <c r="R184" i="1" s="1"/>
  <c r="O185" i="1"/>
  <c r="R185" i="1" s="1"/>
  <c r="O186" i="1"/>
  <c r="R186" i="1" s="1"/>
  <c r="O187" i="1"/>
  <c r="R187" i="1" s="1"/>
  <c r="O188" i="1"/>
  <c r="R188" i="1" s="1"/>
  <c r="O189" i="1"/>
  <c r="R189" i="1" s="1"/>
  <c r="O190" i="1"/>
  <c r="R190" i="1" s="1"/>
  <c r="O191" i="1"/>
  <c r="R191" i="1" s="1"/>
  <c r="O192" i="1"/>
  <c r="R192" i="1" s="1"/>
  <c r="O193" i="1"/>
  <c r="R193" i="1" s="1"/>
  <c r="O194" i="1"/>
  <c r="R194" i="1" s="1"/>
  <c r="O195" i="1"/>
  <c r="R195" i="1" s="1"/>
  <c r="O196" i="1"/>
  <c r="R196" i="1" s="1"/>
  <c r="O197" i="1"/>
  <c r="R197" i="1" s="1"/>
  <c r="O198" i="1"/>
  <c r="R198" i="1" s="1"/>
  <c r="O199" i="1"/>
  <c r="R199" i="1" s="1"/>
  <c r="O200" i="1"/>
  <c r="R200" i="1" s="1"/>
  <c r="O201" i="1"/>
  <c r="R201" i="1" s="1"/>
  <c r="O202" i="1"/>
  <c r="R202" i="1" s="1"/>
  <c r="O2" i="1"/>
  <c r="R2" i="1" s="1"/>
  <c r="I3" i="1"/>
  <c r="L3" i="1" s="1"/>
  <c r="I4" i="1"/>
  <c r="L4" i="1" s="1"/>
  <c r="I5" i="1"/>
  <c r="L5" i="1" s="1"/>
  <c r="I6" i="1"/>
  <c r="L6" i="1" s="1"/>
  <c r="I7" i="1"/>
  <c r="L7" i="1" s="1"/>
  <c r="I8" i="1"/>
  <c r="L8" i="1" s="1"/>
  <c r="I9" i="1"/>
  <c r="L9" i="1" s="1"/>
  <c r="I10" i="1"/>
  <c r="L10" i="1" s="1"/>
  <c r="I11" i="1"/>
  <c r="L11" i="1" s="1"/>
  <c r="I12" i="1"/>
  <c r="L12" i="1" s="1"/>
  <c r="I13" i="1"/>
  <c r="L13" i="1" s="1"/>
  <c r="I14" i="1"/>
  <c r="L14" i="1" s="1"/>
  <c r="I15" i="1"/>
  <c r="L15" i="1" s="1"/>
  <c r="I16" i="1"/>
  <c r="L16" i="1" s="1"/>
  <c r="I17" i="1"/>
  <c r="L17" i="1" s="1"/>
  <c r="I18" i="1"/>
  <c r="L18" i="1" s="1"/>
  <c r="I19" i="1"/>
  <c r="L19" i="1" s="1"/>
  <c r="I20" i="1"/>
  <c r="L20" i="1" s="1"/>
  <c r="I21" i="1"/>
  <c r="L21" i="1" s="1"/>
  <c r="I22" i="1"/>
  <c r="L22" i="1" s="1"/>
  <c r="I23" i="1"/>
  <c r="L23" i="1" s="1"/>
  <c r="I24" i="1"/>
  <c r="L24" i="1" s="1"/>
  <c r="I25" i="1"/>
  <c r="L25" i="1" s="1"/>
  <c r="I26" i="1"/>
  <c r="L26" i="1" s="1"/>
  <c r="I27" i="1"/>
  <c r="L27" i="1" s="1"/>
  <c r="I28" i="1"/>
  <c r="L28" i="1" s="1"/>
  <c r="I29" i="1"/>
  <c r="L29" i="1" s="1"/>
  <c r="I30" i="1"/>
  <c r="L30" i="1" s="1"/>
  <c r="I31" i="1"/>
  <c r="L31" i="1" s="1"/>
  <c r="I32" i="1"/>
  <c r="L32" i="1" s="1"/>
  <c r="I33" i="1"/>
  <c r="L33" i="1" s="1"/>
  <c r="I34" i="1"/>
  <c r="L34" i="1" s="1"/>
  <c r="I35" i="1"/>
  <c r="L35" i="1" s="1"/>
  <c r="I36" i="1"/>
  <c r="L36" i="1" s="1"/>
  <c r="I37" i="1"/>
  <c r="L37" i="1" s="1"/>
  <c r="I38" i="1"/>
  <c r="L38" i="1" s="1"/>
  <c r="I39" i="1"/>
  <c r="L39" i="1" s="1"/>
  <c r="I40" i="1"/>
  <c r="L40" i="1" s="1"/>
  <c r="I41" i="1"/>
  <c r="L41" i="1" s="1"/>
  <c r="I42" i="1"/>
  <c r="L42" i="1" s="1"/>
  <c r="I43" i="1"/>
  <c r="L43" i="1" s="1"/>
  <c r="I44" i="1"/>
  <c r="L44" i="1" s="1"/>
  <c r="I45" i="1"/>
  <c r="L45" i="1" s="1"/>
  <c r="I46" i="1"/>
  <c r="L46" i="1" s="1"/>
  <c r="I47" i="1"/>
  <c r="L47" i="1" s="1"/>
  <c r="I48" i="1"/>
  <c r="L48" i="1" s="1"/>
  <c r="I49" i="1"/>
  <c r="L49" i="1" s="1"/>
  <c r="I50" i="1"/>
  <c r="L50" i="1" s="1"/>
  <c r="I51" i="1"/>
  <c r="L51" i="1" s="1"/>
  <c r="I52" i="1"/>
  <c r="L52" i="1" s="1"/>
  <c r="I53" i="1"/>
  <c r="L53" i="1" s="1"/>
  <c r="I54" i="1"/>
  <c r="L54" i="1" s="1"/>
  <c r="I55" i="1"/>
  <c r="L55" i="1" s="1"/>
  <c r="I56" i="1"/>
  <c r="L56" i="1" s="1"/>
  <c r="I57" i="1"/>
  <c r="L57" i="1" s="1"/>
  <c r="I58" i="1"/>
  <c r="L58" i="1" s="1"/>
  <c r="I59" i="1"/>
  <c r="L59" i="1" s="1"/>
  <c r="I60" i="1"/>
  <c r="L60" i="1" s="1"/>
  <c r="I61" i="1"/>
  <c r="L61" i="1" s="1"/>
  <c r="I62" i="1"/>
  <c r="L62" i="1" s="1"/>
  <c r="I63" i="1"/>
  <c r="L63" i="1" s="1"/>
  <c r="I64" i="1"/>
  <c r="L64" i="1" s="1"/>
  <c r="I65" i="1"/>
  <c r="L65" i="1" s="1"/>
  <c r="I66" i="1"/>
  <c r="L66" i="1" s="1"/>
  <c r="I67" i="1"/>
  <c r="L67" i="1" s="1"/>
  <c r="I68" i="1"/>
  <c r="L68" i="1" s="1"/>
  <c r="I69" i="1"/>
  <c r="L69" i="1" s="1"/>
  <c r="I70" i="1"/>
  <c r="L70" i="1" s="1"/>
  <c r="I71" i="1"/>
  <c r="L71" i="1" s="1"/>
  <c r="I72" i="1"/>
  <c r="L72" i="1" s="1"/>
  <c r="I73" i="1"/>
  <c r="L73" i="1" s="1"/>
  <c r="I74" i="1"/>
  <c r="L74" i="1" s="1"/>
  <c r="I75" i="1"/>
  <c r="L75" i="1" s="1"/>
  <c r="I76" i="1"/>
  <c r="L76" i="1" s="1"/>
  <c r="I77" i="1"/>
  <c r="L77" i="1" s="1"/>
  <c r="I78" i="1"/>
  <c r="L78" i="1" s="1"/>
  <c r="I79" i="1"/>
  <c r="L79" i="1" s="1"/>
  <c r="I80" i="1"/>
  <c r="L80" i="1" s="1"/>
  <c r="I81" i="1"/>
  <c r="L81" i="1" s="1"/>
  <c r="I82" i="1"/>
  <c r="L82" i="1" s="1"/>
  <c r="I83" i="1"/>
  <c r="L83" i="1" s="1"/>
  <c r="I84" i="1"/>
  <c r="L84" i="1" s="1"/>
  <c r="I85" i="1"/>
  <c r="L85" i="1" s="1"/>
  <c r="I86" i="1"/>
  <c r="L86" i="1" s="1"/>
  <c r="I87" i="1"/>
  <c r="L87" i="1" s="1"/>
  <c r="I88" i="1"/>
  <c r="L88" i="1" s="1"/>
  <c r="I89" i="1"/>
  <c r="L89" i="1" s="1"/>
  <c r="I90" i="1"/>
  <c r="L90" i="1" s="1"/>
  <c r="I91" i="1"/>
  <c r="L91" i="1" s="1"/>
  <c r="I92" i="1"/>
  <c r="L92" i="1" s="1"/>
  <c r="I93" i="1"/>
  <c r="L93" i="1" s="1"/>
  <c r="I94" i="1"/>
  <c r="L94" i="1" s="1"/>
  <c r="I95" i="1"/>
  <c r="L95" i="1" s="1"/>
  <c r="I96" i="1"/>
  <c r="L96" i="1" s="1"/>
  <c r="I97" i="1"/>
  <c r="L97" i="1" s="1"/>
  <c r="I98" i="1"/>
  <c r="L98" i="1" s="1"/>
  <c r="I99" i="1"/>
  <c r="L99" i="1" s="1"/>
  <c r="I100" i="1"/>
  <c r="L100" i="1" s="1"/>
  <c r="I101" i="1"/>
  <c r="L101" i="1" s="1"/>
  <c r="I102" i="1"/>
  <c r="L102" i="1" s="1"/>
  <c r="I103" i="1"/>
  <c r="L103" i="1" s="1"/>
  <c r="I104" i="1"/>
  <c r="L104" i="1" s="1"/>
  <c r="I105" i="1"/>
  <c r="L105" i="1" s="1"/>
  <c r="I106" i="1"/>
  <c r="L106" i="1" s="1"/>
  <c r="I107" i="1"/>
  <c r="L107" i="1" s="1"/>
  <c r="I108" i="1"/>
  <c r="L108" i="1" s="1"/>
  <c r="I109" i="1"/>
  <c r="L109" i="1" s="1"/>
  <c r="I110" i="1"/>
  <c r="L110" i="1" s="1"/>
  <c r="I111" i="1"/>
  <c r="L111" i="1" s="1"/>
  <c r="I112" i="1"/>
  <c r="L112" i="1" s="1"/>
  <c r="I113" i="1"/>
  <c r="L113" i="1" s="1"/>
  <c r="I114" i="1"/>
  <c r="L114" i="1" s="1"/>
  <c r="I115" i="1"/>
  <c r="L115" i="1" s="1"/>
  <c r="I116" i="1"/>
  <c r="L116" i="1" s="1"/>
  <c r="I117" i="1"/>
  <c r="L117" i="1" s="1"/>
  <c r="I118" i="1"/>
  <c r="L118" i="1" s="1"/>
  <c r="I119" i="1"/>
  <c r="L119" i="1" s="1"/>
  <c r="I120" i="1"/>
  <c r="L120" i="1" s="1"/>
  <c r="I121" i="1"/>
  <c r="L121" i="1" s="1"/>
  <c r="I122" i="1"/>
  <c r="L122" i="1" s="1"/>
  <c r="I123" i="1"/>
  <c r="L123" i="1" s="1"/>
  <c r="I124" i="1"/>
  <c r="L124" i="1" s="1"/>
  <c r="I125" i="1"/>
  <c r="L125" i="1" s="1"/>
  <c r="I126" i="1"/>
  <c r="L126" i="1" s="1"/>
  <c r="I127" i="1"/>
  <c r="L127" i="1" s="1"/>
  <c r="I128" i="1"/>
  <c r="L128" i="1" s="1"/>
  <c r="I129" i="1"/>
  <c r="L129" i="1" s="1"/>
  <c r="I130" i="1"/>
  <c r="L130" i="1" s="1"/>
  <c r="I131" i="1"/>
  <c r="L131" i="1" s="1"/>
  <c r="I132" i="1"/>
  <c r="L132" i="1" s="1"/>
  <c r="I133" i="1"/>
  <c r="L133" i="1" s="1"/>
  <c r="I134" i="1"/>
  <c r="L134" i="1" s="1"/>
  <c r="I135" i="1"/>
  <c r="L135" i="1" s="1"/>
  <c r="I136" i="1"/>
  <c r="L136" i="1" s="1"/>
  <c r="I137" i="1"/>
  <c r="L137" i="1" s="1"/>
  <c r="I138" i="1"/>
  <c r="L138" i="1" s="1"/>
  <c r="I139" i="1"/>
  <c r="L139" i="1" s="1"/>
  <c r="I140" i="1"/>
  <c r="L140" i="1" s="1"/>
  <c r="I141" i="1"/>
  <c r="L141" i="1" s="1"/>
  <c r="I142" i="1"/>
  <c r="L142" i="1" s="1"/>
  <c r="I143" i="1"/>
  <c r="L143" i="1" s="1"/>
  <c r="I144" i="1"/>
  <c r="L144" i="1" s="1"/>
  <c r="I145" i="1"/>
  <c r="L145" i="1" s="1"/>
  <c r="I146" i="1"/>
  <c r="L146" i="1" s="1"/>
  <c r="I147" i="1"/>
  <c r="L147" i="1" s="1"/>
  <c r="I148" i="1"/>
  <c r="L148" i="1" s="1"/>
  <c r="I149" i="1"/>
  <c r="L149" i="1" s="1"/>
  <c r="I150" i="1"/>
  <c r="L150" i="1" s="1"/>
  <c r="I151" i="1"/>
  <c r="L151" i="1" s="1"/>
  <c r="I152" i="1"/>
  <c r="L152" i="1" s="1"/>
  <c r="I153" i="1"/>
  <c r="L153" i="1" s="1"/>
  <c r="I154" i="1"/>
  <c r="L154" i="1" s="1"/>
  <c r="I155" i="1"/>
  <c r="L155" i="1" s="1"/>
  <c r="I156" i="1"/>
  <c r="L156" i="1" s="1"/>
  <c r="I157" i="1"/>
  <c r="L157" i="1" s="1"/>
  <c r="I158" i="1"/>
  <c r="L158" i="1" s="1"/>
  <c r="I159" i="1"/>
  <c r="L159" i="1" s="1"/>
  <c r="I160" i="1"/>
  <c r="L160" i="1" s="1"/>
  <c r="I161" i="1"/>
  <c r="L161" i="1" s="1"/>
  <c r="I162" i="1"/>
  <c r="L162" i="1" s="1"/>
  <c r="I163" i="1"/>
  <c r="L163" i="1" s="1"/>
  <c r="I164" i="1"/>
  <c r="L164" i="1" s="1"/>
  <c r="I165" i="1"/>
  <c r="L165" i="1" s="1"/>
  <c r="I166" i="1"/>
  <c r="L166" i="1" s="1"/>
  <c r="I167" i="1"/>
  <c r="L167" i="1" s="1"/>
  <c r="I168" i="1"/>
  <c r="L168" i="1" s="1"/>
  <c r="I169" i="1"/>
  <c r="L169" i="1" s="1"/>
  <c r="I170" i="1"/>
  <c r="L170" i="1" s="1"/>
  <c r="I171" i="1"/>
  <c r="L171" i="1" s="1"/>
  <c r="I172" i="1"/>
  <c r="L172" i="1" s="1"/>
  <c r="I173" i="1"/>
  <c r="L173" i="1" s="1"/>
  <c r="I174" i="1"/>
  <c r="L174" i="1" s="1"/>
  <c r="I175" i="1"/>
  <c r="L175" i="1" s="1"/>
  <c r="I176" i="1"/>
  <c r="L176" i="1" s="1"/>
  <c r="I177" i="1"/>
  <c r="L177" i="1" s="1"/>
  <c r="I178" i="1"/>
  <c r="L178" i="1" s="1"/>
  <c r="I179" i="1"/>
  <c r="L179" i="1" s="1"/>
  <c r="I180" i="1"/>
  <c r="L180" i="1" s="1"/>
  <c r="I181" i="1"/>
  <c r="L181" i="1" s="1"/>
  <c r="I182" i="1"/>
  <c r="L182" i="1" s="1"/>
  <c r="I183" i="1"/>
  <c r="L183" i="1" s="1"/>
  <c r="I184" i="1"/>
  <c r="L184" i="1" s="1"/>
  <c r="I185" i="1"/>
  <c r="L185" i="1" s="1"/>
  <c r="I186" i="1"/>
  <c r="L186" i="1" s="1"/>
  <c r="I187" i="1"/>
  <c r="L187" i="1" s="1"/>
  <c r="I188" i="1"/>
  <c r="L188" i="1" s="1"/>
  <c r="I189" i="1"/>
  <c r="L189" i="1" s="1"/>
  <c r="I190" i="1"/>
  <c r="L190" i="1" s="1"/>
  <c r="I191" i="1"/>
  <c r="L191" i="1" s="1"/>
  <c r="I192" i="1"/>
  <c r="L192" i="1" s="1"/>
  <c r="I193" i="1"/>
  <c r="L193" i="1" s="1"/>
  <c r="I194" i="1"/>
  <c r="L194" i="1" s="1"/>
  <c r="I195" i="1"/>
  <c r="L195" i="1" s="1"/>
  <c r="I196" i="1"/>
  <c r="L196" i="1" s="1"/>
  <c r="I197" i="1"/>
  <c r="L197" i="1" s="1"/>
  <c r="I198" i="1"/>
  <c r="L198" i="1" s="1"/>
  <c r="I199" i="1"/>
  <c r="L199" i="1" s="1"/>
  <c r="I200" i="1"/>
  <c r="L200" i="1" s="1"/>
  <c r="I201" i="1"/>
  <c r="L201" i="1" s="1"/>
  <c r="I202" i="1"/>
  <c r="L202" i="1" s="1"/>
  <c r="I2" i="1"/>
  <c r="L2" i="1" s="1"/>
</calcChain>
</file>

<file path=xl/sharedStrings.xml><?xml version="1.0" encoding="utf-8"?>
<sst xmlns="http://schemas.openxmlformats.org/spreadsheetml/2006/main" count="3044" uniqueCount="389">
  <si>
    <t>Roll_No</t>
  </si>
  <si>
    <t>CLASSSEC</t>
  </si>
  <si>
    <t>Adno</t>
  </si>
  <si>
    <t>name</t>
  </si>
  <si>
    <t>Exam</t>
  </si>
  <si>
    <t>Social_Science</t>
  </si>
  <si>
    <t>II_LANGUAGE</t>
  </si>
  <si>
    <t>GENERAL_SCENCE</t>
  </si>
  <si>
    <t>English</t>
  </si>
  <si>
    <t>Maths</t>
  </si>
  <si>
    <t>III_Language</t>
  </si>
  <si>
    <t>AADHYA SATISH</t>
  </si>
  <si>
    <t>Unit Test- I</t>
  </si>
  <si>
    <t>AARADHANA K</t>
  </si>
  <si>
    <t>AB</t>
  </si>
  <si>
    <t>ab</t>
  </si>
  <si>
    <t>ABHI TARUNN</t>
  </si>
  <si>
    <t>ADVAITA KRISHNAN</t>
  </si>
  <si>
    <t>AARUSH PANDEY</t>
  </si>
  <si>
    <t>AARYA M</t>
  </si>
  <si>
    <t>AASHRITHA ANAND</t>
  </si>
  <si>
    <t>N ADITHYA</t>
  </si>
  <si>
    <t>ADWESH PADHAN</t>
  </si>
  <si>
    <t>AIZA ZOYA KHAN F</t>
  </si>
  <si>
    <t>AKASH N P</t>
  </si>
  <si>
    <t>R S ABHINAV</t>
  </si>
  <si>
    <t>N ANIRUDH</t>
  </si>
  <si>
    <t>S AMBAREESH</t>
  </si>
  <si>
    <t>AJAY KARTHIK P</t>
  </si>
  <si>
    <t>ANIRUDH RAJAGOPALAN</t>
  </si>
  <si>
    <t>AKASH S</t>
  </si>
  <si>
    <t>ASHVITHA S A</t>
  </si>
  <si>
    <t>Ab</t>
  </si>
  <si>
    <t>ARYA RAAM A</t>
  </si>
  <si>
    <t>ANANYA SUDHARSAN</t>
  </si>
  <si>
    <t>ANJANA ANAND</t>
  </si>
  <si>
    <t>APARNA S</t>
  </si>
  <si>
    <t>AYILYA M</t>
  </si>
  <si>
    <t>S AYUSH</t>
  </si>
  <si>
    <t>A BHAVYA DHARSHINI</t>
  </si>
  <si>
    <t>ARJUN K</t>
  </si>
  <si>
    <t>ARUN VAISHNAV S</t>
  </si>
  <si>
    <t>BHAVIK K</t>
  </si>
  <si>
    <t>CHAITANYA SSAI K</t>
  </si>
  <si>
    <t>CHITTABATTINI LAKSHITHA</t>
  </si>
  <si>
    <t>AVANTIKAA J</t>
  </si>
  <si>
    <t>CHAVI JAIN</t>
  </si>
  <si>
    <t>DEVESH GUGAN J S</t>
  </si>
  <si>
    <t>DAKSHNI J</t>
  </si>
  <si>
    <t>DAIVIK B R</t>
  </si>
  <si>
    <t>BARATH E</t>
  </si>
  <si>
    <t>R DEVESH</t>
  </si>
  <si>
    <t>S B DHANYA SRI</t>
  </si>
  <si>
    <t>K DHANYASHRI</t>
  </si>
  <si>
    <t>DEEKSHITA P</t>
  </si>
  <si>
    <t>B BHUVANESWARI</t>
  </si>
  <si>
    <t>DHARNIKA S</t>
  </si>
  <si>
    <t>EKANTHIKKA T</t>
  </si>
  <si>
    <t>DIVAASHRI R R</t>
  </si>
  <si>
    <t>DHANYA SRI V</t>
  </si>
  <si>
    <t>S B DAKSHAN</t>
  </si>
  <si>
    <t>C S DHIKSHA</t>
  </si>
  <si>
    <t>HAARDHAN SRIRAM</t>
  </si>
  <si>
    <t>HARSHAN R</t>
  </si>
  <si>
    <t>DIVYADARSHINI J</t>
  </si>
  <si>
    <t>DEVADARSHINI R</t>
  </si>
  <si>
    <t>K S ESHABHARTHI</t>
  </si>
  <si>
    <t>R HANISHKA</t>
  </si>
  <si>
    <t>HARSHIKA V</t>
  </si>
  <si>
    <t>G K GAGAN KARTHIK</t>
  </si>
  <si>
    <t>S DHEEKSHANA</t>
  </si>
  <si>
    <t>GANESH KARTHIK S</t>
  </si>
  <si>
    <t>HASHINI P</t>
  </si>
  <si>
    <t>HASNI A M</t>
  </si>
  <si>
    <t>JANANE SIVAM</t>
  </si>
  <si>
    <t>DIYA DINESH</t>
  </si>
  <si>
    <t>B G GAUTHAM</t>
  </si>
  <si>
    <t>HIRANMAYI C PRABHAKARAN</t>
  </si>
  <si>
    <t>M B JAYANEESHRI</t>
  </si>
  <si>
    <t>N KHESHAV</t>
  </si>
  <si>
    <t>ELIJAH ADAIKALA SELVARAJ</t>
  </si>
  <si>
    <t>HASHINI B</t>
  </si>
  <si>
    <t>IMAYA SREE S</t>
  </si>
  <si>
    <t>KAARUNYA V J</t>
  </si>
  <si>
    <t>LAKSHAN K</t>
  </si>
  <si>
    <t>C S GURUCHARAN</t>
  </si>
  <si>
    <t>HRUDAYAA L</t>
  </si>
  <si>
    <t>KANISHKA SANKAR IYER</t>
  </si>
  <si>
    <t>KAWIN S</t>
  </si>
  <si>
    <t>M LAKSHANA</t>
  </si>
  <si>
    <t>HARSHITHA S</t>
  </si>
  <si>
    <t>JAIDEV H</t>
  </si>
  <si>
    <t>KARTHIKEYA S</t>
  </si>
  <si>
    <t>S KHAVIN NARRAYAN</t>
  </si>
  <si>
    <t>V MADHUSHREE</t>
  </si>
  <si>
    <t>HRIDHAYA V</t>
  </si>
  <si>
    <t>KIRITHIGA D</t>
  </si>
  <si>
    <t>KAVANYA SHREE S V</t>
  </si>
  <si>
    <t>KUSHAL S</t>
  </si>
  <si>
    <t>R S NATCHATHIRA</t>
  </si>
  <si>
    <t>JAGANNIVASAN S</t>
  </si>
  <si>
    <t>KOUSHIK SRINATH S</t>
  </si>
  <si>
    <t>KRITHIKKESH D</t>
  </si>
  <si>
    <t>S LITHIKASREE</t>
  </si>
  <si>
    <t>R NITHIN VINAYAK</t>
  </si>
  <si>
    <t>M KAVIN AMIZHDHINI</t>
  </si>
  <si>
    <t>LINGESH RAGHAVAN R</t>
  </si>
  <si>
    <t>LEKHA SRI M.A</t>
  </si>
  <si>
    <t>R LOHITH</t>
  </si>
  <si>
    <t>RAGHAVANUJAN M</t>
  </si>
  <si>
    <t>LITHRAN N</t>
  </si>
  <si>
    <t>MAATESH U S</t>
  </si>
  <si>
    <t>LOGANILAVAN K</t>
  </si>
  <si>
    <t>K J MANASA</t>
  </si>
  <si>
    <t>SAHANA S</t>
  </si>
  <si>
    <t>T V MAADHAVA HARI</t>
  </si>
  <si>
    <t>MEDHAA G</t>
  </si>
  <si>
    <t>S MOHAMMED RAYYAAN</t>
  </si>
  <si>
    <t>MITHRA D G</t>
  </si>
  <si>
    <t>SAI SARVESH B</t>
  </si>
  <si>
    <t>M S MAHATRAYI</t>
  </si>
  <si>
    <t>NETRA T</t>
  </si>
  <si>
    <t>MOUNISH MARAN M</t>
  </si>
  <si>
    <t>MOHAMED NADEEM T</t>
  </si>
  <si>
    <t>SAI SINDHUJA B</t>
  </si>
  <si>
    <t>MUGILAN T</t>
  </si>
  <si>
    <t>PRITHIKA N</t>
  </si>
  <si>
    <t>NAMAN V</t>
  </si>
  <si>
    <t>NAVNEETH KRISHNA H</t>
  </si>
  <si>
    <t>SAMVRITH S A</t>
  </si>
  <si>
    <t>MUKUNTHAN S</t>
  </si>
  <si>
    <t>C G RITHVIK</t>
  </si>
  <si>
    <t>NITISH S</t>
  </si>
  <si>
    <t>POOJITHA VAHINI R</t>
  </si>
  <si>
    <t>SANJANA P</t>
  </si>
  <si>
    <t>M NAKULAN GANDHI</t>
  </si>
  <si>
    <t>RITIKA DASH</t>
  </si>
  <si>
    <t>POOJA V</t>
  </si>
  <si>
    <t>POOVITHA HARINI R</t>
  </si>
  <si>
    <t>SARVAGYA M</t>
  </si>
  <si>
    <t>NAVYA V</t>
  </si>
  <si>
    <t>H SAI MAANVI</t>
  </si>
  <si>
    <t>PRANAV HATHWAR</t>
  </si>
  <si>
    <t>PRANAV R</t>
  </si>
  <si>
    <t>M K SHAKTHI RAKSHANA</t>
  </si>
  <si>
    <t>PRANITHAA M</t>
  </si>
  <si>
    <t>SAI NALAN M</t>
  </si>
  <si>
    <t>A PRISHA</t>
  </si>
  <si>
    <t>PRANESH G R</t>
  </si>
  <si>
    <t>SHARMADHA L</t>
  </si>
  <si>
    <t>RAIHAN AHMED</t>
  </si>
  <si>
    <t>SATHVIKA R</t>
  </si>
  <si>
    <t>PUGAZHINI S</t>
  </si>
  <si>
    <t>RAKSHITA R</t>
  </si>
  <si>
    <t>SHRUTHI A</t>
  </si>
  <si>
    <t>RHEA YASH</t>
  </si>
  <si>
    <t>C S SATYA VIJAY</t>
  </si>
  <si>
    <t>S RAAJIVALOCHAN</t>
  </si>
  <si>
    <t>RIYA SENTHIL KUMAR</t>
  </si>
  <si>
    <t>S G SIVANI</t>
  </si>
  <si>
    <t>SAHANA SABARISH</t>
  </si>
  <si>
    <t>SAVITHA SRI J</t>
  </si>
  <si>
    <t>S SAHANA</t>
  </si>
  <si>
    <t>SAMYUKTHA V S</t>
  </si>
  <si>
    <t>SIVARAMAN M</t>
  </si>
  <si>
    <t>SARANYA HARIKUMAR</t>
  </si>
  <si>
    <t>A.SHANVIKA</t>
  </si>
  <si>
    <t>SAI KOUSHIK B</t>
  </si>
  <si>
    <t>SANJANA RAMAPRASAD</t>
  </si>
  <si>
    <t>E SRIVARUNIKA</t>
  </si>
  <si>
    <t>SARVESHWARAN N</t>
  </si>
  <si>
    <t>SHIVACHARAN S</t>
  </si>
  <si>
    <t>SAKTHI SHIVANI V</t>
  </si>
  <si>
    <t>SHARADA VEENA K</t>
  </si>
  <si>
    <t>SUDARSHANA SRIVATSAN</t>
  </si>
  <si>
    <t>K SHARAN RAJ</t>
  </si>
  <si>
    <t>S SHREE MRINALINI</t>
  </si>
  <si>
    <t>SHRADDHA NARASIMHAN</t>
  </si>
  <si>
    <t>SHREEDUTH K B</t>
  </si>
  <si>
    <t>SUDISHWAR N</t>
  </si>
  <si>
    <t>R SHIVANI</t>
  </si>
  <si>
    <t>B SIDDHESH</t>
  </si>
  <si>
    <t>A G SITHDHARTH</t>
  </si>
  <si>
    <t>SHRINITHI S</t>
  </si>
  <si>
    <t>SUSHANTH A</t>
  </si>
  <si>
    <t>SIDDHANTH D IYER</t>
  </si>
  <si>
    <t>S SMRITHI</t>
  </si>
  <si>
    <t>SREE LAKSHMI N</t>
  </si>
  <si>
    <t>S SRI SAMANVITHHA</t>
  </si>
  <si>
    <t>V VAIBHAV KRISHNA</t>
  </si>
  <si>
    <t>SIVASABARISH V</t>
  </si>
  <si>
    <t>SMRUTHI K</t>
  </si>
  <si>
    <t>SRICHARAN S</t>
  </si>
  <si>
    <t>THARUN M</t>
  </si>
  <si>
    <t>VEKSHANA S</t>
  </si>
  <si>
    <t>TANMAYI S CHAKRAVARTHY</t>
  </si>
  <si>
    <t>V SRIVATHSANGAN</t>
  </si>
  <si>
    <t>SUVESH A</t>
  </si>
  <si>
    <t>TOSHANI GHOSH</t>
  </si>
  <si>
    <t>R P YAZHINI</t>
  </si>
  <si>
    <t>VARUN VISHVESH B</t>
  </si>
  <si>
    <t>D TRILESH</t>
  </si>
  <si>
    <t>TEJUNYA SREE P M</t>
  </si>
  <si>
    <t>G VAIBHAV</t>
  </si>
  <si>
    <t>V YOSHNITHA</t>
  </si>
  <si>
    <t>VETHIKA V</t>
  </si>
  <si>
    <t>B R VIBNA</t>
  </si>
  <si>
    <t>VINITHRA DEVI V S</t>
  </si>
  <si>
    <t>VENDHAN VISHNU L</t>
  </si>
  <si>
    <t>VIDYUTH SAI J</t>
  </si>
  <si>
    <t>VISHVESH SAI S</t>
  </si>
  <si>
    <t>VIGNESH R</t>
  </si>
  <si>
    <t>VINAYAK D</t>
  </si>
  <si>
    <t>M K VISHWESH KANNAA</t>
  </si>
  <si>
    <t>28 5</t>
  </si>
  <si>
    <t>YASHWANTH V S</t>
  </si>
  <si>
    <t>VISHAKAN R</t>
  </si>
  <si>
    <t>CSC_PRIMARY</t>
  </si>
  <si>
    <t>Unit Test-II</t>
  </si>
  <si>
    <t>27 .5</t>
  </si>
  <si>
    <t>Enrichment-1</t>
  </si>
  <si>
    <t>A</t>
  </si>
  <si>
    <t>Enrichment-2</t>
  </si>
  <si>
    <t>Art_Education</t>
  </si>
  <si>
    <t>English_Recitation</t>
  </si>
  <si>
    <t>IIIL_ORAL</t>
  </si>
  <si>
    <t>IIL_Recitation</t>
  </si>
  <si>
    <t>Quiz</t>
  </si>
  <si>
    <t>OD</t>
  </si>
  <si>
    <t>5 5</t>
  </si>
  <si>
    <t>Yes</t>
  </si>
  <si>
    <t>Good</t>
  </si>
  <si>
    <t>Regular</t>
  </si>
  <si>
    <t>81/83</t>
  </si>
  <si>
    <t>Secured first place in Hindi song competition - Lit. fest 2024 Secured 3rd place in Hindi Mono acting - LITSAV 2024 conducted by BVM</t>
  </si>
  <si>
    <t>Participated in long jump</t>
  </si>
  <si>
    <t>shot put</t>
  </si>
  <si>
    <t>Irregular</t>
  </si>
  <si>
    <t>72.5/83</t>
  </si>
  <si>
    <t xml:space="preserve"> shot put</t>
  </si>
  <si>
    <t>83/83</t>
  </si>
  <si>
    <t>Participated in Independence Day celebration-choir</t>
  </si>
  <si>
    <t>82/83</t>
  </si>
  <si>
    <t>Participated in English Monoacting competition - Lit. Fest 2024</t>
  </si>
  <si>
    <t>76/83</t>
  </si>
  <si>
    <t>Participated in English oratorical Endowment competition and selected for Finals</t>
  </si>
  <si>
    <t>Participted in Sanskrit Recitation competition-Lit Fest'24</t>
  </si>
  <si>
    <t>77/83</t>
  </si>
  <si>
    <t>Participated in Independence day programme- choir</t>
  </si>
  <si>
    <t>79.5/83</t>
  </si>
  <si>
    <t>Participated in Independence Day and Teachers' Day programmes - choir</t>
  </si>
  <si>
    <t>79/83</t>
  </si>
  <si>
    <t>Participated in Annual Endowment English Oratorical Competition</t>
  </si>
  <si>
    <t>78/83</t>
  </si>
  <si>
    <t>80/83</t>
  </si>
  <si>
    <t>Participated in Independence Day and Teachers day programmes - choir</t>
  </si>
  <si>
    <t>Participated in Independence day programme - choir</t>
  </si>
  <si>
    <t>Participated in Annual Endowment and PSES Golden Jubilee Celebration - Sanskrit Recitation competition Participated in Annual Endowment Quiz Competition</t>
  </si>
  <si>
    <t>76.5/83</t>
  </si>
  <si>
    <t>Secured 1st place in Sanskrit Endowment and Sanskrit recitation competition - Lit fest 2024 Secured first place in Sanskrit Recitation competition - PSES Golden Jubilee celebration</t>
  </si>
  <si>
    <t>78.5/83</t>
  </si>
  <si>
    <t>Participated in Annual Endowment Quiz competition</t>
  </si>
  <si>
    <t>Participated in Annual Endowment Quiz Competition</t>
  </si>
  <si>
    <t>Secured 3rd place in 200 m race</t>
  </si>
  <si>
    <t>Participated in Annual Endowment English Oratorical competition and participated in Sanskrit Recitation Competition - Lit.Fest 2024</t>
  </si>
  <si>
    <t>Participated in Annual Endowment English Oratorical competition and selected for Finals</t>
  </si>
  <si>
    <t>72/83</t>
  </si>
  <si>
    <t>Secured 3rd place in shot put throw</t>
  </si>
  <si>
    <t>No</t>
  </si>
  <si>
    <t>Secured 1st place in 100m</t>
  </si>
  <si>
    <t>2nd place in shot put and 3rd place in long jump and 200 m race</t>
  </si>
  <si>
    <t>Participated in Sanskrit Endowment competition and Sanskrit Recitation competition - Lit. Fest 2024 Participated in Sanskrit Recitation competition -PSES Golden Jubilee Celebration</t>
  </si>
  <si>
    <t>Participated in Annual Endowment Sanskrit Recitation Competition</t>
  </si>
  <si>
    <t>Participated in Annual Endowment Quiz Competition and English Monoacting Competition - Lit.Fest 2024</t>
  </si>
  <si>
    <t>70/83</t>
  </si>
  <si>
    <t>Participated in Annual Endowment English oratorical competition and mono acting - Lit fest 2024 Secured first place in Role play in Litsav 2024 conducted by Bala Vidya Mandir.</t>
  </si>
  <si>
    <t xml:space="preserve"> shotput</t>
  </si>
  <si>
    <t>57/83</t>
  </si>
  <si>
    <t>.</t>
  </si>
  <si>
    <t>80.5/83</t>
  </si>
  <si>
    <t>Participated in Annual Endowment English oratorical competition.</t>
  </si>
  <si>
    <t>75/83</t>
  </si>
  <si>
    <t>Secured 2nd place in 4 Ã—100m relay. Participated in long jump</t>
  </si>
  <si>
    <t>Participated in Annual endowment Quiz competition and English oratorical competition. Secured 3rd place in Sanskrit recitation competition - Lit fest 2024 Selected for preliminary level in Ganesh pancharatnam recitation competition - PS educational society Golden jubilee celebration.</t>
  </si>
  <si>
    <t>64/83</t>
  </si>
  <si>
    <t>74/83</t>
  </si>
  <si>
    <t>Participated in Annual Endowment English oratorical competition. Secured 2nd place in art competition - P. S educational society Golden jubilee celebration.</t>
  </si>
  <si>
    <t>Secured 1st place in 4Ã—100m relay. Participated in long jump</t>
  </si>
  <si>
    <t>69.5/83</t>
  </si>
  <si>
    <t>Participated in Annual endowment Quiz competition</t>
  </si>
  <si>
    <t>Participated in Annual Endowment English oratorical competition and Independence day celebration - choir.</t>
  </si>
  <si>
    <t>Participated in Annual endowment Quiz competition Secured 2nd place in Hindi Endowment speech competition</t>
  </si>
  <si>
    <t>Secured 3rd place in state level drawing competition - Marina sports academy Participated in Annual Endowment English oratorical competition.</t>
  </si>
  <si>
    <t>.Participated in Annual endowment Quiz competition</t>
  </si>
  <si>
    <t>68/83</t>
  </si>
  <si>
    <t>Participated in Annual endowment Quiz competition. Secured first place in Role play in Litsav 2024 conducted by Bala Vidya Mandir</t>
  </si>
  <si>
    <t>81.5/83</t>
  </si>
  <si>
    <t>Participated in mono acting competition - Lit fest 2024</t>
  </si>
  <si>
    <t>65/83</t>
  </si>
  <si>
    <t>Participated in AMTI exam conducted by NMTC.</t>
  </si>
  <si>
    <t>Participated in Sanskrit recitation competition- Literary Fest 2024. Participated in Annual Endowment quiz competition. Participated in AMTI exam conducted by NMTC.</t>
  </si>
  <si>
    <t>Secured 1st place in 4x100m relay. Participated in long jump</t>
  </si>
  <si>
    <t>Won 1st prize in inter school art competition conducted by PS Educational society(Golden jubilee celebration). Participated in Annual Endowment quiz competition.</t>
  </si>
  <si>
    <t>82.5/83</t>
  </si>
  <si>
    <t>Selected for finals in Annual Endownment English Oratorical competition. Selected for finals in monoacting- Literary Fest 2024. Participated in Annual Endowment quiz competition. Participated in Sanskrit recitation competition-Literary Fest 2024.</t>
  </si>
  <si>
    <t>Participated in Annual Endowment English Oratorical competition. Participated in AMTI exam conducted by NMTC.</t>
  </si>
  <si>
    <t>Participated in Annual Endowment English Oratorical competition. Participated in AMTI exam conducted by MMTC.</t>
  </si>
  <si>
    <t>Selected for finals in Annual Endowment English Oratorical competition. Participated in Annual Endowment quiz competition. Participated in AMTI exam conducted by NMTC.</t>
  </si>
  <si>
    <t>Participated in Annual Endowment English Oratorical competition. Participated in Annual Endowment quiz competition.</t>
  </si>
  <si>
    <t>Participated in Sanskrit recitation competition-Literary Fest 2024. Participated in Annual Endowment quiz competition.</t>
  </si>
  <si>
    <t>69/83</t>
  </si>
  <si>
    <t>Participated in Annual Endowment English Oratorical competition. Participated in Annual Endowment quiz competition. Participated in AMTI exam conducted by NMTC.</t>
  </si>
  <si>
    <t>Participated in Annual Endowment quiz competition.</t>
  </si>
  <si>
    <t>Selected for finals in Annual Endowment English Monoacting competition-Literary Fest 2024.</t>
  </si>
  <si>
    <t>73/83</t>
  </si>
  <si>
    <t>Participated in Annual Endowment English Monoacting competition- Literary Fest 2024. Participated in Annual Endowment quiz competition.</t>
  </si>
  <si>
    <t>74.5/83</t>
  </si>
  <si>
    <t>Secured 3rd place in 4x100m relay. Participated in long jump</t>
  </si>
  <si>
    <t>Participated in Tamil recitation competition- Literary Fest 2024. Participated in Annual Endowment Sanskrit recitation competition-Literary Fest 2024. Participated in Annual Endowment quiz competition. Participated in Independence day celebration. Participated in AMTI exam conducted by NMTC.</t>
  </si>
  <si>
    <t>Participated in annual endowment quiz.</t>
  </si>
  <si>
    <t>Secured second place in 100m girls</t>
  </si>
  <si>
    <t xml:space="preserve"> first place in 200m girls</t>
  </si>
  <si>
    <t>Excellent</t>
  </si>
  <si>
    <t>Participated in AMTI exam</t>
  </si>
  <si>
    <t>1. Secured fourth place in 200m boys and second place in long jump boys. 2. participated in 100m</t>
  </si>
  <si>
    <t xml:space="preserve"> 400m relay and shotput</t>
  </si>
  <si>
    <t>73.5/83</t>
  </si>
  <si>
    <t>participated in 100m</t>
  </si>
  <si>
    <t xml:space="preserve"> 200m</t>
  </si>
  <si>
    <t>-</t>
  </si>
  <si>
    <t>Participated in annual endowment sanskrit recitition competition.</t>
  </si>
  <si>
    <t>1. Participated in annual endowment quiz. 2. Participated in AMTI exam.</t>
  </si>
  <si>
    <t>1. Participated in annual endowment quiz. 2. Got consolation prize in Tamil poem recitation ( Krishna Jayanthi competition - conducted in Vidya Mandir school) 3. Participated in annual English endowment speech.</t>
  </si>
  <si>
    <t>1. Participated in AMTI exam. 2. Participated in Sanskrit recitation competition. 3. Participated in annual endowment quiz.</t>
  </si>
  <si>
    <t>1. Secured first place in role play ( Lit sav- English- conducted by BVM ) 2. Participated in annual endowment quiz.</t>
  </si>
  <si>
    <t>77.5/83</t>
  </si>
  <si>
    <t>71/83</t>
  </si>
  <si>
    <t>1. Participated in annual endowment quiz 2. Participated in Annual endowment Sanskrit recitation competition.</t>
  </si>
  <si>
    <t>Participated in AMTI exam.</t>
  </si>
  <si>
    <t>Participated in annual endowment quiz</t>
  </si>
  <si>
    <t>1. Participated in AMTI exam. 2. Participated in annual endowment quiz.</t>
  </si>
  <si>
    <t>66.5/83</t>
  </si>
  <si>
    <t>1. Participated in Literary fest - Sanskrit recitation competition. 2. Participated in annual endowment quiz.</t>
  </si>
  <si>
    <t>Participated in Annual endowment Sanskrit recitation competition.</t>
  </si>
  <si>
    <t>66/83</t>
  </si>
  <si>
    <t>1. Participated in Annual endowment Sanskrit recitation competition. 2. Participated in AMTI exam. 3. Participated in Literary fest - Sanskrit recitation competition. 4. Got third prize in Sanskrit recitation competition - P.S. Senior Secondary School Golden Jubilee celebrations. 5. Got second prize in Literary fest (English) - Monoacting.</t>
  </si>
  <si>
    <t>Participated in Annual endowment quiz competition.</t>
  </si>
  <si>
    <t>63.5/83</t>
  </si>
  <si>
    <t>1. Participated in 100m</t>
  </si>
  <si>
    <t>Participated in Annual Endowment Sanskrit recitation competition</t>
  </si>
  <si>
    <t>Participated in mono acting competition</t>
  </si>
  <si>
    <t xml:space="preserve"> Annual Endowment English oratorical competition and Quiz competition</t>
  </si>
  <si>
    <t>Secured first place in Annual Endowment Quiz competition</t>
  </si>
  <si>
    <t>Participated in Annual Endowment English oratorical competition</t>
  </si>
  <si>
    <t>Secured first place in Role play in Litsav 2024 conducted by Birla Vidya Mandir</t>
  </si>
  <si>
    <t>Participated in Annual Endowment English oratorical competition and mono acting competition - Litfest 2024</t>
  </si>
  <si>
    <t>Participated in drawing competition- Sri Krishna Jayanti Fest 24</t>
  </si>
  <si>
    <t>Participated in Annual Endowment Quiz competition and drawing competition- Sri Krishna Jayanti Fest 24</t>
  </si>
  <si>
    <t>Secured first place in Role play in Litsav 2024 conducted by BalaVidya Mandir</t>
  </si>
  <si>
    <t>Participated in mono acting competition - Litfest 2024</t>
  </si>
  <si>
    <t>Secured first place in Annual Endowment English oratorical competition and second place in drawing competition- Sri Krishna Jayanti Fest. Participated in Hindi mono acting competition in Litsav 2024 conducted by BalaVidya Mandir</t>
  </si>
  <si>
    <t>68.5/83</t>
  </si>
  <si>
    <t>Participated in Annual Endowment Quiz and English oratorical competition and mono acting competition - Litfest 2024</t>
  </si>
  <si>
    <t>Participated in Choir on Independence day</t>
  </si>
  <si>
    <t>Secured first place in mono acting competition - Litfest 2024 Secured first place in Role play in Litsav 2024; conducted by BalaVidya Mandir.</t>
  </si>
  <si>
    <t>Secured second place in 400m relay and third place in shotput .</t>
  </si>
  <si>
    <t>Participated in Annual Endowment quiz competition and mono acting competition - Litfest 2024</t>
  </si>
  <si>
    <t>67/83</t>
  </si>
  <si>
    <t>Secured first place in 400m relay</t>
  </si>
  <si>
    <t xml:space="preserve"> second place in 200m dash and third place in 100m dash</t>
  </si>
  <si>
    <t>T1</t>
  </si>
  <si>
    <t>T2</t>
  </si>
  <si>
    <t>T3</t>
  </si>
  <si>
    <t>Att</t>
  </si>
  <si>
    <t>Scholastic</t>
  </si>
  <si>
    <t>Sports</t>
  </si>
  <si>
    <t>Secured 2nd place in 4 X 100m relay. Participated in long jump</t>
  </si>
  <si>
    <t>Sports 2</t>
  </si>
  <si>
    <t>Eng</t>
  </si>
  <si>
    <t>II-Lan</t>
  </si>
  <si>
    <t>Mat</t>
  </si>
  <si>
    <t>GS</t>
  </si>
  <si>
    <t>SS</t>
  </si>
  <si>
    <t>Quiz1</t>
  </si>
  <si>
    <t>V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</si>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</sst>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7">
    <xf numFmtId="0" fontId="0" fillId="0" borderId="0" xfId="0"/>
    <xf numFmtId="20" fontId="0" fillId="0" borderId="0" xfId="0" applyNumberFormat="1"/>
    <xf numFmtId="0" fontId="2" fillId="3" borderId="0" xfId="2"/>
    <xf numFmtId="0" fontId="1" fillId="2" borderId="0" xfId="1"/>
    <xf numFmtId="0" fontId="3" fillId="4" borderId="0" xfId="3"/>
    <xf numFmtId="20" fontId="2" fillId="3" borderId="0" xfId="2" applyNumberFormat="1"/>
    <xf numFmtId="46" fontId="2" fillId="3" borderId="0" xfId="2" applyNumberForma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2"/>
  <sheetViews>
    <sheetView tabSelected="1" workbookViewId="0">
      <selection activeCell="BP1" sqref="BP1:BS1048576"/>
    </sheetView>
  </sheetViews>
  <sheetFormatPr defaultRowHeight="15" x14ac:dyDescent="0.25"/>
  <cols>
    <col min="6" max="6" width="10.5703125" bestFit="1" customWidth="1"/>
    <col min="7" max="7" width="9.140625" style="2" customWidth="1"/>
    <col min="8" max="8" width="9.140625" style="3" customWidth="1"/>
    <col min="9" max="9" width="9.140625" style="4" customWidth="1"/>
    <col min="10" max="10" width="9.140625" customWidth="1"/>
    <col min="11" max="11" width="9.140625" style="2" customWidth="1"/>
    <col min="12" max="12" width="9.140625" customWidth="1"/>
    <col min="13" max="13" width="12.85546875" style="2" bestFit="1" customWidth="1"/>
    <col min="14" max="14" width="9.140625" style="3" customWidth="1"/>
    <col min="15" max="15" width="9.140625" style="4" customWidth="1"/>
    <col min="16" max="16" width="9.140625" customWidth="1"/>
    <col min="17" max="17" width="9.140625" style="2" customWidth="1"/>
    <col min="18" max="18" width="9.140625" customWidth="1"/>
    <col min="19" max="19" width="9.140625" style="2" customWidth="1"/>
    <col min="20" max="20" width="9.140625" style="3" customWidth="1"/>
    <col min="21" max="21" width="9.140625" style="4" customWidth="1"/>
    <col min="22" max="22" width="9.140625" customWidth="1"/>
    <col min="23" max="23" width="9.140625" style="2" customWidth="1"/>
    <col min="24" max="24" width="9.140625" customWidth="1"/>
    <col min="25" max="25" width="16.85546875" style="2" bestFit="1" customWidth="1"/>
    <col min="26" max="26" width="9.140625" style="3" customWidth="1"/>
    <col min="27" max="27" width="9.140625" style="4" customWidth="1"/>
    <col min="28" max="28" width="9.140625" customWidth="1"/>
    <col min="29" max="29" width="9.140625" style="2" customWidth="1"/>
    <col min="30" max="30" width="9.140625" customWidth="1"/>
    <col min="31" max="31" width="14" style="2" bestFit="1" customWidth="1"/>
    <col min="32" max="32" width="9.140625" style="3" customWidth="1"/>
    <col min="33" max="33" width="9.140625" style="4" customWidth="1"/>
    <col min="34" max="34" width="9.140625" customWidth="1"/>
    <col min="35" max="35" width="9.140625" style="2" customWidth="1"/>
    <col min="36" max="36" width="9.140625" customWidth="1"/>
    <col min="37" max="37" width="9.140625" style="2" customWidth="1"/>
    <col min="38" max="38" width="9.140625" style="3" customWidth="1"/>
    <col min="39" max="39" width="9.140625" style="4" customWidth="1"/>
    <col min="40" max="40" width="9.140625" style="2" customWidth="1"/>
    <col min="41" max="41" width="9.140625" style="3" customWidth="1"/>
    <col min="42" max="42" width="9.140625" style="4" customWidth="1"/>
    <col min="43" max="44" width="9.140625" customWidth="1"/>
    <col min="51" max="52" width="10.42578125" customWidth="1"/>
    <col min="53" max="53" width="41.140625" customWidth="1"/>
    <col min="54" max="54" width="20.140625" customWidth="1"/>
    <col min="55" max="55" width="10.7109375" bestFit="1" customWidth="1"/>
    <col min="56" max="61" width="9.140625" customWidth="1"/>
    <col min="62" max="62" width="12.85546875" customWidth="1"/>
    <col min="63" max="67" width="9.140625" customWidth="1"/>
  </cols>
  <sheetData>
    <row r="1" spans="1:67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s="2" t="s">
        <v>8</v>
      </c>
      <c r="H1" s="3" t="s">
        <v>8</v>
      </c>
      <c r="I1" s="4" t="s">
        <v>8</v>
      </c>
      <c r="J1" t="s">
        <v>8</v>
      </c>
      <c r="K1" s="2" t="s">
        <v>8</v>
      </c>
      <c r="L1" t="s">
        <v>378</v>
      </c>
      <c r="M1" s="2" t="s">
        <v>6</v>
      </c>
      <c r="N1" s="3" t="s">
        <v>6</v>
      </c>
      <c r="O1" s="4" t="s">
        <v>6</v>
      </c>
      <c r="P1" t="s">
        <v>6</v>
      </c>
      <c r="Q1" s="2" t="s">
        <v>6</v>
      </c>
      <c r="R1" t="s">
        <v>379</v>
      </c>
      <c r="S1" s="2" t="s">
        <v>9</v>
      </c>
      <c r="T1" s="3" t="s">
        <v>9</v>
      </c>
      <c r="U1" s="4" t="s">
        <v>9</v>
      </c>
      <c r="V1" t="s">
        <v>9</v>
      </c>
      <c r="W1" s="2" t="s">
        <v>9</v>
      </c>
      <c r="X1" t="s">
        <v>380</v>
      </c>
      <c r="Y1" s="2" t="s">
        <v>7</v>
      </c>
      <c r="Z1" s="3" t="s">
        <v>7</v>
      </c>
      <c r="AA1" s="4" t="s">
        <v>7</v>
      </c>
      <c r="AB1" t="s">
        <v>7</v>
      </c>
      <c r="AC1" s="2" t="s">
        <v>7</v>
      </c>
      <c r="AD1" t="s">
        <v>381</v>
      </c>
      <c r="AE1" s="2" t="s">
        <v>5</v>
      </c>
      <c r="AF1" s="3" t="s">
        <v>5</v>
      </c>
      <c r="AG1" s="4" t="s">
        <v>5</v>
      </c>
      <c r="AH1" t="s">
        <v>5</v>
      </c>
      <c r="AI1" s="2" t="s">
        <v>5</v>
      </c>
      <c r="AJ1" t="s">
        <v>382</v>
      </c>
      <c r="AK1" s="2" t="s">
        <v>10</v>
      </c>
      <c r="AL1" s="3" t="s">
        <v>10</v>
      </c>
      <c r="AM1" s="4" t="s">
        <v>10</v>
      </c>
      <c r="AN1" s="2" t="s">
        <v>225</v>
      </c>
      <c r="AO1" s="3" t="s">
        <v>217</v>
      </c>
      <c r="AP1" s="4" t="s">
        <v>217</v>
      </c>
      <c r="AQ1" t="s">
        <v>223</v>
      </c>
      <c r="AR1" t="s">
        <v>224</v>
      </c>
      <c r="AS1" t="s">
        <v>226</v>
      </c>
      <c r="AT1" t="s">
        <v>227</v>
      </c>
      <c r="AU1" t="s">
        <v>383</v>
      </c>
      <c r="AV1" t="s">
        <v>370</v>
      </c>
      <c r="AW1" t="s">
        <v>371</v>
      </c>
      <c r="AX1" t="s">
        <v>372</v>
      </c>
      <c r="AY1" t="s">
        <v>373</v>
      </c>
      <c r="AZ1" t="s">
        <v>374</v>
      </c>
      <c r="BA1" t="s">
        <v>375</v>
      </c>
      <c r="BB1" t="s">
        <v>377</v>
      </c>
      <c r="BC1" t="s">
        <v>4</v>
      </c>
      <c r="BD1" t="s">
        <v>4</v>
      </c>
      <c r="BE1" t="s">
        <v>5</v>
      </c>
      <c r="BF1" t="s">
        <v>6</v>
      </c>
      <c r="BG1" t="s">
        <v>7</v>
      </c>
      <c r="BH1" t="s">
        <v>8</v>
      </c>
      <c r="BI1" t="s">
        <v>9</v>
      </c>
      <c r="BJ1" t="s">
        <v>4</v>
      </c>
      <c r="BK1" t="s">
        <v>5</v>
      </c>
      <c r="BL1" t="s">
        <v>6</v>
      </c>
      <c r="BM1" t="s">
        <v>7</v>
      </c>
      <c r="BN1" t="s">
        <v>8</v>
      </c>
      <c r="BO1" t="s">
        <v>9</v>
      </c>
    </row>
    <row r="2" spans="1:67" x14ac:dyDescent="0.25">
      <c r="A2">
        <v>1</v>
      </c>
      <c r="B2" t="s">
        <v>384</v>
      </c>
      <c r="C2" t="s">
        <v>221</v>
      </c>
      <c r="D2">
        <v>16158</v>
      </c>
      <c r="E2" t="s">
        <v>11</v>
      </c>
      <c r="F2" t="s">
        <v>12</v>
      </c>
      <c r="G2" s="2">
        <v>37.5</v>
      </c>
      <c r="H2" s="3">
        <v>38.5</v>
      </c>
      <c r="I2" s="4">
        <f>CEILING((N(G2)+N(H2))/80*10,0.5)</f>
        <v>9.5</v>
      </c>
      <c r="J2">
        <f t="shared" ref="J2:J65" si="0">CEILING((N(BH2)+N(BN2))/2,0.5)</f>
        <v>9.5</v>
      </c>
      <c r="K2" s="2">
        <v>72</v>
      </c>
      <c r="L2">
        <f>ROUND(N(I2) + N(J2) + N(K2), 0)</f>
        <v>91</v>
      </c>
      <c r="M2" s="2">
        <v>39.5</v>
      </c>
      <c r="N2" s="3">
        <v>39.5</v>
      </c>
      <c r="O2" s="4">
        <f>CEILING((N(M2)+N(N2))/80*10,0.5)</f>
        <v>10</v>
      </c>
      <c r="P2">
        <f t="shared" ref="P2:P65" si="1">CEILING((N(BF2)+N(BL2))/2,0.5)</f>
        <v>10</v>
      </c>
      <c r="Q2" s="2">
        <v>79</v>
      </c>
      <c r="R2">
        <f>ROUND(N(O2) + N(P2) + N(Q2), 0)</f>
        <v>99</v>
      </c>
      <c r="S2" s="2">
        <v>37.5</v>
      </c>
      <c r="T2" s="3">
        <v>36.5</v>
      </c>
      <c r="U2" s="4">
        <f>CEILING((N(S2)+N(T2))/80*10,0.5)</f>
        <v>9.5</v>
      </c>
      <c r="V2">
        <f t="shared" ref="V2:V65" si="2">CEILING((N(BI2)+N(BO2))/2,0.5)</f>
        <v>8</v>
      </c>
      <c r="W2" s="2">
        <v>73.5</v>
      </c>
      <c r="X2">
        <f>ROUND(N(U2) + N(V2) + N(W2), 0)</f>
        <v>91</v>
      </c>
      <c r="Y2" s="2">
        <v>36.5</v>
      </c>
      <c r="Z2" s="3">
        <v>39.5</v>
      </c>
      <c r="AA2" s="4">
        <f>CEILING((N(Y2)+N(Z2))/80*10,0.5)</f>
        <v>9.5</v>
      </c>
      <c r="AB2">
        <f t="shared" ref="AB2:AB65" si="3">CEILING((N(BG2)+N(BM2))/2,0.5)</f>
        <v>9.5</v>
      </c>
      <c r="AC2" s="2">
        <v>76</v>
      </c>
      <c r="AD2">
        <f>ROUND(N(AA2) + N(AB2) + N(AC2), 0)</f>
        <v>95</v>
      </c>
      <c r="AE2" s="2">
        <v>36</v>
      </c>
      <c r="AF2" s="3">
        <v>38</v>
      </c>
      <c r="AG2" s="4">
        <f>CEILING((N(AE2)+N(AF2))/80*10,0.5)</f>
        <v>9.5</v>
      </c>
      <c r="AH2">
        <f t="shared" ref="AH2:AH65" si="4">CEILING((N(BE2)+N(BK2))/2,0.5)</f>
        <v>9.5</v>
      </c>
      <c r="AI2" s="2">
        <v>77</v>
      </c>
      <c r="AJ2">
        <f>ROUND(N(AG2) + N(AH2) + N(AI2), 0)</f>
        <v>96</v>
      </c>
      <c r="AK2" s="2">
        <v>23</v>
      </c>
      <c r="AL2" s="3">
        <v>24.5</v>
      </c>
      <c r="AM2" s="4">
        <v>29.5</v>
      </c>
      <c r="AN2" s="2">
        <v>9</v>
      </c>
      <c r="AO2" s="3">
        <v>21</v>
      </c>
      <c r="AP2" s="4">
        <v>34.5</v>
      </c>
      <c r="AQ2">
        <v>8</v>
      </c>
      <c r="AR2">
        <v>9.5</v>
      </c>
      <c r="AS2">
        <v>10</v>
      </c>
      <c r="AT2">
        <v>16.5</v>
      </c>
      <c r="AU2">
        <f>CEILING(N(AT2)/2,0.5)</f>
        <v>8.5</v>
      </c>
      <c r="AV2" t="s">
        <v>230</v>
      </c>
      <c r="AW2" t="s">
        <v>231</v>
      </c>
      <c r="AX2" t="s">
        <v>232</v>
      </c>
      <c r="AY2" t="s">
        <v>233</v>
      </c>
      <c r="AZ2" t="s">
        <v>234</v>
      </c>
      <c r="BA2" t="s">
        <v>235</v>
      </c>
      <c r="BB2" t="s">
        <v>236</v>
      </c>
      <c r="BC2" t="s">
        <v>218</v>
      </c>
      <c r="BD2" t="s">
        <v>220</v>
      </c>
      <c r="BE2">
        <v>10</v>
      </c>
      <c r="BF2">
        <v>10</v>
      </c>
      <c r="BG2">
        <v>10</v>
      </c>
      <c r="BH2">
        <v>9.5</v>
      </c>
      <c r="BI2">
        <v>7</v>
      </c>
      <c r="BJ2" t="s">
        <v>222</v>
      </c>
      <c r="BK2">
        <v>9</v>
      </c>
      <c r="BL2">
        <v>10</v>
      </c>
      <c r="BM2">
        <v>8.5</v>
      </c>
      <c r="BN2">
        <v>9</v>
      </c>
      <c r="BO2">
        <v>9</v>
      </c>
    </row>
    <row r="3" spans="1:67" x14ac:dyDescent="0.25">
      <c r="A3">
        <v>2</v>
      </c>
      <c r="B3" t="s">
        <v>384</v>
      </c>
      <c r="C3" t="s">
        <v>221</v>
      </c>
      <c r="D3">
        <v>16173</v>
      </c>
      <c r="E3" t="s">
        <v>19</v>
      </c>
      <c r="F3" t="s">
        <v>12</v>
      </c>
      <c r="G3" s="2">
        <v>6.5</v>
      </c>
      <c r="H3" s="3">
        <v>9.5</v>
      </c>
      <c r="I3" s="4">
        <f t="shared" ref="I3:I66" si="5">CEILING((N(G3)+N(H3))/80*10,0.5)</f>
        <v>2</v>
      </c>
      <c r="J3">
        <f t="shared" si="0"/>
        <v>7.5</v>
      </c>
      <c r="K3" s="2">
        <v>18.5</v>
      </c>
      <c r="L3">
        <f t="shared" ref="L3:L66" si="6">ROUND(N(I3) + N(J3) + N(K3), 0)</f>
        <v>28</v>
      </c>
      <c r="M3" s="2">
        <v>15</v>
      </c>
      <c r="N3" s="3">
        <v>17.5</v>
      </c>
      <c r="O3" s="4">
        <f t="shared" ref="O3:O66" si="7">CEILING((N(M3)+N(N3))/80*10,0.5)</f>
        <v>4.5</v>
      </c>
      <c r="P3">
        <f t="shared" si="1"/>
        <v>10</v>
      </c>
      <c r="Q3" s="2">
        <v>26.5</v>
      </c>
      <c r="R3">
        <f t="shared" ref="R3:R66" si="8">ROUND(N(O3) + N(P3) + N(Q3), 0)</f>
        <v>41</v>
      </c>
      <c r="S3" s="2">
        <v>11</v>
      </c>
      <c r="T3" s="3">
        <v>8</v>
      </c>
      <c r="U3" s="4">
        <f t="shared" ref="U3:U66" si="9">CEILING((N(S3)+N(T3))/80*10,0.5)</f>
        <v>2.5</v>
      </c>
      <c r="V3">
        <f t="shared" si="2"/>
        <v>4</v>
      </c>
      <c r="W3" s="2">
        <v>21.5</v>
      </c>
      <c r="X3">
        <f t="shared" ref="X3:X66" si="10">ROUND(N(U3) + N(V3) + N(W3), 0)</f>
        <v>28</v>
      </c>
      <c r="Y3" s="2">
        <v>7.5</v>
      </c>
      <c r="Z3" s="3">
        <v>8</v>
      </c>
      <c r="AA3" s="4">
        <f t="shared" ref="AA3:AA66" si="11">CEILING((N(Y3)+N(Z3))/80*10,0.5)</f>
        <v>2</v>
      </c>
      <c r="AB3">
        <f t="shared" si="3"/>
        <v>7.5</v>
      </c>
      <c r="AC3" s="2">
        <v>21</v>
      </c>
      <c r="AD3">
        <f t="shared" ref="AD3:AD66" si="12">ROUND(N(AA3) + N(AB3) + N(AC3), 0)</f>
        <v>31</v>
      </c>
      <c r="AE3" s="2">
        <v>6.5</v>
      </c>
      <c r="AF3" s="3">
        <v>10</v>
      </c>
      <c r="AG3" s="4">
        <f t="shared" ref="AG3:AG66" si="13">CEILING((N(AE3)+N(AF3))/80*10,0.5)</f>
        <v>2.5</v>
      </c>
      <c r="AH3">
        <f t="shared" si="4"/>
        <v>4</v>
      </c>
      <c r="AI3" s="2">
        <v>16.5</v>
      </c>
      <c r="AJ3">
        <f t="shared" ref="AJ3:AJ66" si="14">ROUND(N(AG3) + N(AH3) + N(AI3), 0)</f>
        <v>23</v>
      </c>
      <c r="AK3" s="2">
        <v>5</v>
      </c>
      <c r="AL3" s="3">
        <v>7.5</v>
      </c>
      <c r="AM3" s="4">
        <v>4.5</v>
      </c>
      <c r="AN3" s="2">
        <v>4</v>
      </c>
      <c r="AO3" s="3">
        <v>13</v>
      </c>
      <c r="AP3" s="4">
        <v>21.5</v>
      </c>
      <c r="AQ3">
        <v>5</v>
      </c>
      <c r="AR3">
        <v>6</v>
      </c>
      <c r="AS3">
        <v>7</v>
      </c>
      <c r="AT3">
        <v>12.5</v>
      </c>
      <c r="AU3">
        <f t="shared" ref="AU3:AU66" si="15">CEILING(N(AT3)/2,0.5)</f>
        <v>6.5</v>
      </c>
      <c r="AV3" t="s">
        <v>230</v>
      </c>
      <c r="AW3" t="s">
        <v>231</v>
      </c>
      <c r="AX3" t="s">
        <v>232</v>
      </c>
      <c r="AY3" t="s">
        <v>233</v>
      </c>
      <c r="BA3" t="s">
        <v>235</v>
      </c>
      <c r="BB3" t="s">
        <v>236</v>
      </c>
      <c r="BC3" t="s">
        <v>218</v>
      </c>
      <c r="BD3" t="s">
        <v>220</v>
      </c>
      <c r="BE3">
        <v>2.5</v>
      </c>
      <c r="BF3">
        <v>10</v>
      </c>
      <c r="BG3">
        <v>9</v>
      </c>
      <c r="BH3">
        <v>7</v>
      </c>
      <c r="BI3">
        <v>3</v>
      </c>
      <c r="BJ3" t="s">
        <v>222</v>
      </c>
      <c r="BK3">
        <v>5</v>
      </c>
      <c r="BL3">
        <v>10</v>
      </c>
      <c r="BM3">
        <v>5.5</v>
      </c>
      <c r="BN3">
        <v>7.5</v>
      </c>
      <c r="BO3">
        <v>5</v>
      </c>
    </row>
    <row r="4" spans="1:67" x14ac:dyDescent="0.25">
      <c r="A4">
        <v>3</v>
      </c>
      <c r="B4" t="s">
        <v>384</v>
      </c>
      <c r="C4" t="s">
        <v>221</v>
      </c>
      <c r="D4">
        <v>16272</v>
      </c>
      <c r="E4" t="s">
        <v>24</v>
      </c>
      <c r="F4" t="s">
        <v>12</v>
      </c>
      <c r="G4" s="2">
        <v>4</v>
      </c>
      <c r="H4" s="3">
        <v>2</v>
      </c>
      <c r="I4" s="4">
        <f t="shared" si="5"/>
        <v>1</v>
      </c>
      <c r="J4">
        <f t="shared" si="0"/>
        <v>2.5</v>
      </c>
      <c r="K4" s="2">
        <v>10</v>
      </c>
      <c r="L4">
        <f t="shared" si="6"/>
        <v>14</v>
      </c>
      <c r="M4" s="2">
        <v>15</v>
      </c>
      <c r="N4" s="3" t="s">
        <v>32</v>
      </c>
      <c r="O4" s="4">
        <f t="shared" si="7"/>
        <v>2</v>
      </c>
      <c r="P4">
        <f t="shared" si="1"/>
        <v>3.5</v>
      </c>
      <c r="Q4" s="2">
        <v>19</v>
      </c>
      <c r="R4">
        <f t="shared" si="8"/>
        <v>25</v>
      </c>
      <c r="S4" s="2">
        <v>6</v>
      </c>
      <c r="T4" s="3">
        <v>5.5</v>
      </c>
      <c r="U4" s="4">
        <f t="shared" si="9"/>
        <v>1.5</v>
      </c>
      <c r="V4">
        <f t="shared" si="2"/>
        <v>2.5</v>
      </c>
      <c r="W4" s="2">
        <v>11.5</v>
      </c>
      <c r="X4">
        <f t="shared" si="10"/>
        <v>16</v>
      </c>
      <c r="Y4" s="2">
        <v>3.5</v>
      </c>
      <c r="Z4" s="3">
        <v>13</v>
      </c>
      <c r="AA4" s="4">
        <f t="shared" si="11"/>
        <v>2.5</v>
      </c>
      <c r="AB4">
        <f t="shared" si="3"/>
        <v>1</v>
      </c>
      <c r="AC4" s="2">
        <v>12</v>
      </c>
      <c r="AD4">
        <f t="shared" si="12"/>
        <v>16</v>
      </c>
      <c r="AE4" s="2">
        <v>6.5</v>
      </c>
      <c r="AF4" s="3">
        <v>9</v>
      </c>
      <c r="AG4" s="4">
        <f t="shared" si="13"/>
        <v>2</v>
      </c>
      <c r="AH4">
        <f t="shared" si="4"/>
        <v>3</v>
      </c>
      <c r="AI4" s="2">
        <v>8.5</v>
      </c>
      <c r="AJ4">
        <f t="shared" si="14"/>
        <v>14</v>
      </c>
      <c r="AK4" s="2">
        <v>3</v>
      </c>
      <c r="AL4" s="3">
        <v>4.5</v>
      </c>
      <c r="AM4" s="4">
        <v>1</v>
      </c>
      <c r="AN4" s="2">
        <v>3</v>
      </c>
      <c r="AO4" s="3">
        <v>7</v>
      </c>
      <c r="AP4" s="4">
        <v>18</v>
      </c>
      <c r="AQ4">
        <v>8</v>
      </c>
      <c r="AR4">
        <v>2</v>
      </c>
      <c r="AS4">
        <v>5</v>
      </c>
      <c r="AT4">
        <v>3.5</v>
      </c>
      <c r="AU4">
        <f t="shared" si="15"/>
        <v>2</v>
      </c>
      <c r="AV4" t="s">
        <v>230</v>
      </c>
      <c r="AW4" t="s">
        <v>231</v>
      </c>
      <c r="AX4" t="s">
        <v>237</v>
      </c>
      <c r="AY4" t="s">
        <v>238</v>
      </c>
      <c r="BA4" t="s">
        <v>235</v>
      </c>
      <c r="BB4" t="s">
        <v>239</v>
      </c>
      <c r="BC4" t="s">
        <v>218</v>
      </c>
      <c r="BD4" t="s">
        <v>220</v>
      </c>
      <c r="BE4">
        <v>1</v>
      </c>
      <c r="BF4">
        <v>7</v>
      </c>
      <c r="BG4">
        <v>1.5</v>
      </c>
      <c r="BH4">
        <v>5</v>
      </c>
      <c r="BI4">
        <v>2</v>
      </c>
      <c r="BJ4" t="s">
        <v>222</v>
      </c>
      <c r="BK4">
        <v>4.5</v>
      </c>
      <c r="BL4" t="s">
        <v>32</v>
      </c>
      <c r="BM4" t="s">
        <v>14</v>
      </c>
      <c r="BN4" t="s">
        <v>32</v>
      </c>
      <c r="BO4">
        <v>2.5</v>
      </c>
    </row>
    <row r="5" spans="1:67" x14ac:dyDescent="0.25">
      <c r="A5">
        <v>4</v>
      </c>
      <c r="B5" t="s">
        <v>384</v>
      </c>
      <c r="C5" t="s">
        <v>221</v>
      </c>
      <c r="D5">
        <v>18080</v>
      </c>
      <c r="E5" t="s">
        <v>29</v>
      </c>
      <c r="F5" t="s">
        <v>12</v>
      </c>
      <c r="G5" s="2">
        <v>20.5</v>
      </c>
      <c r="H5" s="3">
        <v>33</v>
      </c>
      <c r="I5" s="4">
        <f t="shared" si="5"/>
        <v>7</v>
      </c>
      <c r="J5">
        <f t="shared" si="0"/>
        <v>8.5</v>
      </c>
      <c r="K5" s="2">
        <v>54</v>
      </c>
      <c r="L5">
        <f t="shared" si="6"/>
        <v>70</v>
      </c>
      <c r="M5" s="2">
        <v>34.5</v>
      </c>
      <c r="N5" s="3">
        <v>32</v>
      </c>
      <c r="O5" s="4">
        <f t="shared" si="7"/>
        <v>8.5</v>
      </c>
      <c r="P5">
        <f t="shared" si="1"/>
        <v>7</v>
      </c>
      <c r="Q5" s="2">
        <v>60</v>
      </c>
      <c r="R5">
        <f t="shared" si="8"/>
        <v>76</v>
      </c>
      <c r="S5" s="2">
        <v>25</v>
      </c>
      <c r="T5" s="3">
        <v>18.5</v>
      </c>
      <c r="U5" s="4">
        <f t="shared" si="9"/>
        <v>5.5</v>
      </c>
      <c r="V5">
        <f t="shared" si="2"/>
        <v>5</v>
      </c>
      <c r="W5" s="2">
        <v>47</v>
      </c>
      <c r="X5">
        <f t="shared" si="10"/>
        <v>58</v>
      </c>
      <c r="Y5" s="2">
        <v>28</v>
      </c>
      <c r="Z5" s="3">
        <v>28.5</v>
      </c>
      <c r="AA5" s="4">
        <f t="shared" si="11"/>
        <v>7.5</v>
      </c>
      <c r="AB5">
        <f t="shared" si="3"/>
        <v>8.5</v>
      </c>
      <c r="AC5" s="2">
        <v>55</v>
      </c>
      <c r="AD5">
        <f t="shared" si="12"/>
        <v>71</v>
      </c>
      <c r="AE5" s="2">
        <v>32.5</v>
      </c>
      <c r="AF5" s="3">
        <v>32</v>
      </c>
      <c r="AG5" s="4">
        <f t="shared" si="13"/>
        <v>8.5</v>
      </c>
      <c r="AH5">
        <f t="shared" si="4"/>
        <v>8.5</v>
      </c>
      <c r="AI5" s="2">
        <v>61.5</v>
      </c>
      <c r="AJ5">
        <f t="shared" si="14"/>
        <v>79</v>
      </c>
      <c r="AK5" s="2">
        <v>18</v>
      </c>
      <c r="AL5" s="3">
        <v>14</v>
      </c>
      <c r="AM5" s="4">
        <v>14</v>
      </c>
      <c r="AN5" s="2">
        <v>3</v>
      </c>
      <c r="AO5" s="3">
        <v>19</v>
      </c>
      <c r="AP5" s="4">
        <v>22.5</v>
      </c>
      <c r="AQ5">
        <v>7</v>
      </c>
      <c r="AR5">
        <v>6.5</v>
      </c>
      <c r="AS5">
        <v>9</v>
      </c>
      <c r="AT5">
        <v>7</v>
      </c>
      <c r="AU5">
        <f t="shared" si="15"/>
        <v>3.5</v>
      </c>
      <c r="AV5" t="s">
        <v>230</v>
      </c>
      <c r="AW5" t="s">
        <v>231</v>
      </c>
      <c r="AX5" t="s">
        <v>232</v>
      </c>
      <c r="AY5" t="s">
        <v>240</v>
      </c>
      <c r="AZ5" t="s">
        <v>241</v>
      </c>
      <c r="BA5" t="s">
        <v>235</v>
      </c>
      <c r="BB5" t="s">
        <v>239</v>
      </c>
      <c r="BC5" t="s">
        <v>218</v>
      </c>
      <c r="BD5" t="s">
        <v>220</v>
      </c>
      <c r="BE5">
        <v>8.5</v>
      </c>
      <c r="BF5">
        <v>10</v>
      </c>
      <c r="BG5">
        <v>9.5</v>
      </c>
      <c r="BH5">
        <v>10</v>
      </c>
      <c r="BI5">
        <v>4</v>
      </c>
      <c r="BJ5" t="s">
        <v>222</v>
      </c>
      <c r="BK5">
        <v>8</v>
      </c>
      <c r="BL5">
        <v>4</v>
      </c>
      <c r="BM5">
        <v>7.5</v>
      </c>
      <c r="BN5">
        <v>6.5</v>
      </c>
      <c r="BO5">
        <v>6</v>
      </c>
    </row>
    <row r="6" spans="1:67" x14ac:dyDescent="0.25">
      <c r="A6">
        <v>5</v>
      </c>
      <c r="B6" t="s">
        <v>384</v>
      </c>
      <c r="C6" t="s">
        <v>221</v>
      </c>
      <c r="D6">
        <v>16255</v>
      </c>
      <c r="E6" t="s">
        <v>35</v>
      </c>
      <c r="F6" t="s">
        <v>12</v>
      </c>
      <c r="G6" s="2">
        <v>29.5</v>
      </c>
      <c r="H6" s="3">
        <v>21.5</v>
      </c>
      <c r="I6" s="4">
        <f t="shared" si="5"/>
        <v>6.5</v>
      </c>
      <c r="J6">
        <f t="shared" si="0"/>
        <v>5.5</v>
      </c>
      <c r="K6" s="2">
        <v>40.5</v>
      </c>
      <c r="L6">
        <f t="shared" si="6"/>
        <v>53</v>
      </c>
      <c r="M6" s="2">
        <v>26.5</v>
      </c>
      <c r="N6" s="3">
        <v>32</v>
      </c>
      <c r="O6" s="4">
        <f t="shared" si="7"/>
        <v>7.5</v>
      </c>
      <c r="P6">
        <f t="shared" si="1"/>
        <v>9</v>
      </c>
      <c r="Q6" s="2">
        <v>42</v>
      </c>
      <c r="R6">
        <f t="shared" si="8"/>
        <v>59</v>
      </c>
      <c r="S6" s="2">
        <v>11</v>
      </c>
      <c r="T6" s="3">
        <v>19.5</v>
      </c>
      <c r="U6" s="4">
        <f t="shared" si="9"/>
        <v>4</v>
      </c>
      <c r="V6">
        <f t="shared" si="2"/>
        <v>3.5</v>
      </c>
      <c r="W6" s="2">
        <v>51</v>
      </c>
      <c r="X6">
        <f t="shared" si="10"/>
        <v>59</v>
      </c>
      <c r="Y6" s="2">
        <v>24.5</v>
      </c>
      <c r="Z6" s="3">
        <v>25.5</v>
      </c>
      <c r="AA6" s="4">
        <f t="shared" si="11"/>
        <v>6.5</v>
      </c>
      <c r="AB6">
        <f t="shared" si="3"/>
        <v>7.5</v>
      </c>
      <c r="AC6" s="2">
        <v>44</v>
      </c>
      <c r="AD6">
        <f t="shared" si="12"/>
        <v>58</v>
      </c>
      <c r="AE6" s="2">
        <v>21</v>
      </c>
      <c r="AF6" s="3">
        <v>24.5</v>
      </c>
      <c r="AG6" s="4">
        <f t="shared" si="13"/>
        <v>6</v>
      </c>
      <c r="AH6">
        <f t="shared" si="4"/>
        <v>8.5</v>
      </c>
      <c r="AI6" s="2">
        <v>42</v>
      </c>
      <c r="AJ6">
        <f t="shared" si="14"/>
        <v>57</v>
      </c>
      <c r="AK6" s="2">
        <v>11</v>
      </c>
      <c r="AL6" s="3">
        <v>16.5</v>
      </c>
      <c r="AM6" s="4">
        <v>19</v>
      </c>
      <c r="AN6" s="2">
        <v>5</v>
      </c>
      <c r="AO6" s="3">
        <v>18</v>
      </c>
      <c r="AP6" s="4">
        <v>30</v>
      </c>
      <c r="AQ6">
        <v>7</v>
      </c>
      <c r="AR6">
        <v>7.5</v>
      </c>
      <c r="AS6">
        <v>10</v>
      </c>
      <c r="AT6">
        <v>15</v>
      </c>
      <c r="AU6">
        <f t="shared" si="15"/>
        <v>7.5</v>
      </c>
      <c r="AV6" t="s">
        <v>230</v>
      </c>
      <c r="AW6" t="s">
        <v>231</v>
      </c>
      <c r="AX6" t="s">
        <v>232</v>
      </c>
      <c r="AY6" t="s">
        <v>242</v>
      </c>
      <c r="AZ6" t="s">
        <v>243</v>
      </c>
      <c r="BA6" t="s">
        <v>235</v>
      </c>
      <c r="BB6" t="s">
        <v>239</v>
      </c>
      <c r="BC6" t="s">
        <v>218</v>
      </c>
      <c r="BD6" t="s">
        <v>220</v>
      </c>
      <c r="BE6">
        <v>8</v>
      </c>
      <c r="BF6">
        <v>10</v>
      </c>
      <c r="BG6">
        <v>9</v>
      </c>
      <c r="BH6">
        <v>5</v>
      </c>
      <c r="BI6">
        <v>2.5</v>
      </c>
      <c r="BJ6" t="s">
        <v>222</v>
      </c>
      <c r="BK6">
        <v>9</v>
      </c>
      <c r="BL6">
        <v>7.5</v>
      </c>
      <c r="BM6">
        <v>6</v>
      </c>
      <c r="BN6">
        <v>5.5</v>
      </c>
      <c r="BO6">
        <v>4.5</v>
      </c>
    </row>
    <row r="7" spans="1:67" x14ac:dyDescent="0.25">
      <c r="A7">
        <v>6</v>
      </c>
      <c r="B7" t="s">
        <v>384</v>
      </c>
      <c r="C7" t="s">
        <v>221</v>
      </c>
      <c r="D7">
        <v>16381</v>
      </c>
      <c r="E7" t="s">
        <v>40</v>
      </c>
      <c r="F7" t="s">
        <v>12</v>
      </c>
      <c r="G7" s="2">
        <v>33.5</v>
      </c>
      <c r="H7" s="3">
        <v>25</v>
      </c>
      <c r="I7" s="4">
        <f t="shared" si="5"/>
        <v>7.5</v>
      </c>
      <c r="J7">
        <f t="shared" si="0"/>
        <v>9</v>
      </c>
      <c r="K7" s="2">
        <v>63</v>
      </c>
      <c r="L7">
        <f t="shared" si="6"/>
        <v>80</v>
      </c>
      <c r="M7" s="2">
        <v>38</v>
      </c>
      <c r="N7" s="3">
        <v>37.5</v>
      </c>
      <c r="O7" s="4">
        <f t="shared" si="7"/>
        <v>9.5</v>
      </c>
      <c r="P7">
        <f t="shared" si="1"/>
        <v>9.5</v>
      </c>
      <c r="Q7" s="2">
        <v>72.5</v>
      </c>
      <c r="R7">
        <f t="shared" si="8"/>
        <v>92</v>
      </c>
      <c r="S7" s="2">
        <v>34.5</v>
      </c>
      <c r="T7" s="3">
        <v>32</v>
      </c>
      <c r="U7" s="4">
        <f t="shared" si="9"/>
        <v>8.5</v>
      </c>
      <c r="V7">
        <f t="shared" si="2"/>
        <v>7</v>
      </c>
      <c r="W7" s="2">
        <v>67</v>
      </c>
      <c r="X7">
        <f t="shared" si="10"/>
        <v>83</v>
      </c>
      <c r="Y7" s="2">
        <v>36</v>
      </c>
      <c r="Z7" s="3">
        <v>34</v>
      </c>
      <c r="AA7" s="4">
        <f t="shared" si="11"/>
        <v>9</v>
      </c>
      <c r="AB7">
        <f t="shared" si="3"/>
        <v>8.5</v>
      </c>
      <c r="AC7" s="2">
        <v>73</v>
      </c>
      <c r="AD7">
        <f t="shared" si="12"/>
        <v>91</v>
      </c>
      <c r="AE7" s="2">
        <v>37</v>
      </c>
      <c r="AF7" s="3">
        <v>35</v>
      </c>
      <c r="AG7" s="4">
        <f t="shared" si="13"/>
        <v>9</v>
      </c>
      <c r="AH7">
        <f t="shared" si="4"/>
        <v>9.5</v>
      </c>
      <c r="AI7" s="2">
        <v>74</v>
      </c>
      <c r="AJ7">
        <f t="shared" si="14"/>
        <v>93</v>
      </c>
      <c r="AK7" s="2">
        <v>18</v>
      </c>
      <c r="AL7" s="3">
        <v>13.5</v>
      </c>
      <c r="AM7" s="4">
        <v>15</v>
      </c>
      <c r="AN7" s="2">
        <v>4</v>
      </c>
      <c r="AO7" s="3">
        <v>15</v>
      </c>
      <c r="AP7" s="4">
        <v>33</v>
      </c>
      <c r="AQ7">
        <v>8</v>
      </c>
      <c r="AR7">
        <v>9</v>
      </c>
      <c r="AS7">
        <v>10</v>
      </c>
      <c r="AT7">
        <v>11</v>
      </c>
      <c r="AU7">
        <f t="shared" si="15"/>
        <v>5.5</v>
      </c>
      <c r="AV7" t="s">
        <v>230</v>
      </c>
      <c r="AW7" t="s">
        <v>231</v>
      </c>
      <c r="AX7" t="s">
        <v>232</v>
      </c>
      <c r="AY7" t="s">
        <v>244</v>
      </c>
      <c r="AZ7" t="s">
        <v>245</v>
      </c>
      <c r="BA7" t="s">
        <v>235</v>
      </c>
      <c r="BB7" t="s">
        <v>239</v>
      </c>
      <c r="BC7" t="s">
        <v>218</v>
      </c>
      <c r="BD7" t="s">
        <v>220</v>
      </c>
      <c r="BE7">
        <v>9</v>
      </c>
      <c r="BF7">
        <v>9</v>
      </c>
      <c r="BG7">
        <v>10</v>
      </c>
      <c r="BH7">
        <v>8.5</v>
      </c>
      <c r="BI7">
        <v>7</v>
      </c>
      <c r="BJ7" t="s">
        <v>222</v>
      </c>
      <c r="BK7">
        <v>10</v>
      </c>
      <c r="BL7">
        <v>10</v>
      </c>
      <c r="BM7">
        <v>7</v>
      </c>
      <c r="BN7">
        <v>9.5</v>
      </c>
      <c r="BO7">
        <v>6.5</v>
      </c>
    </row>
    <row r="8" spans="1:67" x14ac:dyDescent="0.25">
      <c r="A8">
        <v>7</v>
      </c>
      <c r="B8" t="s">
        <v>384</v>
      </c>
      <c r="C8" t="s">
        <v>221</v>
      </c>
      <c r="D8">
        <v>17403</v>
      </c>
      <c r="E8" t="s">
        <v>45</v>
      </c>
      <c r="F8" t="s">
        <v>12</v>
      </c>
      <c r="G8" s="2">
        <v>26</v>
      </c>
      <c r="H8" s="3">
        <v>25</v>
      </c>
      <c r="I8" s="4">
        <f t="shared" si="5"/>
        <v>6.5</v>
      </c>
      <c r="J8">
        <f t="shared" si="0"/>
        <v>7.5</v>
      </c>
      <c r="K8" s="2">
        <v>56</v>
      </c>
      <c r="L8">
        <f t="shared" si="6"/>
        <v>70</v>
      </c>
      <c r="M8" s="2">
        <v>37</v>
      </c>
      <c r="N8" s="3">
        <v>38</v>
      </c>
      <c r="O8" s="4">
        <f t="shared" si="7"/>
        <v>9.5</v>
      </c>
      <c r="P8">
        <f t="shared" si="1"/>
        <v>10</v>
      </c>
      <c r="Q8" s="2">
        <v>71</v>
      </c>
      <c r="R8">
        <f t="shared" si="8"/>
        <v>91</v>
      </c>
      <c r="S8" s="2">
        <v>36</v>
      </c>
      <c r="T8" s="3">
        <v>21.5</v>
      </c>
      <c r="U8" s="4">
        <f t="shared" si="9"/>
        <v>7.5</v>
      </c>
      <c r="V8">
        <f t="shared" si="2"/>
        <v>6</v>
      </c>
      <c r="W8" s="2">
        <v>55.5</v>
      </c>
      <c r="X8">
        <f t="shared" si="10"/>
        <v>69</v>
      </c>
      <c r="Y8" s="2">
        <v>34</v>
      </c>
      <c r="Z8" s="3">
        <v>39.5</v>
      </c>
      <c r="AA8" s="4">
        <f t="shared" si="11"/>
        <v>9.5</v>
      </c>
      <c r="AB8">
        <f t="shared" si="3"/>
        <v>8.5</v>
      </c>
      <c r="AC8" s="2">
        <v>60.5</v>
      </c>
      <c r="AD8">
        <f t="shared" si="12"/>
        <v>79</v>
      </c>
      <c r="AE8" s="2">
        <v>36.5</v>
      </c>
      <c r="AF8" s="3">
        <v>35</v>
      </c>
      <c r="AG8" s="4">
        <f t="shared" si="13"/>
        <v>9</v>
      </c>
      <c r="AH8">
        <f t="shared" si="4"/>
        <v>8.5</v>
      </c>
      <c r="AI8" s="2">
        <v>58</v>
      </c>
      <c r="AJ8">
        <f t="shared" si="14"/>
        <v>76</v>
      </c>
      <c r="AK8" s="2">
        <v>24.5</v>
      </c>
      <c r="AL8" s="3">
        <v>23.5</v>
      </c>
      <c r="AM8" s="4">
        <v>26.5</v>
      </c>
      <c r="AN8" s="2">
        <v>8</v>
      </c>
      <c r="AO8" s="3">
        <v>21</v>
      </c>
      <c r="AP8" s="4">
        <v>36</v>
      </c>
      <c r="AQ8">
        <v>8</v>
      </c>
      <c r="AR8">
        <v>7.5</v>
      </c>
      <c r="AS8">
        <v>10</v>
      </c>
      <c r="AT8">
        <v>14</v>
      </c>
      <c r="AU8">
        <f t="shared" si="15"/>
        <v>7</v>
      </c>
      <c r="AV8" t="s">
        <v>230</v>
      </c>
      <c r="AW8" t="s">
        <v>231</v>
      </c>
      <c r="AX8" t="s">
        <v>232</v>
      </c>
      <c r="AY8" t="s">
        <v>233</v>
      </c>
      <c r="AZ8" t="s">
        <v>246</v>
      </c>
      <c r="BA8" t="s">
        <v>235</v>
      </c>
      <c r="BB8" t="s">
        <v>239</v>
      </c>
      <c r="BC8" t="s">
        <v>218</v>
      </c>
      <c r="BD8" t="s">
        <v>220</v>
      </c>
      <c r="BE8">
        <v>8</v>
      </c>
      <c r="BF8">
        <v>10</v>
      </c>
      <c r="BG8">
        <v>10</v>
      </c>
      <c r="BH8">
        <v>8.5</v>
      </c>
      <c r="BI8">
        <v>4</v>
      </c>
      <c r="BJ8" t="s">
        <v>222</v>
      </c>
      <c r="BK8">
        <v>8.5</v>
      </c>
      <c r="BL8">
        <v>9.5</v>
      </c>
      <c r="BM8">
        <v>7</v>
      </c>
      <c r="BN8">
        <v>6.5</v>
      </c>
      <c r="BO8">
        <v>7.5</v>
      </c>
    </row>
    <row r="9" spans="1:67" x14ac:dyDescent="0.25">
      <c r="A9">
        <v>8</v>
      </c>
      <c r="B9" t="s">
        <v>384</v>
      </c>
      <c r="C9" t="s">
        <v>221</v>
      </c>
      <c r="D9">
        <v>16266</v>
      </c>
      <c r="E9" t="s">
        <v>50</v>
      </c>
      <c r="F9" t="s">
        <v>12</v>
      </c>
      <c r="G9" s="2">
        <v>8.5</v>
      </c>
      <c r="H9" s="3">
        <v>8</v>
      </c>
      <c r="I9" s="4">
        <f t="shared" si="5"/>
        <v>2.5</v>
      </c>
      <c r="J9">
        <f t="shared" si="0"/>
        <v>3</v>
      </c>
      <c r="K9" s="2">
        <v>14.5</v>
      </c>
      <c r="L9">
        <f t="shared" si="6"/>
        <v>20</v>
      </c>
      <c r="M9" s="2">
        <v>20</v>
      </c>
      <c r="N9" s="3">
        <v>17.5</v>
      </c>
      <c r="O9" s="4">
        <f t="shared" si="7"/>
        <v>5</v>
      </c>
      <c r="P9">
        <f t="shared" si="1"/>
        <v>4</v>
      </c>
      <c r="Q9" s="2">
        <v>42.5</v>
      </c>
      <c r="R9">
        <f t="shared" si="8"/>
        <v>52</v>
      </c>
      <c r="S9" s="2">
        <v>9.5</v>
      </c>
      <c r="T9" s="3">
        <v>9</v>
      </c>
      <c r="U9" s="4">
        <f t="shared" si="9"/>
        <v>2.5</v>
      </c>
      <c r="V9">
        <f t="shared" si="2"/>
        <v>4</v>
      </c>
      <c r="W9" s="2">
        <v>18.5</v>
      </c>
      <c r="X9">
        <f t="shared" si="10"/>
        <v>25</v>
      </c>
      <c r="Y9" s="2">
        <v>5</v>
      </c>
      <c r="Z9" s="3">
        <v>8.5</v>
      </c>
      <c r="AA9" s="4">
        <f t="shared" si="11"/>
        <v>2</v>
      </c>
      <c r="AB9">
        <f t="shared" si="3"/>
        <v>4</v>
      </c>
      <c r="AC9" s="2">
        <v>13</v>
      </c>
      <c r="AD9">
        <f t="shared" si="12"/>
        <v>19</v>
      </c>
      <c r="AE9" s="2">
        <v>12.5</v>
      </c>
      <c r="AF9" s="3">
        <v>15</v>
      </c>
      <c r="AG9" s="4">
        <f t="shared" si="13"/>
        <v>3.5</v>
      </c>
      <c r="AH9">
        <f t="shared" si="4"/>
        <v>3</v>
      </c>
      <c r="AI9" s="2">
        <v>17</v>
      </c>
      <c r="AJ9">
        <f t="shared" si="14"/>
        <v>24</v>
      </c>
      <c r="AK9" s="2">
        <v>3</v>
      </c>
      <c r="AL9" s="3">
        <v>1.5</v>
      </c>
      <c r="AM9" s="4">
        <v>8.5</v>
      </c>
      <c r="AN9" s="2">
        <v>7</v>
      </c>
      <c r="AO9" s="3">
        <v>13</v>
      </c>
      <c r="AP9" s="4">
        <v>18.5</v>
      </c>
      <c r="AQ9">
        <v>8</v>
      </c>
      <c r="AR9">
        <v>5</v>
      </c>
      <c r="AS9">
        <v>9</v>
      </c>
      <c r="AT9">
        <v>3</v>
      </c>
      <c r="AU9">
        <f t="shared" si="15"/>
        <v>1.5</v>
      </c>
      <c r="AV9" t="s">
        <v>230</v>
      </c>
      <c r="AW9" t="s">
        <v>231</v>
      </c>
      <c r="AX9" t="s">
        <v>232</v>
      </c>
      <c r="AY9" t="s">
        <v>247</v>
      </c>
      <c r="AZ9" t="s">
        <v>248</v>
      </c>
      <c r="BA9" t="s">
        <v>235</v>
      </c>
      <c r="BB9" t="s">
        <v>239</v>
      </c>
      <c r="BC9" t="s">
        <v>218</v>
      </c>
      <c r="BD9" t="s">
        <v>220</v>
      </c>
      <c r="BE9">
        <v>3</v>
      </c>
      <c r="BF9">
        <v>8</v>
      </c>
      <c r="BG9">
        <v>4</v>
      </c>
      <c r="BH9">
        <v>5.5</v>
      </c>
      <c r="BI9">
        <v>2.5</v>
      </c>
      <c r="BJ9" t="s">
        <v>222</v>
      </c>
      <c r="BK9">
        <v>3</v>
      </c>
      <c r="BL9" t="s">
        <v>32</v>
      </c>
      <c r="BM9">
        <v>4</v>
      </c>
      <c r="BN9" t="s">
        <v>32</v>
      </c>
      <c r="BO9">
        <v>5</v>
      </c>
    </row>
    <row r="10" spans="1:67" x14ac:dyDescent="0.25">
      <c r="A10">
        <v>9</v>
      </c>
      <c r="B10" t="s">
        <v>384</v>
      </c>
      <c r="C10" t="s">
        <v>221</v>
      </c>
      <c r="D10">
        <v>16568</v>
      </c>
      <c r="E10" t="s">
        <v>55</v>
      </c>
      <c r="F10" t="s">
        <v>12</v>
      </c>
      <c r="G10" s="2">
        <v>15.5</v>
      </c>
      <c r="H10" s="3">
        <v>14.5</v>
      </c>
      <c r="I10" s="4">
        <f t="shared" si="5"/>
        <v>4</v>
      </c>
      <c r="J10">
        <f t="shared" si="0"/>
        <v>5.5</v>
      </c>
      <c r="K10" s="2">
        <v>23.5</v>
      </c>
      <c r="L10">
        <f t="shared" si="6"/>
        <v>33</v>
      </c>
      <c r="M10" s="2">
        <v>25</v>
      </c>
      <c r="N10" s="3">
        <v>22</v>
      </c>
      <c r="O10" s="4">
        <f t="shared" si="7"/>
        <v>6</v>
      </c>
      <c r="P10">
        <f t="shared" si="1"/>
        <v>7.5</v>
      </c>
      <c r="Q10" s="2">
        <v>37.5</v>
      </c>
      <c r="R10">
        <f t="shared" si="8"/>
        <v>51</v>
      </c>
      <c r="S10" s="2">
        <v>11</v>
      </c>
      <c r="T10" s="3">
        <v>10</v>
      </c>
      <c r="U10" s="4">
        <f t="shared" si="9"/>
        <v>3</v>
      </c>
      <c r="V10">
        <f t="shared" si="2"/>
        <v>3.5</v>
      </c>
      <c r="W10" s="2">
        <v>26.5</v>
      </c>
      <c r="X10">
        <f t="shared" si="10"/>
        <v>33</v>
      </c>
      <c r="Y10" s="2">
        <v>22</v>
      </c>
      <c r="Z10" s="3">
        <v>21.5</v>
      </c>
      <c r="AA10" s="4">
        <f t="shared" si="11"/>
        <v>5.5</v>
      </c>
      <c r="AB10">
        <f t="shared" si="3"/>
        <v>8</v>
      </c>
      <c r="AC10" s="2">
        <v>30.5</v>
      </c>
      <c r="AD10">
        <f t="shared" si="12"/>
        <v>44</v>
      </c>
      <c r="AE10" s="2">
        <v>25</v>
      </c>
      <c r="AF10" s="3">
        <v>23</v>
      </c>
      <c r="AG10" s="4">
        <f t="shared" si="13"/>
        <v>6</v>
      </c>
      <c r="AH10">
        <f t="shared" si="4"/>
        <v>7</v>
      </c>
      <c r="AI10" s="2">
        <v>30.5</v>
      </c>
      <c r="AJ10">
        <f t="shared" si="14"/>
        <v>44</v>
      </c>
      <c r="AK10" s="2">
        <v>20.5</v>
      </c>
      <c r="AL10" s="3">
        <v>14</v>
      </c>
      <c r="AM10" s="4">
        <v>14</v>
      </c>
      <c r="AN10" s="2">
        <v>4</v>
      </c>
      <c r="AO10" s="3">
        <v>14</v>
      </c>
      <c r="AP10" s="4">
        <v>20</v>
      </c>
      <c r="AQ10">
        <v>8</v>
      </c>
      <c r="AR10">
        <v>8</v>
      </c>
      <c r="AS10">
        <v>10</v>
      </c>
      <c r="AT10">
        <v>4.5</v>
      </c>
      <c r="AU10">
        <f t="shared" si="15"/>
        <v>2.5</v>
      </c>
      <c r="AV10" t="s">
        <v>230</v>
      </c>
      <c r="AW10" t="s">
        <v>231</v>
      </c>
      <c r="AX10" t="s">
        <v>232</v>
      </c>
      <c r="AY10" t="s">
        <v>240</v>
      </c>
      <c r="BA10" t="s">
        <v>235</v>
      </c>
      <c r="BB10" t="s">
        <v>239</v>
      </c>
      <c r="BC10" t="s">
        <v>218</v>
      </c>
      <c r="BD10" t="s">
        <v>220</v>
      </c>
      <c r="BE10">
        <v>7.5</v>
      </c>
      <c r="BF10">
        <v>10</v>
      </c>
      <c r="BG10">
        <v>9</v>
      </c>
      <c r="BH10">
        <v>5</v>
      </c>
      <c r="BI10">
        <v>3.5</v>
      </c>
      <c r="BJ10" t="s">
        <v>222</v>
      </c>
      <c r="BK10">
        <v>6</v>
      </c>
      <c r="BL10">
        <v>4.5</v>
      </c>
      <c r="BM10">
        <v>6.5</v>
      </c>
      <c r="BN10">
        <v>5.5</v>
      </c>
      <c r="BO10">
        <v>3.5</v>
      </c>
    </row>
    <row r="11" spans="1:67" x14ac:dyDescent="0.25">
      <c r="A11">
        <v>10</v>
      </c>
      <c r="B11" t="s">
        <v>384</v>
      </c>
      <c r="C11" t="s">
        <v>221</v>
      </c>
      <c r="D11">
        <v>16251</v>
      </c>
      <c r="E11" t="s">
        <v>60</v>
      </c>
      <c r="F11" t="s">
        <v>12</v>
      </c>
      <c r="G11" s="2">
        <v>5.5</v>
      </c>
      <c r="H11" s="3">
        <v>9</v>
      </c>
      <c r="I11" s="4">
        <f t="shared" si="5"/>
        <v>2</v>
      </c>
      <c r="J11">
        <f t="shared" si="0"/>
        <v>5</v>
      </c>
      <c r="K11" s="2">
        <v>20.5</v>
      </c>
      <c r="L11">
        <f t="shared" si="6"/>
        <v>28</v>
      </c>
      <c r="M11" s="2">
        <v>25</v>
      </c>
      <c r="N11" s="3">
        <v>28</v>
      </c>
      <c r="O11" s="4">
        <f t="shared" si="7"/>
        <v>7</v>
      </c>
      <c r="P11">
        <f t="shared" si="1"/>
        <v>7</v>
      </c>
      <c r="Q11" s="2">
        <v>40.5</v>
      </c>
      <c r="R11">
        <f t="shared" si="8"/>
        <v>55</v>
      </c>
      <c r="S11" s="2">
        <v>17</v>
      </c>
      <c r="T11" s="3">
        <v>9.5</v>
      </c>
      <c r="U11" s="4">
        <f t="shared" si="9"/>
        <v>3.5</v>
      </c>
      <c r="V11">
        <f t="shared" si="2"/>
        <v>2.5</v>
      </c>
      <c r="W11" s="2">
        <v>17.5</v>
      </c>
      <c r="X11">
        <f t="shared" si="10"/>
        <v>24</v>
      </c>
      <c r="Y11" s="2">
        <v>13.5</v>
      </c>
      <c r="Z11" s="3">
        <v>13.5</v>
      </c>
      <c r="AA11" s="4">
        <f t="shared" si="11"/>
        <v>3.5</v>
      </c>
      <c r="AB11">
        <f t="shared" si="3"/>
        <v>5.5</v>
      </c>
      <c r="AC11" s="2">
        <v>24</v>
      </c>
      <c r="AD11">
        <f t="shared" si="12"/>
        <v>33</v>
      </c>
      <c r="AE11" s="2">
        <v>14.5</v>
      </c>
      <c r="AF11" s="3">
        <v>17</v>
      </c>
      <c r="AG11" s="4">
        <f t="shared" si="13"/>
        <v>4</v>
      </c>
      <c r="AH11">
        <f t="shared" si="4"/>
        <v>3.5</v>
      </c>
      <c r="AI11" s="2">
        <v>25.5</v>
      </c>
      <c r="AJ11">
        <f t="shared" si="14"/>
        <v>33</v>
      </c>
      <c r="AK11" s="2">
        <v>7.5</v>
      </c>
      <c r="AL11" s="3">
        <v>4</v>
      </c>
      <c r="AM11" s="4">
        <v>10.5</v>
      </c>
      <c r="AN11" s="2">
        <v>3</v>
      </c>
      <c r="AO11" s="3">
        <v>11</v>
      </c>
      <c r="AP11" s="4">
        <v>20.5</v>
      </c>
      <c r="AQ11">
        <v>8</v>
      </c>
      <c r="AR11">
        <v>6.5</v>
      </c>
      <c r="AS11">
        <v>9</v>
      </c>
      <c r="AT11">
        <v>1.5</v>
      </c>
      <c r="AU11">
        <f t="shared" si="15"/>
        <v>1</v>
      </c>
      <c r="AV11" t="s">
        <v>230</v>
      </c>
      <c r="AW11" t="s">
        <v>231</v>
      </c>
      <c r="AX11" t="s">
        <v>237</v>
      </c>
      <c r="AY11" t="s">
        <v>240</v>
      </c>
      <c r="BA11" t="s">
        <v>235</v>
      </c>
      <c r="BB11" t="s">
        <v>239</v>
      </c>
      <c r="BC11" t="s">
        <v>218</v>
      </c>
      <c r="BD11" t="s">
        <v>220</v>
      </c>
      <c r="BE11">
        <v>2</v>
      </c>
      <c r="BF11">
        <v>8</v>
      </c>
      <c r="BG11">
        <v>5.5</v>
      </c>
      <c r="BH11">
        <v>6.5</v>
      </c>
      <c r="BI11">
        <v>1.5</v>
      </c>
      <c r="BJ11" t="s">
        <v>222</v>
      </c>
      <c r="BK11">
        <v>5</v>
      </c>
      <c r="BL11">
        <v>5.5</v>
      </c>
      <c r="BM11">
        <v>5</v>
      </c>
      <c r="BN11">
        <v>3.5</v>
      </c>
      <c r="BO11">
        <v>3.5</v>
      </c>
    </row>
    <row r="12" spans="1:67" x14ac:dyDescent="0.25">
      <c r="A12">
        <v>11</v>
      </c>
      <c r="B12" t="s">
        <v>384</v>
      </c>
      <c r="C12" t="s">
        <v>221</v>
      </c>
      <c r="D12">
        <v>16155</v>
      </c>
      <c r="E12" t="s">
        <v>65</v>
      </c>
      <c r="F12" t="s">
        <v>12</v>
      </c>
      <c r="G12" s="2">
        <v>26.5</v>
      </c>
      <c r="H12" s="3">
        <v>27.5</v>
      </c>
      <c r="I12" s="4">
        <f t="shared" si="5"/>
        <v>7</v>
      </c>
      <c r="J12">
        <f t="shared" si="0"/>
        <v>9</v>
      </c>
      <c r="K12" s="2">
        <v>46</v>
      </c>
      <c r="L12">
        <f t="shared" si="6"/>
        <v>62</v>
      </c>
      <c r="M12" s="2">
        <v>34</v>
      </c>
      <c r="N12" s="3">
        <v>27.5</v>
      </c>
      <c r="O12" s="4">
        <f t="shared" si="7"/>
        <v>8</v>
      </c>
      <c r="P12">
        <f t="shared" si="1"/>
        <v>10</v>
      </c>
      <c r="Q12" s="2">
        <v>55.5</v>
      </c>
      <c r="R12">
        <f t="shared" si="8"/>
        <v>74</v>
      </c>
      <c r="S12" s="2">
        <v>26.5</v>
      </c>
      <c r="T12" s="3">
        <v>25</v>
      </c>
      <c r="U12" s="4">
        <f t="shared" si="9"/>
        <v>6.5</v>
      </c>
      <c r="V12">
        <f t="shared" si="2"/>
        <v>6.5</v>
      </c>
      <c r="W12" s="2">
        <v>35</v>
      </c>
      <c r="X12">
        <f t="shared" si="10"/>
        <v>48</v>
      </c>
      <c r="Y12" s="2">
        <v>24</v>
      </c>
      <c r="Z12" s="3">
        <v>29</v>
      </c>
      <c r="AA12" s="4">
        <f t="shared" si="11"/>
        <v>7</v>
      </c>
      <c r="AB12">
        <f t="shared" si="3"/>
        <v>8.5</v>
      </c>
      <c r="AC12" s="2">
        <v>44.5</v>
      </c>
      <c r="AD12">
        <f t="shared" si="12"/>
        <v>60</v>
      </c>
      <c r="AE12" s="2">
        <v>22.5</v>
      </c>
      <c r="AF12" s="3">
        <v>29</v>
      </c>
      <c r="AG12" s="4">
        <f t="shared" si="13"/>
        <v>6.5</v>
      </c>
      <c r="AH12">
        <f t="shared" si="4"/>
        <v>7</v>
      </c>
      <c r="AI12" s="2">
        <v>40.5</v>
      </c>
      <c r="AJ12">
        <f t="shared" si="14"/>
        <v>54</v>
      </c>
      <c r="AK12" s="2">
        <v>18.5</v>
      </c>
      <c r="AL12" s="3">
        <v>20</v>
      </c>
      <c r="AM12" s="4" t="s">
        <v>32</v>
      </c>
      <c r="AN12" s="2">
        <v>2</v>
      </c>
      <c r="AO12" s="3">
        <v>14</v>
      </c>
      <c r="AP12" s="4" t="s">
        <v>14</v>
      </c>
      <c r="AQ12">
        <v>8</v>
      </c>
      <c r="AR12">
        <v>8</v>
      </c>
      <c r="AS12">
        <v>10</v>
      </c>
      <c r="AT12" t="s">
        <v>14</v>
      </c>
      <c r="AU12">
        <f t="shared" si="15"/>
        <v>0</v>
      </c>
      <c r="AV12" t="s">
        <v>230</v>
      </c>
      <c r="AW12" t="s">
        <v>231</v>
      </c>
      <c r="AX12" t="s">
        <v>232</v>
      </c>
      <c r="AY12" t="s">
        <v>249</v>
      </c>
      <c r="BA12" t="s">
        <v>235</v>
      </c>
      <c r="BB12" t="s">
        <v>239</v>
      </c>
      <c r="BC12" t="s">
        <v>218</v>
      </c>
      <c r="BD12" t="s">
        <v>220</v>
      </c>
      <c r="BE12">
        <v>7</v>
      </c>
      <c r="BF12">
        <v>10</v>
      </c>
      <c r="BG12">
        <v>9</v>
      </c>
      <c r="BH12">
        <v>10</v>
      </c>
      <c r="BI12">
        <v>6.5</v>
      </c>
      <c r="BJ12" t="s">
        <v>222</v>
      </c>
      <c r="BK12">
        <v>7</v>
      </c>
      <c r="BL12">
        <v>9.5</v>
      </c>
      <c r="BM12">
        <v>7.5</v>
      </c>
      <c r="BN12">
        <v>7.5</v>
      </c>
      <c r="BO12">
        <v>6.5</v>
      </c>
    </row>
    <row r="13" spans="1:67" x14ac:dyDescent="0.25">
      <c r="A13">
        <v>12</v>
      </c>
      <c r="B13" t="s">
        <v>384</v>
      </c>
      <c r="C13" t="s">
        <v>221</v>
      </c>
      <c r="D13">
        <v>16595</v>
      </c>
      <c r="E13" t="s">
        <v>70</v>
      </c>
      <c r="F13" t="s">
        <v>12</v>
      </c>
      <c r="G13" s="2">
        <v>30.5</v>
      </c>
      <c r="H13" s="3">
        <v>26.5</v>
      </c>
      <c r="I13" s="4">
        <f t="shared" si="5"/>
        <v>7.5</v>
      </c>
      <c r="J13">
        <f t="shared" si="0"/>
        <v>8.5</v>
      </c>
      <c r="K13" s="2">
        <v>51.5</v>
      </c>
      <c r="L13">
        <f t="shared" si="6"/>
        <v>68</v>
      </c>
      <c r="M13" s="2">
        <v>38</v>
      </c>
      <c r="N13" s="3">
        <v>37</v>
      </c>
      <c r="O13" s="4">
        <f t="shared" si="7"/>
        <v>9.5</v>
      </c>
      <c r="P13">
        <f t="shared" si="1"/>
        <v>10</v>
      </c>
      <c r="Q13" s="2">
        <v>66.5</v>
      </c>
      <c r="R13">
        <f t="shared" si="8"/>
        <v>86</v>
      </c>
      <c r="S13" s="2">
        <v>24.5</v>
      </c>
      <c r="T13" s="3">
        <v>18</v>
      </c>
      <c r="U13" s="4">
        <f t="shared" si="9"/>
        <v>5.5</v>
      </c>
      <c r="V13">
        <f t="shared" si="2"/>
        <v>5.5</v>
      </c>
      <c r="W13" s="2">
        <v>35.5</v>
      </c>
      <c r="X13">
        <f t="shared" si="10"/>
        <v>47</v>
      </c>
      <c r="Y13" s="2">
        <v>23.5</v>
      </c>
      <c r="Z13" s="3">
        <v>29</v>
      </c>
      <c r="AA13" s="4">
        <f t="shared" si="11"/>
        <v>7</v>
      </c>
      <c r="AB13">
        <f t="shared" si="3"/>
        <v>8.5</v>
      </c>
      <c r="AC13" s="2">
        <v>45</v>
      </c>
      <c r="AD13">
        <f t="shared" si="12"/>
        <v>61</v>
      </c>
      <c r="AE13" s="2">
        <v>25</v>
      </c>
      <c r="AF13" s="3">
        <v>29.5</v>
      </c>
      <c r="AG13" s="4">
        <f t="shared" si="13"/>
        <v>7</v>
      </c>
      <c r="AH13">
        <f t="shared" si="4"/>
        <v>7.5</v>
      </c>
      <c r="AI13" s="2">
        <v>41.5</v>
      </c>
      <c r="AJ13">
        <f t="shared" si="14"/>
        <v>56</v>
      </c>
      <c r="AK13" s="2">
        <v>21</v>
      </c>
      <c r="AL13" s="3">
        <v>22</v>
      </c>
      <c r="AM13" s="4">
        <v>11</v>
      </c>
      <c r="AN13" s="2">
        <v>5</v>
      </c>
      <c r="AO13" s="3">
        <v>21</v>
      </c>
      <c r="AP13" s="4">
        <v>28</v>
      </c>
      <c r="AQ13">
        <v>8</v>
      </c>
      <c r="AR13">
        <v>8.5</v>
      </c>
      <c r="AS13">
        <v>10</v>
      </c>
      <c r="AT13">
        <v>13</v>
      </c>
      <c r="AU13">
        <f t="shared" si="15"/>
        <v>6.5</v>
      </c>
      <c r="AV13" t="s">
        <v>230</v>
      </c>
      <c r="AW13" t="s">
        <v>231</v>
      </c>
      <c r="AX13" t="s">
        <v>232</v>
      </c>
      <c r="AY13" t="s">
        <v>240</v>
      </c>
      <c r="AZ13" t="s">
        <v>250</v>
      </c>
      <c r="BA13" t="s">
        <v>235</v>
      </c>
      <c r="BB13" t="s">
        <v>239</v>
      </c>
      <c r="BC13" t="s">
        <v>218</v>
      </c>
      <c r="BD13" t="s">
        <v>220</v>
      </c>
      <c r="BE13">
        <v>8.5</v>
      </c>
      <c r="BF13">
        <v>10</v>
      </c>
      <c r="BG13">
        <v>9.5</v>
      </c>
      <c r="BH13">
        <v>9.5</v>
      </c>
      <c r="BI13">
        <v>6</v>
      </c>
      <c r="BJ13" t="s">
        <v>222</v>
      </c>
      <c r="BK13">
        <v>6</v>
      </c>
      <c r="BL13">
        <v>9.5</v>
      </c>
      <c r="BM13">
        <v>7</v>
      </c>
      <c r="BN13">
        <v>7.5</v>
      </c>
      <c r="BO13">
        <v>5</v>
      </c>
    </row>
    <row r="14" spans="1:67" x14ac:dyDescent="0.25">
      <c r="A14">
        <v>13</v>
      </c>
      <c r="B14" t="s">
        <v>384</v>
      </c>
      <c r="C14" t="s">
        <v>221</v>
      </c>
      <c r="D14">
        <v>16395</v>
      </c>
      <c r="E14" t="s">
        <v>75</v>
      </c>
      <c r="F14" t="s">
        <v>12</v>
      </c>
      <c r="G14" s="2">
        <v>23.5</v>
      </c>
      <c r="H14" s="3">
        <v>25</v>
      </c>
      <c r="I14" s="4">
        <f t="shared" si="5"/>
        <v>6.5</v>
      </c>
      <c r="J14">
        <f t="shared" si="0"/>
        <v>7</v>
      </c>
      <c r="K14" s="2">
        <v>41</v>
      </c>
      <c r="L14">
        <f t="shared" si="6"/>
        <v>55</v>
      </c>
      <c r="M14" s="2">
        <v>29</v>
      </c>
      <c r="N14" s="3">
        <v>30</v>
      </c>
      <c r="O14" s="4">
        <f t="shared" si="7"/>
        <v>7.5</v>
      </c>
      <c r="P14">
        <f t="shared" si="1"/>
        <v>10</v>
      </c>
      <c r="Q14" s="2">
        <v>62.5</v>
      </c>
      <c r="R14">
        <f t="shared" si="8"/>
        <v>80</v>
      </c>
      <c r="S14" s="2">
        <v>11.5</v>
      </c>
      <c r="T14" s="3">
        <v>14.5</v>
      </c>
      <c r="U14" s="4">
        <f t="shared" si="9"/>
        <v>3.5</v>
      </c>
      <c r="V14">
        <f t="shared" si="2"/>
        <v>4</v>
      </c>
      <c r="W14" s="2">
        <v>36.5</v>
      </c>
      <c r="X14">
        <f t="shared" si="10"/>
        <v>44</v>
      </c>
      <c r="Y14" s="2">
        <v>22.5</v>
      </c>
      <c r="Z14" s="3">
        <v>26</v>
      </c>
      <c r="AA14" s="4">
        <f t="shared" si="11"/>
        <v>6.5</v>
      </c>
      <c r="AB14">
        <f t="shared" si="3"/>
        <v>9</v>
      </c>
      <c r="AC14" s="2">
        <v>39.5</v>
      </c>
      <c r="AD14">
        <f t="shared" si="12"/>
        <v>55</v>
      </c>
      <c r="AE14" s="2">
        <v>13.5</v>
      </c>
      <c r="AF14" s="3">
        <v>26</v>
      </c>
      <c r="AG14" s="4">
        <f t="shared" si="13"/>
        <v>5</v>
      </c>
      <c r="AH14">
        <f t="shared" si="4"/>
        <v>7.5</v>
      </c>
      <c r="AI14" s="2">
        <v>29</v>
      </c>
      <c r="AJ14">
        <f t="shared" si="14"/>
        <v>42</v>
      </c>
      <c r="AK14" s="2">
        <v>20</v>
      </c>
      <c r="AL14" s="3">
        <v>15.5</v>
      </c>
      <c r="AM14" s="4">
        <v>18</v>
      </c>
      <c r="AN14" s="2">
        <v>9</v>
      </c>
      <c r="AO14" s="3">
        <v>17</v>
      </c>
      <c r="AP14" s="4">
        <v>21.5</v>
      </c>
      <c r="AQ14">
        <v>8</v>
      </c>
      <c r="AR14">
        <v>7.5</v>
      </c>
      <c r="AS14">
        <v>10</v>
      </c>
      <c r="AT14">
        <v>9.5</v>
      </c>
      <c r="AU14">
        <f t="shared" si="15"/>
        <v>5</v>
      </c>
      <c r="AV14" t="s">
        <v>230</v>
      </c>
      <c r="AW14" t="s">
        <v>231</v>
      </c>
      <c r="AX14" t="s">
        <v>232</v>
      </c>
      <c r="AY14" t="s">
        <v>251</v>
      </c>
      <c r="AZ14" t="s">
        <v>252</v>
      </c>
      <c r="BA14" t="s">
        <v>235</v>
      </c>
      <c r="BB14" t="s">
        <v>239</v>
      </c>
      <c r="BC14" t="s">
        <v>218</v>
      </c>
      <c r="BD14" t="s">
        <v>220</v>
      </c>
      <c r="BE14">
        <v>7.5</v>
      </c>
      <c r="BF14">
        <v>10</v>
      </c>
      <c r="BG14">
        <v>9.5</v>
      </c>
      <c r="BH14">
        <v>7.5</v>
      </c>
      <c r="BI14">
        <v>3</v>
      </c>
      <c r="BJ14" t="s">
        <v>222</v>
      </c>
      <c r="BK14">
        <v>7.5</v>
      </c>
      <c r="BL14">
        <v>9.5</v>
      </c>
      <c r="BM14">
        <v>8</v>
      </c>
      <c r="BN14">
        <v>6</v>
      </c>
      <c r="BO14">
        <v>5</v>
      </c>
    </row>
    <row r="15" spans="1:67" x14ac:dyDescent="0.25">
      <c r="A15">
        <v>14</v>
      </c>
      <c r="B15" t="s">
        <v>384</v>
      </c>
      <c r="C15" t="s">
        <v>221</v>
      </c>
      <c r="D15">
        <v>17476</v>
      </c>
      <c r="E15" t="s">
        <v>80</v>
      </c>
      <c r="F15" t="s">
        <v>12</v>
      </c>
      <c r="G15" s="2" t="s">
        <v>14</v>
      </c>
      <c r="H15" s="3">
        <v>31</v>
      </c>
      <c r="I15" s="4">
        <f t="shared" si="5"/>
        <v>4</v>
      </c>
      <c r="J15">
        <f t="shared" si="0"/>
        <v>9.5</v>
      </c>
      <c r="K15" s="2">
        <v>58</v>
      </c>
      <c r="L15">
        <f t="shared" si="6"/>
        <v>72</v>
      </c>
      <c r="M15" s="2">
        <v>33</v>
      </c>
      <c r="N15" s="3">
        <v>23.5</v>
      </c>
      <c r="O15" s="4">
        <f t="shared" si="7"/>
        <v>7.5</v>
      </c>
      <c r="P15">
        <f t="shared" si="1"/>
        <v>9.5</v>
      </c>
      <c r="Q15" s="2">
        <v>56.5</v>
      </c>
      <c r="R15">
        <f t="shared" si="8"/>
        <v>74</v>
      </c>
      <c r="S15" s="2">
        <v>35</v>
      </c>
      <c r="T15" s="3">
        <v>25</v>
      </c>
      <c r="U15" s="4">
        <f t="shared" si="9"/>
        <v>7.5</v>
      </c>
      <c r="V15">
        <f t="shared" si="2"/>
        <v>9</v>
      </c>
      <c r="W15" s="2">
        <v>62.5</v>
      </c>
      <c r="X15">
        <f t="shared" si="10"/>
        <v>79</v>
      </c>
      <c r="Y15" s="2">
        <v>25.5</v>
      </c>
      <c r="Z15" s="3">
        <v>34</v>
      </c>
      <c r="AA15" s="4">
        <f t="shared" si="11"/>
        <v>7.5</v>
      </c>
      <c r="AB15">
        <f t="shared" si="3"/>
        <v>9</v>
      </c>
      <c r="AC15" s="2">
        <v>65.5</v>
      </c>
      <c r="AD15">
        <f t="shared" si="12"/>
        <v>82</v>
      </c>
      <c r="AE15" s="2" t="s">
        <v>14</v>
      </c>
      <c r="AF15" s="3">
        <v>32</v>
      </c>
      <c r="AG15" s="4">
        <f t="shared" si="13"/>
        <v>4</v>
      </c>
      <c r="AH15">
        <f t="shared" si="4"/>
        <v>9</v>
      </c>
      <c r="AI15" s="2">
        <v>56</v>
      </c>
      <c r="AJ15">
        <f t="shared" si="14"/>
        <v>69</v>
      </c>
      <c r="AK15" s="2">
        <v>9</v>
      </c>
      <c r="AL15" s="3">
        <v>10</v>
      </c>
      <c r="AM15" s="4" t="s">
        <v>229</v>
      </c>
      <c r="AN15" s="2">
        <v>6</v>
      </c>
      <c r="AO15" s="3">
        <v>22</v>
      </c>
      <c r="AP15" s="4">
        <v>29</v>
      </c>
      <c r="AQ15">
        <v>8</v>
      </c>
      <c r="AR15">
        <v>8.5</v>
      </c>
      <c r="AS15">
        <v>10</v>
      </c>
      <c r="AT15">
        <v>8.6</v>
      </c>
      <c r="AU15">
        <f t="shared" si="15"/>
        <v>4.5</v>
      </c>
      <c r="AV15" t="s">
        <v>230</v>
      </c>
      <c r="AW15" t="s">
        <v>231</v>
      </c>
      <c r="AX15" t="s">
        <v>232</v>
      </c>
      <c r="AY15" t="s">
        <v>253</v>
      </c>
      <c r="BA15" t="s">
        <v>235</v>
      </c>
      <c r="BB15" t="s">
        <v>239</v>
      </c>
      <c r="BC15" t="s">
        <v>218</v>
      </c>
      <c r="BD15" t="s">
        <v>220</v>
      </c>
      <c r="BE15">
        <v>9.5</v>
      </c>
      <c r="BF15">
        <v>10</v>
      </c>
      <c r="BG15">
        <v>9</v>
      </c>
      <c r="BH15">
        <v>10</v>
      </c>
      <c r="BI15">
        <v>10</v>
      </c>
      <c r="BJ15" t="s">
        <v>222</v>
      </c>
      <c r="BK15">
        <v>8</v>
      </c>
      <c r="BL15">
        <v>9</v>
      </c>
      <c r="BM15">
        <v>9</v>
      </c>
      <c r="BN15">
        <v>8.5</v>
      </c>
      <c r="BO15">
        <v>7.5</v>
      </c>
    </row>
    <row r="16" spans="1:67" x14ac:dyDescent="0.25">
      <c r="A16">
        <v>15</v>
      </c>
      <c r="B16" t="s">
        <v>384</v>
      </c>
      <c r="C16" t="s">
        <v>221</v>
      </c>
      <c r="D16">
        <v>17332</v>
      </c>
      <c r="E16" t="s">
        <v>85</v>
      </c>
      <c r="F16" t="s">
        <v>12</v>
      </c>
      <c r="G16" s="2">
        <v>3</v>
      </c>
      <c r="H16" s="3">
        <v>3</v>
      </c>
      <c r="I16" s="4">
        <f t="shared" si="5"/>
        <v>1</v>
      </c>
      <c r="J16">
        <f t="shared" si="0"/>
        <v>3.5</v>
      </c>
      <c r="K16" s="2">
        <v>9</v>
      </c>
      <c r="L16">
        <f t="shared" si="6"/>
        <v>14</v>
      </c>
      <c r="M16" s="2">
        <v>14</v>
      </c>
      <c r="N16" s="3">
        <v>6</v>
      </c>
      <c r="O16" s="4">
        <f t="shared" si="7"/>
        <v>2.5</v>
      </c>
      <c r="P16">
        <f t="shared" si="1"/>
        <v>3</v>
      </c>
      <c r="Q16" s="2">
        <v>8.5</v>
      </c>
      <c r="R16">
        <f t="shared" si="8"/>
        <v>14</v>
      </c>
      <c r="S16" s="2">
        <v>3.5</v>
      </c>
      <c r="T16" s="3">
        <v>1.5</v>
      </c>
      <c r="U16" s="4">
        <f t="shared" si="9"/>
        <v>1</v>
      </c>
      <c r="V16">
        <f t="shared" si="2"/>
        <v>1.5</v>
      </c>
      <c r="W16" s="2">
        <v>7</v>
      </c>
      <c r="X16">
        <f t="shared" si="10"/>
        <v>10</v>
      </c>
      <c r="Y16" s="2">
        <v>1</v>
      </c>
      <c r="Z16" s="3">
        <v>2.5</v>
      </c>
      <c r="AA16" s="4">
        <f t="shared" si="11"/>
        <v>0.5</v>
      </c>
      <c r="AB16">
        <f t="shared" si="3"/>
        <v>2</v>
      </c>
      <c r="AC16" s="2">
        <v>6</v>
      </c>
      <c r="AD16">
        <f t="shared" si="12"/>
        <v>9</v>
      </c>
      <c r="AE16" s="2">
        <v>4</v>
      </c>
      <c r="AF16" s="3">
        <v>4</v>
      </c>
      <c r="AG16" s="4">
        <f t="shared" si="13"/>
        <v>1</v>
      </c>
      <c r="AH16">
        <f t="shared" si="4"/>
        <v>1</v>
      </c>
      <c r="AI16" s="2">
        <v>3</v>
      </c>
      <c r="AJ16">
        <f t="shared" si="14"/>
        <v>5</v>
      </c>
      <c r="AK16" s="2">
        <v>8.5</v>
      </c>
      <c r="AL16" s="3">
        <v>3</v>
      </c>
      <c r="AM16" s="4">
        <v>3</v>
      </c>
      <c r="AN16" s="2">
        <v>3</v>
      </c>
      <c r="AO16" s="3">
        <v>7</v>
      </c>
      <c r="AP16" s="4">
        <v>18</v>
      </c>
      <c r="AQ16">
        <v>8</v>
      </c>
      <c r="AR16">
        <v>2</v>
      </c>
      <c r="AS16">
        <v>4</v>
      </c>
      <c r="AT16" t="s">
        <v>14</v>
      </c>
      <c r="AU16">
        <f t="shared" si="15"/>
        <v>0</v>
      </c>
      <c r="AV16" t="s">
        <v>230</v>
      </c>
      <c r="AW16" t="s">
        <v>231</v>
      </c>
      <c r="AX16" t="s">
        <v>237</v>
      </c>
      <c r="AY16" t="s">
        <v>254</v>
      </c>
      <c r="BA16" t="s">
        <v>235</v>
      </c>
      <c r="BB16" t="s">
        <v>239</v>
      </c>
      <c r="BC16" t="s">
        <v>218</v>
      </c>
      <c r="BD16" t="s">
        <v>220</v>
      </c>
      <c r="BE16">
        <v>1</v>
      </c>
      <c r="BF16">
        <v>3</v>
      </c>
      <c r="BG16">
        <v>1</v>
      </c>
      <c r="BH16">
        <v>3</v>
      </c>
      <c r="BI16">
        <v>0.5</v>
      </c>
      <c r="BJ16" t="s">
        <v>222</v>
      </c>
      <c r="BK16">
        <v>1</v>
      </c>
      <c r="BL16">
        <v>3</v>
      </c>
      <c r="BM16">
        <v>2.5</v>
      </c>
      <c r="BN16">
        <v>4</v>
      </c>
      <c r="BO16">
        <v>2.5</v>
      </c>
    </row>
    <row r="17" spans="1:67" x14ac:dyDescent="0.25">
      <c r="A17">
        <v>16</v>
      </c>
      <c r="B17" t="s">
        <v>384</v>
      </c>
      <c r="C17" t="s">
        <v>221</v>
      </c>
      <c r="D17">
        <v>16156</v>
      </c>
      <c r="E17" t="s">
        <v>90</v>
      </c>
      <c r="F17" t="s">
        <v>12</v>
      </c>
      <c r="G17" s="2">
        <v>27</v>
      </c>
      <c r="H17" s="3">
        <v>22</v>
      </c>
      <c r="I17" s="4">
        <f t="shared" si="5"/>
        <v>6.5</v>
      </c>
      <c r="J17">
        <f t="shared" si="0"/>
        <v>8</v>
      </c>
      <c r="K17" s="2">
        <v>47.5</v>
      </c>
      <c r="L17">
        <f t="shared" si="6"/>
        <v>62</v>
      </c>
      <c r="M17" s="2">
        <v>31</v>
      </c>
      <c r="N17" s="3">
        <v>26</v>
      </c>
      <c r="O17" s="4">
        <f t="shared" si="7"/>
        <v>7.5</v>
      </c>
      <c r="P17">
        <f t="shared" si="1"/>
        <v>8.5</v>
      </c>
      <c r="Q17" s="2">
        <v>59.5</v>
      </c>
      <c r="R17">
        <f t="shared" si="8"/>
        <v>76</v>
      </c>
      <c r="S17" s="2">
        <v>16.5</v>
      </c>
      <c r="T17" s="3">
        <v>21.5</v>
      </c>
      <c r="U17" s="4">
        <f t="shared" si="9"/>
        <v>5</v>
      </c>
      <c r="V17">
        <f t="shared" si="2"/>
        <v>5.5</v>
      </c>
      <c r="W17" s="2">
        <v>47.5</v>
      </c>
      <c r="X17">
        <f t="shared" si="10"/>
        <v>58</v>
      </c>
      <c r="Y17" s="2">
        <v>24.5</v>
      </c>
      <c r="Z17" s="3">
        <v>29.5</v>
      </c>
      <c r="AA17" s="4">
        <f t="shared" si="11"/>
        <v>7</v>
      </c>
      <c r="AB17">
        <f t="shared" si="3"/>
        <v>8</v>
      </c>
      <c r="AC17" s="2">
        <v>46.5</v>
      </c>
      <c r="AD17">
        <f t="shared" si="12"/>
        <v>62</v>
      </c>
      <c r="AE17" s="2">
        <v>21.5</v>
      </c>
      <c r="AF17" s="3">
        <v>30</v>
      </c>
      <c r="AG17" s="4">
        <f t="shared" si="13"/>
        <v>6.5</v>
      </c>
      <c r="AH17">
        <f t="shared" si="4"/>
        <v>6.5</v>
      </c>
      <c r="AI17" s="2">
        <v>42.5</v>
      </c>
      <c r="AJ17">
        <f t="shared" si="14"/>
        <v>56</v>
      </c>
      <c r="AK17" s="2">
        <v>15</v>
      </c>
      <c r="AL17" s="3">
        <v>11.5</v>
      </c>
      <c r="AM17" s="4">
        <v>10.5</v>
      </c>
      <c r="AN17" s="2">
        <v>5</v>
      </c>
      <c r="AO17" s="3">
        <v>12</v>
      </c>
      <c r="AP17" s="4">
        <v>19.5</v>
      </c>
      <c r="AQ17">
        <v>8</v>
      </c>
      <c r="AR17">
        <v>7.5</v>
      </c>
      <c r="AS17">
        <v>10</v>
      </c>
      <c r="AT17">
        <v>10.5</v>
      </c>
      <c r="AU17">
        <f t="shared" si="15"/>
        <v>5.5</v>
      </c>
      <c r="AV17" t="s">
        <v>230</v>
      </c>
      <c r="AW17" t="s">
        <v>231</v>
      </c>
      <c r="AX17" t="s">
        <v>232</v>
      </c>
      <c r="AY17" t="s">
        <v>254</v>
      </c>
      <c r="AZ17" t="s">
        <v>255</v>
      </c>
      <c r="BA17" t="s">
        <v>235</v>
      </c>
      <c r="BB17" t="s">
        <v>239</v>
      </c>
      <c r="BC17" t="s">
        <v>218</v>
      </c>
      <c r="BD17" t="s">
        <v>220</v>
      </c>
      <c r="BE17">
        <v>5.5</v>
      </c>
      <c r="BF17">
        <v>8</v>
      </c>
      <c r="BG17">
        <v>10</v>
      </c>
      <c r="BH17">
        <v>8.5</v>
      </c>
      <c r="BI17">
        <v>6</v>
      </c>
      <c r="BJ17" t="s">
        <v>222</v>
      </c>
      <c r="BK17">
        <v>7</v>
      </c>
      <c r="BL17">
        <v>9</v>
      </c>
      <c r="BM17">
        <v>6</v>
      </c>
      <c r="BN17">
        <v>7.5</v>
      </c>
      <c r="BO17">
        <v>4.5</v>
      </c>
    </row>
    <row r="18" spans="1:67" x14ac:dyDescent="0.25">
      <c r="A18">
        <v>17</v>
      </c>
      <c r="B18" t="s">
        <v>384</v>
      </c>
      <c r="C18" t="s">
        <v>221</v>
      </c>
      <c r="D18">
        <v>16256</v>
      </c>
      <c r="E18" t="s">
        <v>95</v>
      </c>
      <c r="F18" t="s">
        <v>12</v>
      </c>
      <c r="G18" s="2">
        <v>31</v>
      </c>
      <c r="H18" s="3">
        <v>29.5</v>
      </c>
      <c r="I18" s="4">
        <f t="shared" si="5"/>
        <v>8</v>
      </c>
      <c r="J18">
        <f t="shared" si="0"/>
        <v>8.5</v>
      </c>
      <c r="K18" s="2">
        <v>55</v>
      </c>
      <c r="L18">
        <f t="shared" si="6"/>
        <v>72</v>
      </c>
      <c r="M18" s="2">
        <v>27</v>
      </c>
      <c r="N18" s="3">
        <v>30</v>
      </c>
      <c r="O18" s="4">
        <f t="shared" si="7"/>
        <v>7.5</v>
      </c>
      <c r="P18">
        <f t="shared" si="1"/>
        <v>9</v>
      </c>
      <c r="Q18" s="2">
        <v>52</v>
      </c>
      <c r="R18">
        <f t="shared" si="8"/>
        <v>69</v>
      </c>
      <c r="S18" s="2">
        <v>26</v>
      </c>
      <c r="T18" s="3">
        <v>28.5</v>
      </c>
      <c r="U18" s="4">
        <f t="shared" si="9"/>
        <v>7</v>
      </c>
      <c r="V18">
        <f t="shared" si="2"/>
        <v>6.5</v>
      </c>
      <c r="W18" s="2">
        <v>44</v>
      </c>
      <c r="X18">
        <f t="shared" si="10"/>
        <v>58</v>
      </c>
      <c r="Y18" s="2">
        <v>21.5</v>
      </c>
      <c r="Z18" s="3">
        <v>27</v>
      </c>
      <c r="AA18" s="4">
        <f t="shared" si="11"/>
        <v>6.5</v>
      </c>
      <c r="AB18">
        <f t="shared" si="3"/>
        <v>8</v>
      </c>
      <c r="AC18" s="2">
        <v>51</v>
      </c>
      <c r="AD18">
        <f t="shared" si="12"/>
        <v>66</v>
      </c>
      <c r="AE18" s="2">
        <v>18</v>
      </c>
      <c r="AF18" s="3">
        <v>28.5</v>
      </c>
      <c r="AG18" s="4">
        <f t="shared" si="13"/>
        <v>6</v>
      </c>
      <c r="AH18">
        <f t="shared" si="4"/>
        <v>7</v>
      </c>
      <c r="AI18" s="2">
        <v>45</v>
      </c>
      <c r="AJ18">
        <f t="shared" si="14"/>
        <v>58</v>
      </c>
      <c r="AK18" s="2">
        <v>23</v>
      </c>
      <c r="AL18" s="3">
        <v>22.5</v>
      </c>
      <c r="AM18" s="4">
        <v>23.5</v>
      </c>
      <c r="AN18" s="2">
        <v>4</v>
      </c>
      <c r="AO18" s="3">
        <v>15</v>
      </c>
      <c r="AP18" s="4">
        <v>22.5</v>
      </c>
      <c r="AQ18">
        <v>8</v>
      </c>
      <c r="AR18">
        <v>9</v>
      </c>
      <c r="AS18">
        <v>10</v>
      </c>
      <c r="AT18">
        <v>12.5</v>
      </c>
      <c r="AU18">
        <f t="shared" si="15"/>
        <v>6.5</v>
      </c>
      <c r="AV18" t="s">
        <v>230</v>
      </c>
      <c r="AW18" t="s">
        <v>231</v>
      </c>
      <c r="AX18" t="s">
        <v>232</v>
      </c>
      <c r="AY18" t="s">
        <v>251</v>
      </c>
      <c r="AZ18" t="s">
        <v>256</v>
      </c>
      <c r="BA18" t="s">
        <v>235</v>
      </c>
      <c r="BB18" t="s">
        <v>239</v>
      </c>
      <c r="BC18" t="s">
        <v>218</v>
      </c>
      <c r="BD18" t="s">
        <v>220</v>
      </c>
      <c r="BE18">
        <v>4.5</v>
      </c>
      <c r="BF18">
        <v>10</v>
      </c>
      <c r="BG18">
        <v>9</v>
      </c>
      <c r="BH18">
        <v>9.5</v>
      </c>
      <c r="BI18">
        <v>6</v>
      </c>
      <c r="BJ18" t="s">
        <v>222</v>
      </c>
      <c r="BK18">
        <v>9</v>
      </c>
      <c r="BL18">
        <v>8</v>
      </c>
      <c r="BM18">
        <v>7</v>
      </c>
      <c r="BN18">
        <v>7</v>
      </c>
      <c r="BO18">
        <v>7</v>
      </c>
    </row>
    <row r="19" spans="1:67" x14ac:dyDescent="0.25">
      <c r="A19">
        <v>18</v>
      </c>
      <c r="B19" t="s">
        <v>384</v>
      </c>
      <c r="C19" t="s">
        <v>221</v>
      </c>
      <c r="D19">
        <v>16199</v>
      </c>
      <c r="E19" t="s">
        <v>100</v>
      </c>
      <c r="F19" t="s">
        <v>12</v>
      </c>
      <c r="G19" s="2">
        <v>27</v>
      </c>
      <c r="H19" s="3">
        <v>27.5</v>
      </c>
      <c r="I19" s="4">
        <f t="shared" si="5"/>
        <v>7</v>
      </c>
      <c r="J19">
        <f t="shared" si="0"/>
        <v>4</v>
      </c>
      <c r="K19" s="2">
        <v>58</v>
      </c>
      <c r="L19">
        <f t="shared" si="6"/>
        <v>69</v>
      </c>
      <c r="M19" s="2">
        <v>33</v>
      </c>
      <c r="N19" s="3">
        <v>31</v>
      </c>
      <c r="O19" s="4">
        <f t="shared" si="7"/>
        <v>8</v>
      </c>
      <c r="P19">
        <f t="shared" si="1"/>
        <v>8.5</v>
      </c>
      <c r="Q19" s="2">
        <v>56.5</v>
      </c>
      <c r="R19">
        <f t="shared" si="8"/>
        <v>73</v>
      </c>
      <c r="S19" s="2">
        <v>30.5</v>
      </c>
      <c r="T19" s="3">
        <v>29</v>
      </c>
      <c r="U19" s="4">
        <f t="shared" si="9"/>
        <v>7.5</v>
      </c>
      <c r="V19">
        <f t="shared" si="2"/>
        <v>8.5</v>
      </c>
      <c r="W19" s="2">
        <v>55</v>
      </c>
      <c r="X19">
        <f t="shared" si="10"/>
        <v>71</v>
      </c>
      <c r="Y19" s="2">
        <v>25</v>
      </c>
      <c r="Z19" s="3">
        <v>31.5</v>
      </c>
      <c r="AA19" s="4">
        <f t="shared" si="11"/>
        <v>7.5</v>
      </c>
      <c r="AB19">
        <f t="shared" si="3"/>
        <v>8.5</v>
      </c>
      <c r="AC19" s="2">
        <v>58</v>
      </c>
      <c r="AD19">
        <f t="shared" si="12"/>
        <v>74</v>
      </c>
      <c r="AE19" s="2">
        <v>28.5</v>
      </c>
      <c r="AF19" s="3">
        <v>24</v>
      </c>
      <c r="AG19" s="4">
        <f t="shared" si="13"/>
        <v>7</v>
      </c>
      <c r="AH19">
        <f t="shared" si="4"/>
        <v>6.5</v>
      </c>
      <c r="AI19" s="2">
        <v>48.5</v>
      </c>
      <c r="AJ19">
        <f t="shared" si="14"/>
        <v>62</v>
      </c>
      <c r="AK19" s="2">
        <v>7.5</v>
      </c>
      <c r="AL19" s="3">
        <v>12</v>
      </c>
      <c r="AM19" s="4">
        <v>13.5</v>
      </c>
      <c r="AN19" s="2">
        <v>7</v>
      </c>
      <c r="AO19" s="3">
        <v>17</v>
      </c>
      <c r="AP19" s="4">
        <v>29</v>
      </c>
      <c r="AQ19">
        <v>8</v>
      </c>
      <c r="AR19">
        <v>7.5</v>
      </c>
      <c r="AS19">
        <v>10</v>
      </c>
      <c r="AT19">
        <v>13.5</v>
      </c>
      <c r="AU19">
        <f t="shared" si="15"/>
        <v>7</v>
      </c>
      <c r="AV19" t="s">
        <v>230</v>
      </c>
      <c r="AW19" t="s">
        <v>231</v>
      </c>
      <c r="AX19" t="s">
        <v>232</v>
      </c>
      <c r="AY19" t="s">
        <v>238</v>
      </c>
      <c r="AZ19" t="s">
        <v>257</v>
      </c>
      <c r="BA19" t="s">
        <v>235</v>
      </c>
      <c r="BB19" t="s">
        <v>239</v>
      </c>
      <c r="BC19" t="s">
        <v>218</v>
      </c>
      <c r="BD19" t="s">
        <v>220</v>
      </c>
      <c r="BE19">
        <v>7</v>
      </c>
      <c r="BF19">
        <v>8</v>
      </c>
      <c r="BG19">
        <v>9</v>
      </c>
      <c r="BH19" t="s">
        <v>14</v>
      </c>
      <c r="BI19">
        <v>8.5</v>
      </c>
      <c r="BJ19" t="s">
        <v>222</v>
      </c>
      <c r="BK19">
        <v>5.5</v>
      </c>
      <c r="BL19">
        <v>8.5</v>
      </c>
      <c r="BM19">
        <v>7.5</v>
      </c>
      <c r="BN19">
        <v>8</v>
      </c>
      <c r="BO19">
        <v>8</v>
      </c>
    </row>
    <row r="20" spans="1:67" x14ac:dyDescent="0.25">
      <c r="A20">
        <v>19</v>
      </c>
      <c r="B20" t="s">
        <v>384</v>
      </c>
      <c r="C20" t="s">
        <v>221</v>
      </c>
      <c r="D20">
        <v>17283</v>
      </c>
      <c r="E20" t="s">
        <v>105</v>
      </c>
      <c r="F20" t="s">
        <v>12</v>
      </c>
      <c r="G20" s="2">
        <v>23.5</v>
      </c>
      <c r="H20" s="3">
        <v>18.5</v>
      </c>
      <c r="I20" s="4">
        <f t="shared" si="5"/>
        <v>5.5</v>
      </c>
      <c r="J20">
        <f t="shared" si="0"/>
        <v>3.5</v>
      </c>
      <c r="K20" s="2">
        <v>39</v>
      </c>
      <c r="L20">
        <f t="shared" si="6"/>
        <v>48</v>
      </c>
      <c r="M20" s="2">
        <v>38.5</v>
      </c>
      <c r="N20" s="3">
        <v>38.5</v>
      </c>
      <c r="O20" s="4">
        <f t="shared" si="7"/>
        <v>10</v>
      </c>
      <c r="P20">
        <f t="shared" si="1"/>
        <v>5</v>
      </c>
      <c r="Q20" s="2">
        <v>72.5</v>
      </c>
      <c r="R20">
        <f t="shared" si="8"/>
        <v>88</v>
      </c>
      <c r="S20" s="2">
        <v>22</v>
      </c>
      <c r="T20" s="3">
        <v>21</v>
      </c>
      <c r="U20" s="4">
        <f t="shared" si="9"/>
        <v>5.5</v>
      </c>
      <c r="V20">
        <f t="shared" si="2"/>
        <v>5.5</v>
      </c>
      <c r="W20" s="2">
        <v>51</v>
      </c>
      <c r="X20">
        <f t="shared" si="10"/>
        <v>62</v>
      </c>
      <c r="Y20" s="2">
        <v>28.5</v>
      </c>
      <c r="Z20" s="3">
        <v>21.5</v>
      </c>
      <c r="AA20" s="4">
        <f t="shared" si="11"/>
        <v>6.5</v>
      </c>
      <c r="AB20">
        <f t="shared" si="3"/>
        <v>4.5</v>
      </c>
      <c r="AC20" s="2">
        <v>42</v>
      </c>
      <c r="AD20">
        <f t="shared" si="12"/>
        <v>53</v>
      </c>
      <c r="AE20" s="2">
        <v>23</v>
      </c>
      <c r="AF20" s="3">
        <v>18.5</v>
      </c>
      <c r="AG20" s="4">
        <f t="shared" si="13"/>
        <v>5.5</v>
      </c>
      <c r="AH20">
        <f t="shared" si="4"/>
        <v>5.5</v>
      </c>
      <c r="AI20" s="2">
        <v>34.5</v>
      </c>
      <c r="AJ20">
        <f t="shared" si="14"/>
        <v>46</v>
      </c>
      <c r="AK20" s="2">
        <v>19</v>
      </c>
      <c r="AL20" s="3">
        <v>13</v>
      </c>
      <c r="AM20" s="4">
        <v>9</v>
      </c>
      <c r="AN20" s="2">
        <v>8</v>
      </c>
      <c r="AO20" s="3">
        <v>15</v>
      </c>
      <c r="AP20" s="4">
        <v>23</v>
      </c>
      <c r="AQ20">
        <v>8</v>
      </c>
      <c r="AR20">
        <v>8</v>
      </c>
      <c r="AS20">
        <v>10</v>
      </c>
      <c r="AT20">
        <v>17</v>
      </c>
      <c r="AU20">
        <f t="shared" si="15"/>
        <v>8.5</v>
      </c>
      <c r="AV20" t="s">
        <v>230</v>
      </c>
      <c r="AW20" t="s">
        <v>231</v>
      </c>
      <c r="AX20" t="s">
        <v>232</v>
      </c>
      <c r="AY20" t="s">
        <v>247</v>
      </c>
      <c r="BA20" t="s">
        <v>235</v>
      </c>
      <c r="BB20" t="s">
        <v>239</v>
      </c>
      <c r="BC20" t="s">
        <v>218</v>
      </c>
      <c r="BD20" t="s">
        <v>220</v>
      </c>
      <c r="BE20">
        <v>4.5</v>
      </c>
      <c r="BF20">
        <v>10</v>
      </c>
      <c r="BG20">
        <v>9</v>
      </c>
      <c r="BH20">
        <v>7</v>
      </c>
      <c r="BI20">
        <v>3.5</v>
      </c>
      <c r="BJ20" t="s">
        <v>222</v>
      </c>
      <c r="BK20">
        <v>6</v>
      </c>
      <c r="BL20" t="s">
        <v>32</v>
      </c>
      <c r="BM20" t="s">
        <v>14</v>
      </c>
      <c r="BN20" t="s">
        <v>32</v>
      </c>
      <c r="BO20">
        <v>7</v>
      </c>
    </row>
    <row r="21" spans="1:67" x14ac:dyDescent="0.25">
      <c r="A21">
        <v>20</v>
      </c>
      <c r="B21" t="s">
        <v>384</v>
      </c>
      <c r="C21" t="s">
        <v>221</v>
      </c>
      <c r="D21">
        <v>16196</v>
      </c>
      <c r="E21" t="s">
        <v>110</v>
      </c>
      <c r="F21" t="s">
        <v>12</v>
      </c>
      <c r="G21" s="2">
        <v>2</v>
      </c>
      <c r="H21" s="3">
        <v>2</v>
      </c>
      <c r="I21" s="4">
        <f t="shared" si="5"/>
        <v>0.5</v>
      </c>
      <c r="J21">
        <f t="shared" si="0"/>
        <v>3.5</v>
      </c>
      <c r="K21" s="2">
        <v>0.5</v>
      </c>
      <c r="L21">
        <f t="shared" si="6"/>
        <v>5</v>
      </c>
      <c r="M21" s="2">
        <v>10</v>
      </c>
      <c r="N21" s="3">
        <v>4</v>
      </c>
      <c r="O21" s="4">
        <f t="shared" si="7"/>
        <v>2</v>
      </c>
      <c r="P21">
        <f t="shared" si="1"/>
        <v>4</v>
      </c>
      <c r="Q21" s="2">
        <v>7</v>
      </c>
      <c r="R21">
        <f t="shared" si="8"/>
        <v>13</v>
      </c>
      <c r="S21" s="2">
        <v>2</v>
      </c>
      <c r="T21" s="3">
        <v>4</v>
      </c>
      <c r="U21" s="4">
        <f t="shared" si="9"/>
        <v>1</v>
      </c>
      <c r="V21">
        <f t="shared" si="2"/>
        <v>4</v>
      </c>
      <c r="W21" s="2">
        <v>4.5</v>
      </c>
      <c r="X21">
        <f t="shared" si="10"/>
        <v>10</v>
      </c>
      <c r="Y21" s="2">
        <v>1</v>
      </c>
      <c r="Z21" s="3">
        <v>1</v>
      </c>
      <c r="AA21" s="4">
        <f t="shared" si="11"/>
        <v>0.5</v>
      </c>
      <c r="AB21">
        <f t="shared" si="3"/>
        <v>3</v>
      </c>
      <c r="AC21" s="2">
        <v>4.5</v>
      </c>
      <c r="AD21">
        <f t="shared" si="12"/>
        <v>8</v>
      </c>
      <c r="AE21" s="2">
        <v>4</v>
      </c>
      <c r="AF21" s="3">
        <v>6.5</v>
      </c>
      <c r="AG21" s="4">
        <f t="shared" si="13"/>
        <v>1.5</v>
      </c>
      <c r="AH21">
        <f t="shared" si="4"/>
        <v>2</v>
      </c>
      <c r="AI21" s="2">
        <v>7</v>
      </c>
      <c r="AJ21">
        <f t="shared" si="14"/>
        <v>11</v>
      </c>
      <c r="AK21" s="2">
        <v>2</v>
      </c>
      <c r="AL21" s="3">
        <v>2</v>
      </c>
      <c r="AM21" s="4">
        <v>5</v>
      </c>
      <c r="AN21" s="2">
        <v>4</v>
      </c>
      <c r="AO21" s="3">
        <v>8</v>
      </c>
      <c r="AP21" s="4">
        <v>18</v>
      </c>
      <c r="AQ21">
        <v>5</v>
      </c>
      <c r="AR21">
        <v>2</v>
      </c>
      <c r="AS21">
        <v>5</v>
      </c>
      <c r="AT21">
        <v>9</v>
      </c>
      <c r="AU21">
        <f t="shared" si="15"/>
        <v>4.5</v>
      </c>
      <c r="AV21" t="s">
        <v>230</v>
      </c>
      <c r="AW21" t="s">
        <v>231</v>
      </c>
      <c r="AX21" t="s">
        <v>237</v>
      </c>
      <c r="AY21" t="s">
        <v>233</v>
      </c>
      <c r="BA21" t="s">
        <v>235</v>
      </c>
      <c r="BB21" t="s">
        <v>239</v>
      </c>
      <c r="BC21" t="s">
        <v>218</v>
      </c>
      <c r="BD21" t="s">
        <v>220</v>
      </c>
      <c r="BE21">
        <v>3</v>
      </c>
      <c r="BF21">
        <v>6</v>
      </c>
      <c r="BG21">
        <v>3</v>
      </c>
      <c r="BH21">
        <v>4</v>
      </c>
      <c r="BI21">
        <v>2.5</v>
      </c>
      <c r="BJ21" t="s">
        <v>222</v>
      </c>
      <c r="BK21">
        <v>1</v>
      </c>
      <c r="BL21">
        <v>2</v>
      </c>
      <c r="BM21">
        <v>3</v>
      </c>
      <c r="BN21">
        <v>3</v>
      </c>
      <c r="BO21">
        <v>5</v>
      </c>
    </row>
    <row r="22" spans="1:67" x14ac:dyDescent="0.25">
      <c r="A22">
        <v>21</v>
      </c>
      <c r="B22" t="s">
        <v>384</v>
      </c>
      <c r="C22" t="s">
        <v>221</v>
      </c>
      <c r="D22">
        <v>18486</v>
      </c>
      <c r="E22" t="s">
        <v>115</v>
      </c>
      <c r="F22" t="s">
        <v>12</v>
      </c>
      <c r="G22" s="2">
        <v>12</v>
      </c>
      <c r="H22" s="3">
        <v>11</v>
      </c>
      <c r="I22" s="4">
        <f t="shared" si="5"/>
        <v>3</v>
      </c>
      <c r="J22">
        <f t="shared" si="0"/>
        <v>5</v>
      </c>
      <c r="K22" s="2">
        <v>30</v>
      </c>
      <c r="L22">
        <f t="shared" si="6"/>
        <v>38</v>
      </c>
      <c r="M22" s="2">
        <v>24.5</v>
      </c>
      <c r="N22" s="3">
        <v>26.5</v>
      </c>
      <c r="O22" s="4">
        <f t="shared" si="7"/>
        <v>6.5</v>
      </c>
      <c r="P22">
        <f t="shared" si="1"/>
        <v>7.5</v>
      </c>
      <c r="Q22" s="2">
        <v>46.5</v>
      </c>
      <c r="R22">
        <f t="shared" si="8"/>
        <v>61</v>
      </c>
      <c r="S22" s="2">
        <v>26</v>
      </c>
      <c r="T22" s="3">
        <v>17.5</v>
      </c>
      <c r="U22" s="4">
        <f t="shared" si="9"/>
        <v>5.5</v>
      </c>
      <c r="V22">
        <f t="shared" si="2"/>
        <v>2</v>
      </c>
      <c r="W22" s="2">
        <v>46.5</v>
      </c>
      <c r="X22">
        <f t="shared" si="10"/>
        <v>54</v>
      </c>
      <c r="Y22" s="2">
        <v>19.5</v>
      </c>
      <c r="Z22" s="3">
        <v>28.5</v>
      </c>
      <c r="AA22" s="4">
        <f t="shared" si="11"/>
        <v>6</v>
      </c>
      <c r="AB22">
        <f t="shared" si="3"/>
        <v>5</v>
      </c>
      <c r="AC22" s="2">
        <v>40</v>
      </c>
      <c r="AD22">
        <f t="shared" si="12"/>
        <v>51</v>
      </c>
      <c r="AE22" s="2">
        <v>23.5</v>
      </c>
      <c r="AF22" s="3">
        <v>28.5</v>
      </c>
      <c r="AG22" s="4">
        <f t="shared" si="13"/>
        <v>6.5</v>
      </c>
      <c r="AH22">
        <f t="shared" si="4"/>
        <v>5</v>
      </c>
      <c r="AI22" s="2">
        <v>44</v>
      </c>
      <c r="AJ22">
        <f t="shared" si="14"/>
        <v>56</v>
      </c>
      <c r="AK22" s="2">
        <v>1</v>
      </c>
      <c r="AL22" s="3">
        <v>5</v>
      </c>
      <c r="AM22" s="4">
        <v>2</v>
      </c>
      <c r="AN22" s="2">
        <v>4</v>
      </c>
      <c r="AO22" s="3">
        <v>12</v>
      </c>
      <c r="AP22" s="4">
        <v>31</v>
      </c>
      <c r="AQ22">
        <v>7</v>
      </c>
      <c r="AR22">
        <v>7</v>
      </c>
      <c r="AS22">
        <v>6</v>
      </c>
      <c r="AT22">
        <v>4</v>
      </c>
      <c r="AU22">
        <f t="shared" si="15"/>
        <v>2</v>
      </c>
      <c r="AV22" t="s">
        <v>230</v>
      </c>
      <c r="AW22" t="s">
        <v>231</v>
      </c>
      <c r="AX22" t="s">
        <v>237</v>
      </c>
      <c r="AY22" t="s">
        <v>258</v>
      </c>
      <c r="BA22" t="s">
        <v>235</v>
      </c>
      <c r="BB22" t="s">
        <v>239</v>
      </c>
      <c r="BC22" t="s">
        <v>218</v>
      </c>
      <c r="BD22" t="s">
        <v>220</v>
      </c>
      <c r="BE22">
        <v>2.5</v>
      </c>
      <c r="BF22">
        <v>8</v>
      </c>
      <c r="BG22">
        <v>6</v>
      </c>
      <c r="BH22">
        <v>4.5</v>
      </c>
      <c r="BI22">
        <v>3.5</v>
      </c>
      <c r="BJ22" t="s">
        <v>222</v>
      </c>
      <c r="BK22">
        <v>7.5</v>
      </c>
      <c r="BL22">
        <v>6.5</v>
      </c>
      <c r="BM22">
        <v>4</v>
      </c>
      <c r="BN22">
        <v>5.5</v>
      </c>
      <c r="BO22" t="s">
        <v>32</v>
      </c>
    </row>
    <row r="23" spans="1:67" x14ac:dyDescent="0.25">
      <c r="A23">
        <v>22</v>
      </c>
      <c r="B23" t="s">
        <v>384</v>
      </c>
      <c r="C23" t="s">
        <v>221</v>
      </c>
      <c r="D23">
        <v>16168</v>
      </c>
      <c r="E23" t="s">
        <v>120</v>
      </c>
      <c r="F23" t="s">
        <v>12</v>
      </c>
      <c r="G23" s="2">
        <v>32.5</v>
      </c>
      <c r="H23" s="3">
        <v>26</v>
      </c>
      <c r="I23" s="4">
        <f t="shared" si="5"/>
        <v>7.5</v>
      </c>
      <c r="J23">
        <f t="shared" si="0"/>
        <v>7.5</v>
      </c>
      <c r="K23" s="2">
        <v>51.5</v>
      </c>
      <c r="L23">
        <f t="shared" si="6"/>
        <v>67</v>
      </c>
      <c r="M23" s="2">
        <v>34.5</v>
      </c>
      <c r="N23" s="3">
        <v>35.5</v>
      </c>
      <c r="O23" s="4">
        <f t="shared" si="7"/>
        <v>9</v>
      </c>
      <c r="P23">
        <f t="shared" si="1"/>
        <v>8.5</v>
      </c>
      <c r="Q23" s="2">
        <v>73.5</v>
      </c>
      <c r="R23">
        <f t="shared" si="8"/>
        <v>91</v>
      </c>
      <c r="S23" s="2">
        <v>22</v>
      </c>
      <c r="T23" s="3">
        <v>23</v>
      </c>
      <c r="U23" s="4">
        <f t="shared" si="9"/>
        <v>6</v>
      </c>
      <c r="V23">
        <f t="shared" si="2"/>
        <v>5.5</v>
      </c>
      <c r="W23" s="2">
        <v>43.5</v>
      </c>
      <c r="X23">
        <f t="shared" si="10"/>
        <v>55</v>
      </c>
      <c r="Y23" s="2">
        <v>18</v>
      </c>
      <c r="Z23" s="3">
        <v>30</v>
      </c>
      <c r="AA23" s="4">
        <f t="shared" si="11"/>
        <v>6</v>
      </c>
      <c r="AB23">
        <f t="shared" si="3"/>
        <v>9</v>
      </c>
      <c r="AC23" s="2">
        <v>48</v>
      </c>
      <c r="AD23">
        <f t="shared" si="12"/>
        <v>63</v>
      </c>
      <c r="AE23" s="2">
        <v>19</v>
      </c>
      <c r="AF23" s="3">
        <v>32</v>
      </c>
      <c r="AG23" s="4">
        <f t="shared" si="13"/>
        <v>6.5</v>
      </c>
      <c r="AH23">
        <f t="shared" si="4"/>
        <v>7.5</v>
      </c>
      <c r="AI23" s="2">
        <v>58</v>
      </c>
      <c r="AJ23">
        <f t="shared" si="14"/>
        <v>72</v>
      </c>
      <c r="AK23" s="2">
        <v>16</v>
      </c>
      <c r="AL23" s="3">
        <v>19</v>
      </c>
      <c r="AM23" s="4">
        <v>15</v>
      </c>
      <c r="AN23" s="2">
        <v>7</v>
      </c>
      <c r="AO23" s="3">
        <v>13.5</v>
      </c>
      <c r="AP23" s="4">
        <v>26</v>
      </c>
      <c r="AQ23">
        <v>8</v>
      </c>
      <c r="AR23">
        <v>8</v>
      </c>
      <c r="AS23">
        <v>10</v>
      </c>
      <c r="AT23" t="s">
        <v>14</v>
      </c>
      <c r="AU23">
        <f t="shared" si="15"/>
        <v>0</v>
      </c>
      <c r="AV23" t="s">
        <v>230</v>
      </c>
      <c r="AW23" t="s">
        <v>231</v>
      </c>
      <c r="AX23" t="s">
        <v>232</v>
      </c>
      <c r="AY23" t="s">
        <v>253</v>
      </c>
      <c r="AZ23" t="s">
        <v>259</v>
      </c>
      <c r="BA23" t="s">
        <v>235</v>
      </c>
      <c r="BB23" t="s">
        <v>239</v>
      </c>
      <c r="BC23" t="s">
        <v>218</v>
      </c>
      <c r="BD23" t="s">
        <v>220</v>
      </c>
      <c r="BE23">
        <v>7</v>
      </c>
      <c r="BF23">
        <v>7</v>
      </c>
      <c r="BG23">
        <v>9.5</v>
      </c>
      <c r="BH23">
        <v>7.5</v>
      </c>
      <c r="BI23">
        <v>5.5</v>
      </c>
      <c r="BJ23" t="s">
        <v>222</v>
      </c>
      <c r="BK23">
        <v>8</v>
      </c>
      <c r="BL23">
        <v>9.5</v>
      </c>
      <c r="BM23">
        <v>8</v>
      </c>
      <c r="BN23">
        <v>7.5</v>
      </c>
      <c r="BO23">
        <v>5</v>
      </c>
    </row>
    <row r="24" spans="1:67" x14ac:dyDescent="0.25">
      <c r="A24">
        <v>23</v>
      </c>
      <c r="B24" t="s">
        <v>384</v>
      </c>
      <c r="C24" t="s">
        <v>221</v>
      </c>
      <c r="D24">
        <v>16262</v>
      </c>
      <c r="E24" t="s">
        <v>125</v>
      </c>
      <c r="F24" t="s">
        <v>12</v>
      </c>
      <c r="G24" s="2">
        <v>8</v>
      </c>
      <c r="H24" s="3">
        <v>9</v>
      </c>
      <c r="I24" s="4">
        <f t="shared" si="5"/>
        <v>2.5</v>
      </c>
      <c r="J24">
        <f t="shared" si="0"/>
        <v>2.5</v>
      </c>
      <c r="K24" s="2">
        <v>19.5</v>
      </c>
      <c r="L24">
        <f t="shared" si="6"/>
        <v>25</v>
      </c>
      <c r="M24" s="2">
        <v>9.5</v>
      </c>
      <c r="N24" s="3">
        <v>15</v>
      </c>
      <c r="O24" s="4">
        <f t="shared" si="7"/>
        <v>3.5</v>
      </c>
      <c r="P24">
        <f t="shared" si="1"/>
        <v>3.5</v>
      </c>
      <c r="Q24" s="2">
        <v>23.5</v>
      </c>
      <c r="R24">
        <f t="shared" si="8"/>
        <v>31</v>
      </c>
      <c r="S24" s="2">
        <v>11.5</v>
      </c>
      <c r="T24" s="3">
        <v>11</v>
      </c>
      <c r="U24" s="4">
        <f t="shared" si="9"/>
        <v>3</v>
      </c>
      <c r="V24">
        <f t="shared" si="2"/>
        <v>1</v>
      </c>
      <c r="W24" s="2">
        <v>18</v>
      </c>
      <c r="X24">
        <f t="shared" si="10"/>
        <v>22</v>
      </c>
      <c r="Y24" s="2">
        <v>9</v>
      </c>
      <c r="Z24" s="3">
        <v>13</v>
      </c>
      <c r="AA24" s="4">
        <f t="shared" si="11"/>
        <v>3</v>
      </c>
      <c r="AB24">
        <f t="shared" si="3"/>
        <v>6.5</v>
      </c>
      <c r="AC24" s="2">
        <v>23.5</v>
      </c>
      <c r="AD24">
        <f t="shared" si="12"/>
        <v>33</v>
      </c>
      <c r="AE24" s="2">
        <v>7</v>
      </c>
      <c r="AF24" s="3">
        <v>11.5</v>
      </c>
      <c r="AG24" s="4">
        <f t="shared" si="13"/>
        <v>2.5</v>
      </c>
      <c r="AH24">
        <f t="shared" si="4"/>
        <v>2</v>
      </c>
      <c r="AI24" s="2">
        <v>16</v>
      </c>
      <c r="AJ24">
        <f t="shared" si="14"/>
        <v>21</v>
      </c>
      <c r="AK24" s="2">
        <v>4</v>
      </c>
      <c r="AL24" s="3">
        <v>2</v>
      </c>
      <c r="AM24" s="4">
        <v>7.5</v>
      </c>
      <c r="AN24" s="2">
        <v>6</v>
      </c>
      <c r="AO24" s="3">
        <v>7</v>
      </c>
      <c r="AP24" s="4">
        <v>19</v>
      </c>
      <c r="AQ24">
        <v>5</v>
      </c>
      <c r="AR24">
        <v>6</v>
      </c>
      <c r="AS24">
        <v>4</v>
      </c>
      <c r="AT24">
        <v>4.5</v>
      </c>
      <c r="AU24">
        <f t="shared" si="15"/>
        <v>2.5</v>
      </c>
      <c r="AV24" t="s">
        <v>230</v>
      </c>
      <c r="AW24" t="s">
        <v>231</v>
      </c>
      <c r="AX24" t="s">
        <v>237</v>
      </c>
      <c r="AY24" t="s">
        <v>260</v>
      </c>
      <c r="AZ24" t="s">
        <v>261</v>
      </c>
      <c r="BA24" t="s">
        <v>235</v>
      </c>
      <c r="BB24" t="s">
        <v>239</v>
      </c>
      <c r="BC24" t="s">
        <v>218</v>
      </c>
      <c r="BD24" t="s">
        <v>220</v>
      </c>
      <c r="BE24" t="s">
        <v>14</v>
      </c>
      <c r="BF24">
        <v>7</v>
      </c>
      <c r="BG24">
        <v>7.5</v>
      </c>
      <c r="BH24">
        <v>4.5</v>
      </c>
      <c r="BI24">
        <v>2</v>
      </c>
      <c r="BJ24" t="s">
        <v>222</v>
      </c>
      <c r="BK24">
        <v>4</v>
      </c>
      <c r="BL24" t="s">
        <v>32</v>
      </c>
      <c r="BM24">
        <v>5.5</v>
      </c>
      <c r="BN24" t="s">
        <v>32</v>
      </c>
      <c r="BO24" t="s">
        <v>32</v>
      </c>
    </row>
    <row r="25" spans="1:67" x14ac:dyDescent="0.25">
      <c r="A25">
        <v>24</v>
      </c>
      <c r="B25" t="s">
        <v>384</v>
      </c>
      <c r="C25" t="s">
        <v>221</v>
      </c>
      <c r="D25">
        <v>16185</v>
      </c>
      <c r="E25" t="s">
        <v>130</v>
      </c>
      <c r="F25" t="s">
        <v>12</v>
      </c>
      <c r="G25" s="2">
        <v>11.5</v>
      </c>
      <c r="H25" s="3">
        <v>12</v>
      </c>
      <c r="I25" s="4">
        <f t="shared" si="5"/>
        <v>3</v>
      </c>
      <c r="J25">
        <f t="shared" si="0"/>
        <v>6</v>
      </c>
      <c r="K25" s="2">
        <v>16</v>
      </c>
      <c r="L25">
        <f t="shared" si="6"/>
        <v>25</v>
      </c>
      <c r="M25" s="2">
        <v>8</v>
      </c>
      <c r="N25" s="3">
        <v>8.5</v>
      </c>
      <c r="O25" s="4">
        <f t="shared" si="7"/>
        <v>2.5</v>
      </c>
      <c r="P25">
        <f t="shared" si="1"/>
        <v>4</v>
      </c>
      <c r="Q25" s="2">
        <v>15</v>
      </c>
      <c r="R25">
        <f t="shared" si="8"/>
        <v>22</v>
      </c>
      <c r="S25" s="2">
        <v>3</v>
      </c>
      <c r="T25" s="3">
        <v>0.5</v>
      </c>
      <c r="U25" s="4">
        <f t="shared" si="9"/>
        <v>0.5</v>
      </c>
      <c r="V25">
        <f t="shared" si="2"/>
        <v>3</v>
      </c>
      <c r="W25" s="2">
        <v>18.5</v>
      </c>
      <c r="X25">
        <f t="shared" si="10"/>
        <v>22</v>
      </c>
      <c r="Y25" s="2">
        <v>12.5</v>
      </c>
      <c r="Z25" s="3">
        <v>18</v>
      </c>
      <c r="AA25" s="4">
        <f t="shared" si="11"/>
        <v>4</v>
      </c>
      <c r="AB25">
        <f t="shared" si="3"/>
        <v>7</v>
      </c>
      <c r="AC25" s="2">
        <v>25</v>
      </c>
      <c r="AD25">
        <f t="shared" si="12"/>
        <v>36</v>
      </c>
      <c r="AE25" s="2">
        <v>7</v>
      </c>
      <c r="AF25" s="3">
        <v>21</v>
      </c>
      <c r="AG25" s="4">
        <f t="shared" si="13"/>
        <v>3.5</v>
      </c>
      <c r="AH25">
        <f t="shared" si="4"/>
        <v>4</v>
      </c>
      <c r="AI25" s="2">
        <v>29.5</v>
      </c>
      <c r="AJ25">
        <f t="shared" si="14"/>
        <v>37</v>
      </c>
      <c r="AK25" s="2">
        <v>3</v>
      </c>
      <c r="AL25" s="3">
        <v>4</v>
      </c>
      <c r="AM25" s="4">
        <v>3.5</v>
      </c>
      <c r="AN25" s="2">
        <v>2</v>
      </c>
      <c r="AO25" s="3">
        <v>10</v>
      </c>
      <c r="AP25" s="4">
        <v>24</v>
      </c>
      <c r="AQ25">
        <v>6</v>
      </c>
      <c r="AR25">
        <v>3</v>
      </c>
      <c r="AS25">
        <v>2</v>
      </c>
      <c r="AT25">
        <v>8</v>
      </c>
      <c r="AU25">
        <f t="shared" si="15"/>
        <v>4</v>
      </c>
      <c r="AV25" t="s">
        <v>230</v>
      </c>
      <c r="AW25" t="s">
        <v>231</v>
      </c>
      <c r="AX25" t="s">
        <v>237</v>
      </c>
      <c r="AY25" t="s">
        <v>247</v>
      </c>
      <c r="BA25" t="s">
        <v>235</v>
      </c>
      <c r="BB25" t="s">
        <v>239</v>
      </c>
      <c r="BC25" t="s">
        <v>218</v>
      </c>
      <c r="BD25" t="s">
        <v>220</v>
      </c>
      <c r="BE25">
        <v>4</v>
      </c>
      <c r="BF25">
        <v>5</v>
      </c>
      <c r="BG25">
        <v>8.5</v>
      </c>
      <c r="BH25">
        <v>6</v>
      </c>
      <c r="BI25">
        <v>2</v>
      </c>
      <c r="BJ25" t="s">
        <v>222</v>
      </c>
      <c r="BK25">
        <v>4</v>
      </c>
      <c r="BL25">
        <v>3</v>
      </c>
      <c r="BM25">
        <v>5.5</v>
      </c>
      <c r="BN25">
        <v>5.5</v>
      </c>
      <c r="BO25">
        <v>4</v>
      </c>
    </row>
    <row r="26" spans="1:67" x14ac:dyDescent="0.25">
      <c r="A26">
        <v>25</v>
      </c>
      <c r="B26" t="s">
        <v>384</v>
      </c>
      <c r="C26" t="s">
        <v>221</v>
      </c>
      <c r="D26">
        <v>16188</v>
      </c>
      <c r="E26" t="s">
        <v>135</v>
      </c>
      <c r="F26" t="s">
        <v>12</v>
      </c>
      <c r="G26" s="2">
        <v>20</v>
      </c>
      <c r="H26" s="3">
        <v>13.5</v>
      </c>
      <c r="I26" s="4">
        <f t="shared" si="5"/>
        <v>4.5</v>
      </c>
      <c r="J26">
        <f t="shared" si="0"/>
        <v>7.5</v>
      </c>
      <c r="K26" s="2">
        <v>39.5</v>
      </c>
      <c r="L26">
        <f t="shared" si="6"/>
        <v>52</v>
      </c>
      <c r="M26" s="2">
        <v>33</v>
      </c>
      <c r="N26" s="3">
        <v>30</v>
      </c>
      <c r="O26" s="4">
        <f t="shared" si="7"/>
        <v>8</v>
      </c>
      <c r="P26">
        <f t="shared" si="1"/>
        <v>4</v>
      </c>
      <c r="Q26" s="2">
        <v>65</v>
      </c>
      <c r="R26">
        <f t="shared" si="8"/>
        <v>77</v>
      </c>
      <c r="S26" s="2">
        <v>22.5</v>
      </c>
      <c r="T26" s="3">
        <v>20.5</v>
      </c>
      <c r="U26" s="4">
        <f t="shared" si="9"/>
        <v>5.5</v>
      </c>
      <c r="V26">
        <f t="shared" si="2"/>
        <v>6.5</v>
      </c>
      <c r="W26" s="2">
        <v>43</v>
      </c>
      <c r="X26">
        <f t="shared" si="10"/>
        <v>55</v>
      </c>
      <c r="Y26" s="2">
        <v>17</v>
      </c>
      <c r="Z26" s="3">
        <v>26.5</v>
      </c>
      <c r="AA26" s="4">
        <f t="shared" si="11"/>
        <v>5.5</v>
      </c>
      <c r="AB26">
        <f t="shared" si="3"/>
        <v>4.5</v>
      </c>
      <c r="AC26" s="2">
        <v>47</v>
      </c>
      <c r="AD26">
        <f t="shared" si="12"/>
        <v>57</v>
      </c>
      <c r="AE26" s="2">
        <v>22</v>
      </c>
      <c r="AF26" s="3">
        <v>26</v>
      </c>
      <c r="AG26" s="4">
        <f t="shared" si="13"/>
        <v>6</v>
      </c>
      <c r="AH26">
        <f t="shared" si="4"/>
        <v>6.5</v>
      </c>
      <c r="AI26" s="2">
        <v>42</v>
      </c>
      <c r="AJ26">
        <f t="shared" si="14"/>
        <v>55</v>
      </c>
      <c r="AK26" s="2">
        <v>17</v>
      </c>
      <c r="AL26" s="3">
        <v>16.5</v>
      </c>
      <c r="AM26" s="4">
        <v>11.5</v>
      </c>
      <c r="AN26" s="2">
        <v>5</v>
      </c>
      <c r="AO26" s="3">
        <v>14</v>
      </c>
      <c r="AP26" s="4">
        <v>22.5</v>
      </c>
      <c r="AQ26">
        <v>6</v>
      </c>
      <c r="AR26">
        <v>6.5</v>
      </c>
      <c r="AS26">
        <v>10</v>
      </c>
      <c r="AT26">
        <v>9</v>
      </c>
      <c r="AU26">
        <f t="shared" si="15"/>
        <v>4.5</v>
      </c>
      <c r="AV26" t="s">
        <v>230</v>
      </c>
      <c r="AW26" t="s">
        <v>231</v>
      </c>
      <c r="AX26" t="s">
        <v>232</v>
      </c>
      <c r="AY26" t="s">
        <v>244</v>
      </c>
      <c r="AZ26" t="s">
        <v>262</v>
      </c>
      <c r="BA26" t="s">
        <v>263</v>
      </c>
      <c r="BC26" t="s">
        <v>218</v>
      </c>
      <c r="BD26" t="s">
        <v>220</v>
      </c>
      <c r="BE26">
        <v>5</v>
      </c>
      <c r="BF26">
        <v>8</v>
      </c>
      <c r="BG26">
        <v>9</v>
      </c>
      <c r="BH26">
        <v>7.5</v>
      </c>
      <c r="BI26">
        <v>6.5</v>
      </c>
      <c r="BJ26" t="s">
        <v>222</v>
      </c>
      <c r="BK26">
        <v>7.5</v>
      </c>
      <c r="BL26" t="s">
        <v>32</v>
      </c>
      <c r="BM26" t="s">
        <v>14</v>
      </c>
      <c r="BN26">
        <v>7</v>
      </c>
      <c r="BO26">
        <v>6.5</v>
      </c>
    </row>
    <row r="27" spans="1:67" x14ac:dyDescent="0.25">
      <c r="A27">
        <v>26</v>
      </c>
      <c r="B27" t="s">
        <v>384</v>
      </c>
      <c r="C27" t="s">
        <v>221</v>
      </c>
      <c r="D27">
        <v>16273</v>
      </c>
      <c r="E27" t="s">
        <v>140</v>
      </c>
      <c r="F27" t="s">
        <v>12</v>
      </c>
      <c r="G27" s="2">
        <v>28.5</v>
      </c>
      <c r="H27" s="3">
        <v>25.5</v>
      </c>
      <c r="I27" s="4">
        <f t="shared" si="5"/>
        <v>7</v>
      </c>
      <c r="J27">
        <f t="shared" si="0"/>
        <v>8.5</v>
      </c>
      <c r="K27" s="2">
        <v>53</v>
      </c>
      <c r="L27">
        <f t="shared" si="6"/>
        <v>69</v>
      </c>
      <c r="M27" s="2">
        <v>35.5</v>
      </c>
      <c r="N27" s="3">
        <v>34</v>
      </c>
      <c r="O27" s="4">
        <f t="shared" si="7"/>
        <v>9</v>
      </c>
      <c r="P27">
        <f t="shared" si="1"/>
        <v>9.5</v>
      </c>
      <c r="Q27" s="2">
        <v>69.5</v>
      </c>
      <c r="R27">
        <f t="shared" si="8"/>
        <v>88</v>
      </c>
      <c r="S27" s="2">
        <v>25</v>
      </c>
      <c r="T27" s="3">
        <v>19.5</v>
      </c>
      <c r="U27" s="4">
        <f t="shared" si="9"/>
        <v>6</v>
      </c>
      <c r="V27">
        <f t="shared" si="2"/>
        <v>7</v>
      </c>
      <c r="W27" s="2">
        <v>42</v>
      </c>
      <c r="X27">
        <f t="shared" si="10"/>
        <v>55</v>
      </c>
      <c r="Y27" s="2">
        <v>27.5</v>
      </c>
      <c r="Z27" s="3">
        <v>33</v>
      </c>
      <c r="AA27" s="4">
        <f t="shared" si="11"/>
        <v>8</v>
      </c>
      <c r="AB27">
        <f t="shared" si="3"/>
        <v>9</v>
      </c>
      <c r="AC27" s="2">
        <v>59.5</v>
      </c>
      <c r="AD27">
        <f t="shared" si="12"/>
        <v>77</v>
      </c>
      <c r="AE27" s="2">
        <v>29</v>
      </c>
      <c r="AF27" s="3">
        <v>34</v>
      </c>
      <c r="AG27" s="4">
        <f t="shared" si="13"/>
        <v>8</v>
      </c>
      <c r="AH27">
        <f t="shared" si="4"/>
        <v>7.5</v>
      </c>
      <c r="AI27" s="2">
        <v>58.5</v>
      </c>
      <c r="AJ27">
        <f t="shared" si="14"/>
        <v>74</v>
      </c>
      <c r="AK27" s="2">
        <v>20</v>
      </c>
      <c r="AL27" s="3">
        <v>17</v>
      </c>
      <c r="AM27" s="4">
        <v>21.5</v>
      </c>
      <c r="AN27" s="2">
        <v>8</v>
      </c>
      <c r="AO27" s="3">
        <v>21</v>
      </c>
      <c r="AP27" s="4">
        <v>34.5</v>
      </c>
      <c r="AQ27">
        <v>8</v>
      </c>
      <c r="AR27">
        <v>8</v>
      </c>
      <c r="AS27">
        <v>10</v>
      </c>
      <c r="AT27">
        <v>14</v>
      </c>
      <c r="AU27">
        <f t="shared" si="15"/>
        <v>7</v>
      </c>
      <c r="AV27" t="s">
        <v>230</v>
      </c>
      <c r="AW27" t="s">
        <v>231</v>
      </c>
      <c r="AX27" t="s">
        <v>232</v>
      </c>
      <c r="AY27" t="s">
        <v>233</v>
      </c>
      <c r="AZ27" t="s">
        <v>264</v>
      </c>
      <c r="BA27" t="s">
        <v>235</v>
      </c>
      <c r="BB27" t="s">
        <v>239</v>
      </c>
      <c r="BC27" t="s">
        <v>218</v>
      </c>
      <c r="BD27" t="s">
        <v>220</v>
      </c>
      <c r="BE27">
        <v>9</v>
      </c>
      <c r="BF27">
        <v>10</v>
      </c>
      <c r="BG27">
        <v>10</v>
      </c>
      <c r="BH27">
        <v>8.5</v>
      </c>
      <c r="BI27">
        <v>8</v>
      </c>
      <c r="BJ27" t="s">
        <v>222</v>
      </c>
      <c r="BK27">
        <v>6</v>
      </c>
      <c r="BL27">
        <v>9</v>
      </c>
      <c r="BM27">
        <v>7.5</v>
      </c>
      <c r="BN27">
        <v>8.5</v>
      </c>
      <c r="BO27">
        <v>6</v>
      </c>
    </row>
    <row r="28" spans="1:67" x14ac:dyDescent="0.25">
      <c r="A28">
        <v>27</v>
      </c>
      <c r="B28" t="s">
        <v>384</v>
      </c>
      <c r="C28" t="s">
        <v>221</v>
      </c>
      <c r="D28">
        <v>16214</v>
      </c>
      <c r="E28" t="s">
        <v>145</v>
      </c>
      <c r="F28" t="s">
        <v>12</v>
      </c>
      <c r="G28" s="2">
        <v>13</v>
      </c>
      <c r="H28" s="3">
        <v>17</v>
      </c>
      <c r="I28" s="4">
        <f t="shared" si="5"/>
        <v>4</v>
      </c>
      <c r="J28">
        <f t="shared" si="0"/>
        <v>7</v>
      </c>
      <c r="K28" s="2">
        <v>38</v>
      </c>
      <c r="L28">
        <f t="shared" si="6"/>
        <v>49</v>
      </c>
      <c r="M28" s="2">
        <v>25.5</v>
      </c>
      <c r="N28" s="3">
        <v>22</v>
      </c>
      <c r="O28" s="4">
        <f t="shared" si="7"/>
        <v>6</v>
      </c>
      <c r="P28">
        <f t="shared" si="1"/>
        <v>8.5</v>
      </c>
      <c r="Q28" s="2">
        <v>56.5</v>
      </c>
      <c r="R28">
        <f t="shared" si="8"/>
        <v>71</v>
      </c>
      <c r="S28" s="2">
        <v>16</v>
      </c>
      <c r="T28" s="3">
        <v>13.5</v>
      </c>
      <c r="U28" s="4">
        <f t="shared" si="9"/>
        <v>4</v>
      </c>
      <c r="V28">
        <f t="shared" si="2"/>
        <v>2.5</v>
      </c>
      <c r="W28" s="2">
        <v>26.5</v>
      </c>
      <c r="X28">
        <f t="shared" si="10"/>
        <v>33</v>
      </c>
      <c r="Y28" s="2">
        <v>14.5</v>
      </c>
      <c r="Z28" s="3">
        <v>28</v>
      </c>
      <c r="AA28" s="4">
        <f t="shared" si="11"/>
        <v>5.5</v>
      </c>
      <c r="AB28">
        <f t="shared" si="3"/>
        <v>8</v>
      </c>
      <c r="AC28" s="2">
        <v>39</v>
      </c>
      <c r="AD28">
        <f t="shared" si="12"/>
        <v>53</v>
      </c>
      <c r="AE28" s="2">
        <v>22</v>
      </c>
      <c r="AF28" s="3">
        <v>23</v>
      </c>
      <c r="AG28" s="4">
        <f t="shared" si="13"/>
        <v>6</v>
      </c>
      <c r="AH28">
        <f t="shared" si="4"/>
        <v>4.5</v>
      </c>
      <c r="AI28" s="2">
        <v>23.5</v>
      </c>
      <c r="AJ28">
        <f t="shared" si="14"/>
        <v>34</v>
      </c>
      <c r="AK28" s="2">
        <v>9</v>
      </c>
      <c r="AL28" s="3">
        <v>2.5</v>
      </c>
      <c r="AM28" s="4">
        <v>5</v>
      </c>
      <c r="AN28" s="2">
        <v>7</v>
      </c>
      <c r="AO28" s="3">
        <v>14</v>
      </c>
      <c r="AP28" s="4">
        <v>18.5</v>
      </c>
      <c r="AQ28">
        <v>8</v>
      </c>
      <c r="AR28">
        <v>8</v>
      </c>
      <c r="AS28">
        <v>9</v>
      </c>
      <c r="AT28">
        <v>6</v>
      </c>
      <c r="AU28">
        <f t="shared" si="15"/>
        <v>3</v>
      </c>
      <c r="AV28" t="s">
        <v>230</v>
      </c>
      <c r="AW28" t="s">
        <v>231</v>
      </c>
      <c r="AX28" t="s">
        <v>232</v>
      </c>
      <c r="AY28" t="s">
        <v>242</v>
      </c>
      <c r="AZ28" t="s">
        <v>262</v>
      </c>
      <c r="BA28" t="s">
        <v>235</v>
      </c>
      <c r="BB28" t="s">
        <v>239</v>
      </c>
      <c r="BC28" t="s">
        <v>218</v>
      </c>
      <c r="BD28" t="s">
        <v>220</v>
      </c>
      <c r="BE28">
        <v>2.5</v>
      </c>
      <c r="BF28">
        <v>10</v>
      </c>
      <c r="BG28">
        <v>9</v>
      </c>
      <c r="BH28">
        <v>8</v>
      </c>
      <c r="BI28">
        <v>1.5</v>
      </c>
      <c r="BJ28" t="s">
        <v>222</v>
      </c>
      <c r="BK28">
        <v>6</v>
      </c>
      <c r="BL28">
        <v>7</v>
      </c>
      <c r="BM28">
        <v>6.5</v>
      </c>
      <c r="BN28">
        <v>5.5</v>
      </c>
      <c r="BO28">
        <v>3.5</v>
      </c>
    </row>
    <row r="29" spans="1:67" x14ac:dyDescent="0.25">
      <c r="A29">
        <v>28</v>
      </c>
      <c r="B29" t="s">
        <v>384</v>
      </c>
      <c r="C29" t="s">
        <v>221</v>
      </c>
      <c r="D29">
        <v>16183</v>
      </c>
      <c r="E29" t="s">
        <v>150</v>
      </c>
      <c r="F29" t="s">
        <v>12</v>
      </c>
      <c r="G29" s="2">
        <v>29.5</v>
      </c>
      <c r="H29" s="3">
        <v>26</v>
      </c>
      <c r="I29" s="4">
        <f t="shared" si="5"/>
        <v>7</v>
      </c>
      <c r="J29">
        <f t="shared" si="0"/>
        <v>8</v>
      </c>
      <c r="K29" s="2">
        <v>52.5</v>
      </c>
      <c r="L29">
        <f t="shared" si="6"/>
        <v>68</v>
      </c>
      <c r="M29" s="2">
        <v>33</v>
      </c>
      <c r="N29" s="3">
        <v>33.5</v>
      </c>
      <c r="O29" s="4">
        <f t="shared" si="7"/>
        <v>8.5</v>
      </c>
      <c r="P29">
        <f t="shared" si="1"/>
        <v>10</v>
      </c>
      <c r="Q29" s="2">
        <v>69</v>
      </c>
      <c r="R29">
        <f t="shared" si="8"/>
        <v>88</v>
      </c>
      <c r="S29" s="2">
        <v>33.5</v>
      </c>
      <c r="T29" s="3">
        <v>35.5</v>
      </c>
      <c r="U29" s="4">
        <f t="shared" si="9"/>
        <v>9</v>
      </c>
      <c r="V29">
        <f t="shared" si="2"/>
        <v>8</v>
      </c>
      <c r="W29" s="2">
        <v>61</v>
      </c>
      <c r="X29">
        <f t="shared" si="10"/>
        <v>78</v>
      </c>
      <c r="Y29" s="2">
        <v>23.5</v>
      </c>
      <c r="Z29" s="3">
        <v>38</v>
      </c>
      <c r="AA29" s="4">
        <f t="shared" si="11"/>
        <v>8</v>
      </c>
      <c r="AB29">
        <f t="shared" si="3"/>
        <v>9.5</v>
      </c>
      <c r="AC29" s="2">
        <v>61.5</v>
      </c>
      <c r="AD29">
        <f t="shared" si="12"/>
        <v>79</v>
      </c>
      <c r="AE29" s="2">
        <v>35</v>
      </c>
      <c r="AF29" s="3">
        <v>30</v>
      </c>
      <c r="AG29" s="4">
        <f t="shared" si="13"/>
        <v>8.5</v>
      </c>
      <c r="AH29">
        <f t="shared" si="4"/>
        <v>8.5</v>
      </c>
      <c r="AI29" s="2">
        <v>69</v>
      </c>
      <c r="AJ29">
        <f t="shared" si="14"/>
        <v>86</v>
      </c>
      <c r="AK29" s="2">
        <v>20.5</v>
      </c>
      <c r="AL29" s="3">
        <v>21.5</v>
      </c>
      <c r="AM29" s="4">
        <v>24.5</v>
      </c>
      <c r="AN29" s="2">
        <v>5</v>
      </c>
      <c r="AO29" s="3">
        <v>21</v>
      </c>
      <c r="AP29" s="4">
        <v>32</v>
      </c>
      <c r="AQ29">
        <v>7</v>
      </c>
      <c r="AR29">
        <v>7.5</v>
      </c>
      <c r="AS29">
        <v>10</v>
      </c>
      <c r="AT29">
        <v>13</v>
      </c>
      <c r="AU29">
        <f t="shared" si="15"/>
        <v>6.5</v>
      </c>
      <c r="AV29" t="s">
        <v>230</v>
      </c>
      <c r="AW29" t="s">
        <v>231</v>
      </c>
      <c r="AX29" t="s">
        <v>232</v>
      </c>
      <c r="AY29" t="s">
        <v>254</v>
      </c>
      <c r="AZ29" t="s">
        <v>262</v>
      </c>
      <c r="BA29" t="s">
        <v>235</v>
      </c>
      <c r="BB29" t="s">
        <v>239</v>
      </c>
      <c r="BC29" t="s">
        <v>218</v>
      </c>
      <c r="BD29" t="s">
        <v>220</v>
      </c>
      <c r="BE29">
        <v>10</v>
      </c>
      <c r="BF29">
        <v>10</v>
      </c>
      <c r="BG29">
        <v>10</v>
      </c>
      <c r="BH29">
        <v>6.5</v>
      </c>
      <c r="BI29">
        <v>7</v>
      </c>
      <c r="BJ29" t="s">
        <v>222</v>
      </c>
      <c r="BK29">
        <v>6.5</v>
      </c>
      <c r="BL29">
        <v>10</v>
      </c>
      <c r="BM29">
        <v>8.5</v>
      </c>
      <c r="BN29">
        <v>9.5</v>
      </c>
      <c r="BO29">
        <v>8.5</v>
      </c>
    </row>
    <row r="30" spans="1:67" x14ac:dyDescent="0.25">
      <c r="A30">
        <v>29</v>
      </c>
      <c r="B30" t="s">
        <v>384</v>
      </c>
      <c r="C30" t="s">
        <v>221</v>
      </c>
      <c r="D30">
        <v>16187</v>
      </c>
      <c r="E30" t="s">
        <v>155</v>
      </c>
      <c r="F30" t="s">
        <v>12</v>
      </c>
      <c r="G30" s="2">
        <v>24</v>
      </c>
      <c r="H30" s="3">
        <v>18</v>
      </c>
      <c r="I30" s="4">
        <f t="shared" si="5"/>
        <v>5.5</v>
      </c>
      <c r="J30">
        <f t="shared" si="0"/>
        <v>7</v>
      </c>
      <c r="K30" s="2">
        <v>34</v>
      </c>
      <c r="L30">
        <f t="shared" si="6"/>
        <v>47</v>
      </c>
      <c r="M30" s="2">
        <v>26.5</v>
      </c>
      <c r="N30" s="3">
        <v>30.5</v>
      </c>
      <c r="O30" s="4">
        <f t="shared" si="7"/>
        <v>7.5</v>
      </c>
      <c r="P30">
        <f t="shared" si="1"/>
        <v>8.5</v>
      </c>
      <c r="Q30" s="2">
        <v>53.5</v>
      </c>
      <c r="R30">
        <f t="shared" si="8"/>
        <v>70</v>
      </c>
      <c r="S30" s="2">
        <v>13.5</v>
      </c>
      <c r="T30" s="3">
        <v>13.5</v>
      </c>
      <c r="U30" s="4">
        <f t="shared" si="9"/>
        <v>3.5</v>
      </c>
      <c r="V30">
        <f t="shared" si="2"/>
        <v>3.5</v>
      </c>
      <c r="W30" s="2">
        <v>26.5</v>
      </c>
      <c r="X30">
        <f t="shared" si="10"/>
        <v>34</v>
      </c>
      <c r="Y30" s="2">
        <v>27</v>
      </c>
      <c r="Z30" s="3" t="s">
        <v>14</v>
      </c>
      <c r="AA30" s="4">
        <f t="shared" si="11"/>
        <v>3.5</v>
      </c>
      <c r="AB30">
        <f t="shared" si="3"/>
        <v>7</v>
      </c>
      <c r="AC30" s="2">
        <v>34.5</v>
      </c>
      <c r="AD30">
        <f t="shared" si="12"/>
        <v>45</v>
      </c>
      <c r="AE30" s="2">
        <v>22.5</v>
      </c>
      <c r="AF30" s="3">
        <v>22</v>
      </c>
      <c r="AG30" s="4">
        <f t="shared" si="13"/>
        <v>6</v>
      </c>
      <c r="AH30">
        <f t="shared" si="4"/>
        <v>4.5</v>
      </c>
      <c r="AI30" s="2">
        <v>42</v>
      </c>
      <c r="AJ30">
        <f t="shared" si="14"/>
        <v>53</v>
      </c>
      <c r="AK30" s="2">
        <v>15.5</v>
      </c>
      <c r="AL30" s="3">
        <v>16.5</v>
      </c>
      <c r="AM30" s="4">
        <v>18.5</v>
      </c>
      <c r="AN30" s="2">
        <v>5</v>
      </c>
      <c r="AO30" s="3">
        <v>16</v>
      </c>
      <c r="AP30" s="4">
        <v>35</v>
      </c>
      <c r="AQ30">
        <v>8</v>
      </c>
      <c r="AR30">
        <v>7</v>
      </c>
      <c r="AS30">
        <v>6</v>
      </c>
      <c r="AT30">
        <v>9</v>
      </c>
      <c r="AU30">
        <f t="shared" si="15"/>
        <v>4.5</v>
      </c>
      <c r="AV30" t="s">
        <v>230</v>
      </c>
      <c r="AW30" t="s">
        <v>231</v>
      </c>
      <c r="AX30" t="s">
        <v>232</v>
      </c>
      <c r="AY30" t="s">
        <v>249</v>
      </c>
      <c r="AZ30" t="s">
        <v>265</v>
      </c>
      <c r="BA30" t="s">
        <v>235</v>
      </c>
      <c r="BB30" t="s">
        <v>239</v>
      </c>
      <c r="BC30" t="s">
        <v>218</v>
      </c>
      <c r="BD30" t="s">
        <v>220</v>
      </c>
      <c r="BE30">
        <v>2.5</v>
      </c>
      <c r="BF30">
        <v>10</v>
      </c>
      <c r="BG30">
        <v>8.5</v>
      </c>
      <c r="BH30">
        <v>7.5</v>
      </c>
      <c r="BI30">
        <v>3</v>
      </c>
      <c r="BJ30" t="s">
        <v>222</v>
      </c>
      <c r="BK30">
        <v>6.5</v>
      </c>
      <c r="BL30">
        <v>6.5</v>
      </c>
      <c r="BM30">
        <v>5.5</v>
      </c>
      <c r="BN30">
        <v>6.5</v>
      </c>
      <c r="BO30">
        <v>3.5</v>
      </c>
    </row>
    <row r="31" spans="1:67" x14ac:dyDescent="0.25">
      <c r="A31">
        <v>30</v>
      </c>
      <c r="B31" t="s">
        <v>384</v>
      </c>
      <c r="C31" t="s">
        <v>221</v>
      </c>
      <c r="D31">
        <v>16175</v>
      </c>
      <c r="E31" t="s">
        <v>160</v>
      </c>
      <c r="F31" t="s">
        <v>12</v>
      </c>
      <c r="G31" s="2">
        <v>32.5</v>
      </c>
      <c r="H31" s="3">
        <v>30.5</v>
      </c>
      <c r="I31" s="4">
        <f t="shared" si="5"/>
        <v>8</v>
      </c>
      <c r="J31">
        <f t="shared" si="0"/>
        <v>8</v>
      </c>
      <c r="K31" s="2">
        <v>61</v>
      </c>
      <c r="L31">
        <f t="shared" si="6"/>
        <v>77</v>
      </c>
      <c r="M31" s="2">
        <v>39</v>
      </c>
      <c r="N31" s="3">
        <v>39</v>
      </c>
      <c r="O31" s="4">
        <f t="shared" si="7"/>
        <v>10</v>
      </c>
      <c r="P31">
        <f t="shared" si="1"/>
        <v>10</v>
      </c>
      <c r="Q31" s="2">
        <v>72.5</v>
      </c>
      <c r="R31">
        <f t="shared" si="8"/>
        <v>93</v>
      </c>
      <c r="S31" s="2">
        <v>25</v>
      </c>
      <c r="T31" s="3">
        <v>28.5</v>
      </c>
      <c r="U31" s="4">
        <f t="shared" si="9"/>
        <v>7</v>
      </c>
      <c r="V31">
        <f t="shared" si="2"/>
        <v>6.5</v>
      </c>
      <c r="W31" s="2">
        <v>65.5</v>
      </c>
      <c r="X31">
        <f t="shared" si="10"/>
        <v>79</v>
      </c>
      <c r="Y31" s="2">
        <v>38</v>
      </c>
      <c r="Z31" s="3">
        <v>37.5</v>
      </c>
      <c r="AA31" s="4">
        <f t="shared" si="11"/>
        <v>9.5</v>
      </c>
      <c r="AB31">
        <f t="shared" si="3"/>
        <v>8</v>
      </c>
      <c r="AC31" s="2">
        <v>66.5</v>
      </c>
      <c r="AD31">
        <f t="shared" si="12"/>
        <v>84</v>
      </c>
      <c r="AE31" s="2">
        <v>37</v>
      </c>
      <c r="AF31" s="3">
        <v>37.5</v>
      </c>
      <c r="AG31" s="4">
        <f t="shared" si="13"/>
        <v>9.5</v>
      </c>
      <c r="AH31">
        <f t="shared" si="4"/>
        <v>9</v>
      </c>
      <c r="AI31" s="2">
        <v>71</v>
      </c>
      <c r="AJ31">
        <f t="shared" si="14"/>
        <v>90</v>
      </c>
      <c r="AK31" s="2">
        <v>23.5</v>
      </c>
      <c r="AL31" s="3">
        <v>22.5</v>
      </c>
      <c r="AM31" s="4">
        <v>25</v>
      </c>
      <c r="AN31" s="2">
        <v>7</v>
      </c>
      <c r="AO31" s="3">
        <v>22</v>
      </c>
      <c r="AP31" s="4">
        <v>37</v>
      </c>
      <c r="AQ31">
        <v>8</v>
      </c>
      <c r="AR31">
        <v>8</v>
      </c>
      <c r="AS31">
        <v>10</v>
      </c>
      <c r="AT31">
        <v>18</v>
      </c>
      <c r="AU31">
        <f t="shared" si="15"/>
        <v>9</v>
      </c>
      <c r="AV31" t="s">
        <v>230</v>
      </c>
      <c r="AW31" t="s">
        <v>231</v>
      </c>
      <c r="AX31" t="s">
        <v>232</v>
      </c>
      <c r="AY31" t="s">
        <v>266</v>
      </c>
      <c r="AZ31" t="s">
        <v>262</v>
      </c>
      <c r="BA31" t="s">
        <v>235</v>
      </c>
      <c r="BB31" t="s">
        <v>239</v>
      </c>
      <c r="BC31" t="s">
        <v>218</v>
      </c>
      <c r="BD31" t="s">
        <v>220</v>
      </c>
      <c r="BE31">
        <v>8</v>
      </c>
      <c r="BF31">
        <v>10</v>
      </c>
      <c r="BG31">
        <v>8</v>
      </c>
      <c r="BH31">
        <v>7.5</v>
      </c>
      <c r="BI31">
        <v>7</v>
      </c>
      <c r="BJ31" t="s">
        <v>222</v>
      </c>
      <c r="BK31">
        <v>10</v>
      </c>
      <c r="BL31">
        <v>9.5</v>
      </c>
      <c r="BM31">
        <v>8</v>
      </c>
      <c r="BN31">
        <v>8</v>
      </c>
      <c r="BO31">
        <v>5.5</v>
      </c>
    </row>
    <row r="32" spans="1:67" x14ac:dyDescent="0.25">
      <c r="A32">
        <v>31</v>
      </c>
      <c r="B32" t="s">
        <v>384</v>
      </c>
      <c r="C32" t="s">
        <v>221</v>
      </c>
      <c r="D32">
        <v>16207</v>
      </c>
      <c r="E32" t="s">
        <v>165</v>
      </c>
      <c r="F32" t="s">
        <v>12</v>
      </c>
      <c r="G32" s="2">
        <v>31.5</v>
      </c>
      <c r="H32" s="3">
        <v>34.5</v>
      </c>
      <c r="I32" s="4">
        <f t="shared" si="5"/>
        <v>8.5</v>
      </c>
      <c r="J32">
        <f t="shared" si="0"/>
        <v>9.5</v>
      </c>
      <c r="K32" s="2">
        <v>71.5</v>
      </c>
      <c r="L32">
        <f t="shared" si="6"/>
        <v>90</v>
      </c>
      <c r="M32" s="2">
        <v>39.5</v>
      </c>
      <c r="N32" s="3">
        <v>38.5</v>
      </c>
      <c r="O32" s="4">
        <f t="shared" si="7"/>
        <v>10</v>
      </c>
      <c r="P32">
        <f t="shared" si="1"/>
        <v>10</v>
      </c>
      <c r="Q32" s="2">
        <v>79</v>
      </c>
      <c r="R32">
        <f t="shared" si="8"/>
        <v>99</v>
      </c>
      <c r="S32" s="2">
        <v>34.5</v>
      </c>
      <c r="T32" s="3">
        <v>37.5</v>
      </c>
      <c r="U32" s="4">
        <f t="shared" si="9"/>
        <v>9</v>
      </c>
      <c r="V32">
        <f t="shared" si="2"/>
        <v>10</v>
      </c>
      <c r="W32" s="2">
        <v>79</v>
      </c>
      <c r="X32">
        <f t="shared" si="10"/>
        <v>98</v>
      </c>
      <c r="Y32" s="2">
        <v>36.5</v>
      </c>
      <c r="Z32" s="3">
        <v>39.5</v>
      </c>
      <c r="AA32" s="4">
        <f t="shared" si="11"/>
        <v>9.5</v>
      </c>
      <c r="AB32">
        <f t="shared" si="3"/>
        <v>9.5</v>
      </c>
      <c r="AC32" s="2">
        <v>73.5</v>
      </c>
      <c r="AD32">
        <f t="shared" si="12"/>
        <v>93</v>
      </c>
      <c r="AE32" s="2">
        <v>38</v>
      </c>
      <c r="AF32" s="3">
        <v>39</v>
      </c>
      <c r="AG32" s="4">
        <f t="shared" si="13"/>
        <v>10</v>
      </c>
      <c r="AH32">
        <f t="shared" si="4"/>
        <v>9.5</v>
      </c>
      <c r="AI32" s="2">
        <v>73</v>
      </c>
      <c r="AJ32">
        <f t="shared" si="14"/>
        <v>93</v>
      </c>
      <c r="AK32" s="2">
        <v>25</v>
      </c>
      <c r="AL32" s="3">
        <v>25</v>
      </c>
      <c r="AM32" s="4">
        <v>29.5</v>
      </c>
      <c r="AN32" s="2">
        <v>10</v>
      </c>
      <c r="AO32" s="3">
        <v>22</v>
      </c>
      <c r="AP32" s="4">
        <v>37</v>
      </c>
      <c r="AQ32">
        <v>8</v>
      </c>
      <c r="AR32">
        <v>9</v>
      </c>
      <c r="AS32">
        <v>10</v>
      </c>
      <c r="AT32">
        <v>16</v>
      </c>
      <c r="AU32">
        <f t="shared" si="15"/>
        <v>8</v>
      </c>
      <c r="AV32" t="s">
        <v>230</v>
      </c>
      <c r="AW32" t="s">
        <v>231</v>
      </c>
      <c r="AX32" t="s">
        <v>232</v>
      </c>
      <c r="AY32" t="s">
        <v>253</v>
      </c>
      <c r="BA32" t="s">
        <v>235</v>
      </c>
      <c r="BB32" t="s">
        <v>239</v>
      </c>
      <c r="BC32" t="s">
        <v>218</v>
      </c>
      <c r="BD32" t="s">
        <v>220</v>
      </c>
      <c r="BE32">
        <v>10</v>
      </c>
      <c r="BF32">
        <v>10</v>
      </c>
      <c r="BG32">
        <v>10</v>
      </c>
      <c r="BH32">
        <v>9.5</v>
      </c>
      <c r="BI32">
        <v>10</v>
      </c>
      <c r="BJ32" t="s">
        <v>222</v>
      </c>
      <c r="BK32">
        <v>9</v>
      </c>
      <c r="BL32">
        <v>10</v>
      </c>
      <c r="BM32">
        <v>8.5</v>
      </c>
      <c r="BN32">
        <v>9.5</v>
      </c>
      <c r="BO32">
        <v>9.5</v>
      </c>
    </row>
    <row r="33" spans="1:67" x14ac:dyDescent="0.25">
      <c r="A33">
        <v>32</v>
      </c>
      <c r="B33" t="s">
        <v>384</v>
      </c>
      <c r="C33" t="s">
        <v>221</v>
      </c>
      <c r="D33">
        <v>16208</v>
      </c>
      <c r="E33" t="s">
        <v>170</v>
      </c>
      <c r="F33" t="s">
        <v>12</v>
      </c>
      <c r="G33" s="2">
        <v>28</v>
      </c>
      <c r="H33" s="3">
        <v>24.5</v>
      </c>
      <c r="I33" s="4">
        <f t="shared" si="5"/>
        <v>7</v>
      </c>
      <c r="J33">
        <f t="shared" si="0"/>
        <v>7</v>
      </c>
      <c r="K33" s="2">
        <v>48.5</v>
      </c>
      <c r="L33">
        <f t="shared" si="6"/>
        <v>63</v>
      </c>
      <c r="M33" s="2">
        <v>32.5</v>
      </c>
      <c r="N33" s="3">
        <v>36</v>
      </c>
      <c r="O33" s="4">
        <f t="shared" si="7"/>
        <v>9</v>
      </c>
      <c r="P33">
        <f t="shared" si="1"/>
        <v>10</v>
      </c>
      <c r="Q33" s="2">
        <v>67.5</v>
      </c>
      <c r="R33">
        <f t="shared" si="8"/>
        <v>87</v>
      </c>
      <c r="S33" s="2">
        <v>28</v>
      </c>
      <c r="T33" s="3">
        <v>33.5</v>
      </c>
      <c r="U33" s="4">
        <f t="shared" si="9"/>
        <v>8</v>
      </c>
      <c r="V33">
        <f t="shared" si="2"/>
        <v>8</v>
      </c>
      <c r="W33" s="2">
        <v>66</v>
      </c>
      <c r="X33">
        <f t="shared" si="10"/>
        <v>82</v>
      </c>
      <c r="Y33" s="2">
        <v>34.5</v>
      </c>
      <c r="Z33" s="3">
        <v>37</v>
      </c>
      <c r="AA33" s="4">
        <f t="shared" si="11"/>
        <v>9</v>
      </c>
      <c r="AB33">
        <f t="shared" si="3"/>
        <v>9.5</v>
      </c>
      <c r="AC33" s="2">
        <v>72.5</v>
      </c>
      <c r="AD33">
        <f t="shared" si="12"/>
        <v>91</v>
      </c>
      <c r="AE33" s="2">
        <v>37.5</v>
      </c>
      <c r="AF33" s="3">
        <v>36.5</v>
      </c>
      <c r="AG33" s="4">
        <f t="shared" si="13"/>
        <v>9.5</v>
      </c>
      <c r="AH33">
        <f t="shared" si="4"/>
        <v>8</v>
      </c>
      <c r="AI33" s="2">
        <v>73.5</v>
      </c>
      <c r="AJ33">
        <f t="shared" si="14"/>
        <v>91</v>
      </c>
      <c r="AK33" s="2">
        <v>19</v>
      </c>
      <c r="AL33" s="3">
        <v>19.5</v>
      </c>
      <c r="AM33" s="4">
        <v>17.5</v>
      </c>
      <c r="AN33" s="2">
        <v>4</v>
      </c>
      <c r="AO33" s="3">
        <v>18</v>
      </c>
      <c r="AP33" s="4">
        <v>33</v>
      </c>
      <c r="AQ33">
        <v>8</v>
      </c>
      <c r="AR33">
        <v>8</v>
      </c>
      <c r="AS33">
        <v>10</v>
      </c>
      <c r="AT33">
        <v>8.5</v>
      </c>
      <c r="AU33">
        <f t="shared" si="15"/>
        <v>4.5</v>
      </c>
      <c r="AV33" t="s">
        <v>230</v>
      </c>
      <c r="AW33" t="s">
        <v>231</v>
      </c>
      <c r="AX33" t="s">
        <v>232</v>
      </c>
      <c r="AY33" t="s">
        <v>233</v>
      </c>
      <c r="AZ33" t="s">
        <v>262</v>
      </c>
      <c r="BA33" t="s">
        <v>267</v>
      </c>
      <c r="BC33" t="s">
        <v>218</v>
      </c>
      <c r="BD33" t="s">
        <v>220</v>
      </c>
      <c r="BE33">
        <v>8</v>
      </c>
      <c r="BF33">
        <v>10</v>
      </c>
      <c r="BG33">
        <v>10</v>
      </c>
      <c r="BH33">
        <v>8.5</v>
      </c>
      <c r="BI33">
        <v>8</v>
      </c>
      <c r="BJ33" t="s">
        <v>222</v>
      </c>
      <c r="BK33">
        <v>7.5</v>
      </c>
      <c r="BL33">
        <v>10</v>
      </c>
      <c r="BM33">
        <v>9</v>
      </c>
      <c r="BN33">
        <v>5.5</v>
      </c>
      <c r="BO33">
        <v>7.5</v>
      </c>
    </row>
    <row r="34" spans="1:67" x14ac:dyDescent="0.25">
      <c r="A34">
        <v>33</v>
      </c>
      <c r="B34" t="s">
        <v>384</v>
      </c>
      <c r="C34" t="s">
        <v>221</v>
      </c>
      <c r="D34">
        <v>16589</v>
      </c>
      <c r="E34" t="s">
        <v>175</v>
      </c>
      <c r="F34" t="s">
        <v>12</v>
      </c>
      <c r="G34" s="2">
        <v>4</v>
      </c>
      <c r="H34" s="3">
        <v>5</v>
      </c>
      <c r="I34" s="4">
        <f t="shared" si="5"/>
        <v>1.5</v>
      </c>
      <c r="J34">
        <f t="shared" si="0"/>
        <v>2</v>
      </c>
      <c r="K34" s="2">
        <v>5</v>
      </c>
      <c r="L34">
        <f t="shared" si="6"/>
        <v>9</v>
      </c>
      <c r="M34" s="2">
        <v>16</v>
      </c>
      <c r="N34" s="3">
        <v>10</v>
      </c>
      <c r="O34" s="4">
        <f t="shared" si="7"/>
        <v>3.5</v>
      </c>
      <c r="P34">
        <f t="shared" si="1"/>
        <v>2</v>
      </c>
      <c r="Q34" s="2">
        <v>13</v>
      </c>
      <c r="R34">
        <f t="shared" si="8"/>
        <v>19</v>
      </c>
      <c r="S34" s="2">
        <v>8</v>
      </c>
      <c r="T34" s="3">
        <v>4.5</v>
      </c>
      <c r="U34" s="4">
        <f t="shared" si="9"/>
        <v>2</v>
      </c>
      <c r="V34">
        <f t="shared" si="2"/>
        <v>4</v>
      </c>
      <c r="W34" s="2">
        <v>14.5</v>
      </c>
      <c r="X34">
        <f t="shared" si="10"/>
        <v>21</v>
      </c>
      <c r="Y34" s="2">
        <v>1</v>
      </c>
      <c r="Z34" s="3">
        <v>5.5</v>
      </c>
      <c r="AA34" s="4">
        <f t="shared" si="11"/>
        <v>1</v>
      </c>
      <c r="AB34">
        <f t="shared" si="3"/>
        <v>1</v>
      </c>
      <c r="AC34" s="2">
        <v>7</v>
      </c>
      <c r="AD34">
        <f t="shared" si="12"/>
        <v>9</v>
      </c>
      <c r="AE34" s="2">
        <v>4.5</v>
      </c>
      <c r="AF34" s="3">
        <v>8</v>
      </c>
      <c r="AG34" s="4">
        <f t="shared" si="13"/>
        <v>2</v>
      </c>
      <c r="AH34">
        <f t="shared" si="4"/>
        <v>3</v>
      </c>
      <c r="AI34" s="2">
        <v>8.5</v>
      </c>
      <c r="AJ34">
        <f t="shared" si="14"/>
        <v>14</v>
      </c>
      <c r="AK34" s="2">
        <v>7</v>
      </c>
      <c r="AL34" s="3">
        <v>2.5</v>
      </c>
      <c r="AM34" s="4">
        <v>5</v>
      </c>
      <c r="AN34" s="2">
        <v>8</v>
      </c>
      <c r="AO34" s="3">
        <v>10</v>
      </c>
      <c r="AP34" s="4">
        <v>20</v>
      </c>
      <c r="AQ34">
        <v>7</v>
      </c>
      <c r="AR34">
        <v>6.5</v>
      </c>
      <c r="AS34">
        <v>5</v>
      </c>
      <c r="AT34">
        <v>5</v>
      </c>
      <c r="AU34">
        <f t="shared" si="15"/>
        <v>2.5</v>
      </c>
      <c r="AV34" t="s">
        <v>268</v>
      </c>
      <c r="AW34" t="s">
        <v>231</v>
      </c>
      <c r="AX34" t="s">
        <v>237</v>
      </c>
      <c r="AY34" t="s">
        <v>254</v>
      </c>
      <c r="BA34" t="s">
        <v>235</v>
      </c>
      <c r="BB34" t="s">
        <v>239</v>
      </c>
      <c r="BC34" t="s">
        <v>218</v>
      </c>
      <c r="BD34" t="s">
        <v>220</v>
      </c>
      <c r="BE34">
        <v>1</v>
      </c>
      <c r="BF34">
        <v>1</v>
      </c>
      <c r="BG34">
        <v>1</v>
      </c>
      <c r="BH34">
        <v>2.5</v>
      </c>
      <c r="BI34">
        <v>4</v>
      </c>
      <c r="BJ34" t="s">
        <v>222</v>
      </c>
      <c r="BK34">
        <v>5</v>
      </c>
      <c r="BL34">
        <v>3</v>
      </c>
      <c r="BM34" s="1">
        <v>0.12847222222222224</v>
      </c>
      <c r="BN34">
        <v>1.5</v>
      </c>
      <c r="BO34">
        <v>4</v>
      </c>
    </row>
    <row r="35" spans="1:67" x14ac:dyDescent="0.25">
      <c r="A35">
        <v>34</v>
      </c>
      <c r="B35" t="s">
        <v>384</v>
      </c>
      <c r="C35" t="s">
        <v>221</v>
      </c>
      <c r="D35">
        <v>17214</v>
      </c>
      <c r="E35" t="s">
        <v>180</v>
      </c>
      <c r="F35" t="s">
        <v>12</v>
      </c>
      <c r="G35" s="2">
        <v>33.5</v>
      </c>
      <c r="H35" s="3">
        <v>36</v>
      </c>
      <c r="I35" s="4">
        <f t="shared" si="5"/>
        <v>9</v>
      </c>
      <c r="J35">
        <f t="shared" si="0"/>
        <v>10</v>
      </c>
      <c r="K35" s="2">
        <v>74</v>
      </c>
      <c r="L35">
        <f t="shared" si="6"/>
        <v>93</v>
      </c>
      <c r="M35" s="2">
        <v>39.5</v>
      </c>
      <c r="N35" s="3">
        <v>39.5</v>
      </c>
      <c r="O35" s="4">
        <f t="shared" si="7"/>
        <v>10</v>
      </c>
      <c r="P35">
        <f t="shared" si="1"/>
        <v>10</v>
      </c>
      <c r="Q35" s="2">
        <v>0</v>
      </c>
      <c r="R35">
        <f t="shared" si="8"/>
        <v>20</v>
      </c>
      <c r="S35" s="2">
        <v>36.5</v>
      </c>
      <c r="T35" s="3">
        <v>37.5</v>
      </c>
      <c r="U35" s="4">
        <f t="shared" si="9"/>
        <v>9.5</v>
      </c>
      <c r="V35">
        <f t="shared" si="2"/>
        <v>10</v>
      </c>
      <c r="W35" s="2">
        <v>75.5</v>
      </c>
      <c r="X35">
        <f t="shared" si="10"/>
        <v>95</v>
      </c>
      <c r="Y35" s="2">
        <v>34</v>
      </c>
      <c r="Z35" s="3">
        <v>37.5</v>
      </c>
      <c r="AA35" s="4">
        <f t="shared" si="11"/>
        <v>9</v>
      </c>
      <c r="AB35">
        <f t="shared" si="3"/>
        <v>9.5</v>
      </c>
      <c r="AC35" s="2" t="s">
        <v>14</v>
      </c>
      <c r="AD35">
        <f t="shared" si="12"/>
        <v>19</v>
      </c>
      <c r="AE35" s="2">
        <v>39</v>
      </c>
      <c r="AF35" s="3">
        <v>37</v>
      </c>
      <c r="AG35" s="4">
        <f t="shared" si="13"/>
        <v>9.5</v>
      </c>
      <c r="AH35">
        <f t="shared" si="4"/>
        <v>8.5</v>
      </c>
      <c r="AI35" s="2" t="s">
        <v>228</v>
      </c>
      <c r="AJ35">
        <f t="shared" si="14"/>
        <v>18</v>
      </c>
      <c r="AK35" s="2">
        <v>24</v>
      </c>
      <c r="AL35" s="3">
        <v>24.5</v>
      </c>
      <c r="AM35" s="4">
        <v>29</v>
      </c>
      <c r="AN35" s="2">
        <v>8</v>
      </c>
      <c r="AO35" s="3">
        <v>24</v>
      </c>
      <c r="AP35" s="4">
        <v>38</v>
      </c>
      <c r="AQ35">
        <v>8</v>
      </c>
      <c r="AR35">
        <v>8.5</v>
      </c>
      <c r="AS35">
        <v>10</v>
      </c>
      <c r="AT35">
        <v>14</v>
      </c>
      <c r="AU35">
        <f t="shared" si="15"/>
        <v>7</v>
      </c>
      <c r="AV35" t="s">
        <v>230</v>
      </c>
      <c r="AW35" t="s">
        <v>231</v>
      </c>
      <c r="AX35" t="s">
        <v>232</v>
      </c>
      <c r="AY35" t="s">
        <v>242</v>
      </c>
      <c r="AZ35" t="s">
        <v>262</v>
      </c>
      <c r="BA35" t="s">
        <v>269</v>
      </c>
      <c r="BB35" t="s">
        <v>270</v>
      </c>
      <c r="BC35" t="s">
        <v>218</v>
      </c>
      <c r="BD35" t="s">
        <v>220</v>
      </c>
      <c r="BE35">
        <v>10</v>
      </c>
      <c r="BF35">
        <v>10</v>
      </c>
      <c r="BG35">
        <v>9.5</v>
      </c>
      <c r="BH35">
        <v>9.5</v>
      </c>
      <c r="BI35">
        <v>10</v>
      </c>
      <c r="BJ35" t="s">
        <v>222</v>
      </c>
      <c r="BK35">
        <v>6.5</v>
      </c>
      <c r="BL35">
        <v>10</v>
      </c>
      <c r="BM35">
        <v>9</v>
      </c>
      <c r="BN35">
        <v>10</v>
      </c>
      <c r="BO35">
        <v>9.5</v>
      </c>
    </row>
    <row r="36" spans="1:67" x14ac:dyDescent="0.25">
      <c r="A36">
        <v>35</v>
      </c>
      <c r="B36" t="s">
        <v>384</v>
      </c>
      <c r="C36" t="s">
        <v>221</v>
      </c>
      <c r="D36">
        <v>17078</v>
      </c>
      <c r="E36" t="s">
        <v>185</v>
      </c>
      <c r="F36" t="s">
        <v>12</v>
      </c>
      <c r="G36" s="2">
        <v>28</v>
      </c>
      <c r="H36" s="3">
        <v>16</v>
      </c>
      <c r="I36" s="4">
        <f t="shared" si="5"/>
        <v>5.5</v>
      </c>
      <c r="J36">
        <f t="shared" si="0"/>
        <v>6.5</v>
      </c>
      <c r="K36" s="2">
        <v>47</v>
      </c>
      <c r="L36">
        <f t="shared" si="6"/>
        <v>59</v>
      </c>
      <c r="M36" s="2">
        <v>27.5</v>
      </c>
      <c r="N36" s="3">
        <v>36</v>
      </c>
      <c r="O36" s="4">
        <f t="shared" si="7"/>
        <v>8</v>
      </c>
      <c r="P36">
        <f t="shared" si="1"/>
        <v>9.5</v>
      </c>
      <c r="Q36" s="2">
        <v>51.5</v>
      </c>
      <c r="R36">
        <f t="shared" si="8"/>
        <v>69</v>
      </c>
      <c r="S36" s="2">
        <v>30.5</v>
      </c>
      <c r="T36" s="3">
        <v>23.5</v>
      </c>
      <c r="U36" s="4">
        <f t="shared" si="9"/>
        <v>7</v>
      </c>
      <c r="V36">
        <f t="shared" si="2"/>
        <v>7</v>
      </c>
      <c r="W36" s="2">
        <v>49.5</v>
      </c>
      <c r="X36">
        <f t="shared" si="10"/>
        <v>64</v>
      </c>
      <c r="Y36" s="2">
        <v>28</v>
      </c>
      <c r="Z36" s="3">
        <v>31.5</v>
      </c>
      <c r="AA36" s="4">
        <f t="shared" si="11"/>
        <v>7.5</v>
      </c>
      <c r="AB36">
        <f t="shared" si="3"/>
        <v>8</v>
      </c>
      <c r="AC36" s="2">
        <v>54</v>
      </c>
      <c r="AD36">
        <f t="shared" si="12"/>
        <v>70</v>
      </c>
      <c r="AE36" s="2">
        <v>33</v>
      </c>
      <c r="AF36" s="3">
        <v>31</v>
      </c>
      <c r="AG36" s="4">
        <f t="shared" si="13"/>
        <v>8</v>
      </c>
      <c r="AH36">
        <f t="shared" si="4"/>
        <v>7.5</v>
      </c>
      <c r="AI36" s="2">
        <v>55</v>
      </c>
      <c r="AJ36">
        <f t="shared" si="14"/>
        <v>71</v>
      </c>
      <c r="AK36" s="2">
        <v>22.5</v>
      </c>
      <c r="AL36" s="3">
        <v>20</v>
      </c>
      <c r="AM36" s="4">
        <v>20.5</v>
      </c>
      <c r="AN36" s="2">
        <v>5</v>
      </c>
      <c r="AO36" s="3">
        <v>18</v>
      </c>
      <c r="AP36" s="4">
        <v>26.5</v>
      </c>
      <c r="AQ36">
        <v>7</v>
      </c>
      <c r="AR36">
        <v>8</v>
      </c>
      <c r="AS36">
        <v>10</v>
      </c>
      <c r="AT36">
        <v>15.5</v>
      </c>
      <c r="AU36">
        <f t="shared" si="15"/>
        <v>8</v>
      </c>
      <c r="AV36" t="s">
        <v>230</v>
      </c>
      <c r="AW36" t="s">
        <v>231</v>
      </c>
      <c r="AX36" t="s">
        <v>232</v>
      </c>
      <c r="AY36" t="s">
        <v>240</v>
      </c>
      <c r="AZ36" t="s">
        <v>271</v>
      </c>
      <c r="BA36" t="s">
        <v>235</v>
      </c>
      <c r="BB36" t="s">
        <v>239</v>
      </c>
      <c r="BC36" t="s">
        <v>218</v>
      </c>
      <c r="BD36" t="s">
        <v>220</v>
      </c>
      <c r="BE36">
        <v>8</v>
      </c>
      <c r="BF36">
        <v>10</v>
      </c>
      <c r="BG36">
        <v>9</v>
      </c>
      <c r="BH36">
        <v>6</v>
      </c>
      <c r="BI36">
        <v>6.5</v>
      </c>
      <c r="BJ36" t="s">
        <v>222</v>
      </c>
      <c r="BK36">
        <v>7</v>
      </c>
      <c r="BL36">
        <v>8.5</v>
      </c>
      <c r="BM36">
        <v>7</v>
      </c>
      <c r="BN36">
        <v>7</v>
      </c>
      <c r="BO36">
        <v>7.5</v>
      </c>
    </row>
    <row r="37" spans="1:67" x14ac:dyDescent="0.25">
      <c r="A37">
        <v>36</v>
      </c>
      <c r="B37" t="s">
        <v>384</v>
      </c>
      <c r="C37" t="s">
        <v>221</v>
      </c>
      <c r="D37">
        <v>16248</v>
      </c>
      <c r="E37" t="s">
        <v>190</v>
      </c>
      <c r="F37" t="s">
        <v>12</v>
      </c>
      <c r="G37" s="2">
        <v>15</v>
      </c>
      <c r="H37" s="3">
        <v>7</v>
      </c>
      <c r="I37" s="4">
        <f t="shared" si="5"/>
        <v>3</v>
      </c>
      <c r="J37">
        <f t="shared" si="0"/>
        <v>5</v>
      </c>
      <c r="K37" s="2">
        <v>22</v>
      </c>
      <c r="L37">
        <f t="shared" si="6"/>
        <v>30</v>
      </c>
      <c r="M37" s="2">
        <v>25.5</v>
      </c>
      <c r="N37" s="3">
        <v>27.5</v>
      </c>
      <c r="O37" s="4">
        <f t="shared" si="7"/>
        <v>7</v>
      </c>
      <c r="P37">
        <f t="shared" si="1"/>
        <v>8</v>
      </c>
      <c r="Q37" s="2">
        <v>53</v>
      </c>
      <c r="R37">
        <f t="shared" si="8"/>
        <v>68</v>
      </c>
      <c r="S37" s="2">
        <v>22</v>
      </c>
      <c r="T37" s="3">
        <v>20</v>
      </c>
      <c r="U37" s="4">
        <f t="shared" si="9"/>
        <v>5.5</v>
      </c>
      <c r="V37">
        <f t="shared" si="2"/>
        <v>4</v>
      </c>
      <c r="W37" s="2">
        <v>36.5</v>
      </c>
      <c r="X37">
        <f t="shared" si="10"/>
        <v>46</v>
      </c>
      <c r="Y37" s="2">
        <v>12</v>
      </c>
      <c r="Z37" s="3">
        <v>13.5</v>
      </c>
      <c r="AA37" s="4">
        <f t="shared" si="11"/>
        <v>3.5</v>
      </c>
      <c r="AB37">
        <f t="shared" si="3"/>
        <v>2.5</v>
      </c>
      <c r="AC37" s="2">
        <v>18</v>
      </c>
      <c r="AD37">
        <f t="shared" si="12"/>
        <v>24</v>
      </c>
      <c r="AE37" s="2">
        <v>14.5</v>
      </c>
      <c r="AF37" s="3">
        <v>24</v>
      </c>
      <c r="AG37" s="4">
        <f t="shared" si="13"/>
        <v>5</v>
      </c>
      <c r="AH37">
        <f t="shared" si="4"/>
        <v>3.5</v>
      </c>
      <c r="AI37" s="2">
        <v>37</v>
      </c>
      <c r="AJ37">
        <f t="shared" si="14"/>
        <v>46</v>
      </c>
      <c r="AK37" s="2">
        <v>15</v>
      </c>
      <c r="AL37" s="3">
        <v>11.5</v>
      </c>
      <c r="AM37" s="4">
        <v>14.5</v>
      </c>
      <c r="AN37" s="2">
        <v>3</v>
      </c>
      <c r="AO37" s="3">
        <v>12</v>
      </c>
      <c r="AP37" s="4">
        <v>20.5</v>
      </c>
      <c r="AQ37">
        <v>8</v>
      </c>
      <c r="AR37">
        <v>6.5</v>
      </c>
      <c r="AS37">
        <v>10</v>
      </c>
      <c r="AT37">
        <v>7</v>
      </c>
      <c r="AU37">
        <f t="shared" si="15"/>
        <v>3.5</v>
      </c>
      <c r="AV37" t="s">
        <v>230</v>
      </c>
      <c r="AW37" t="s">
        <v>231</v>
      </c>
      <c r="AX37" t="s">
        <v>232</v>
      </c>
      <c r="AY37" t="s">
        <v>253</v>
      </c>
      <c r="BA37" t="s">
        <v>235</v>
      </c>
      <c r="BB37" t="s">
        <v>239</v>
      </c>
      <c r="BC37" t="s">
        <v>218</v>
      </c>
      <c r="BD37" t="s">
        <v>220</v>
      </c>
      <c r="BE37" t="s">
        <v>14</v>
      </c>
      <c r="BF37">
        <v>10</v>
      </c>
      <c r="BG37" t="s">
        <v>14</v>
      </c>
      <c r="BH37">
        <v>5.5</v>
      </c>
      <c r="BI37">
        <v>4</v>
      </c>
      <c r="BJ37" t="s">
        <v>222</v>
      </c>
      <c r="BK37">
        <v>6.5</v>
      </c>
      <c r="BL37">
        <v>6</v>
      </c>
      <c r="BM37">
        <v>5</v>
      </c>
      <c r="BN37">
        <v>4.5</v>
      </c>
      <c r="BO37">
        <v>4</v>
      </c>
    </row>
    <row r="38" spans="1:67" x14ac:dyDescent="0.25">
      <c r="A38">
        <v>37</v>
      </c>
      <c r="B38" t="s">
        <v>384</v>
      </c>
      <c r="C38" t="s">
        <v>221</v>
      </c>
      <c r="D38">
        <v>16310</v>
      </c>
      <c r="E38" t="s">
        <v>195</v>
      </c>
      <c r="F38" t="s">
        <v>12</v>
      </c>
      <c r="G38" s="2" t="s">
        <v>14</v>
      </c>
      <c r="H38" s="3">
        <v>21.5</v>
      </c>
      <c r="I38" s="4">
        <f t="shared" si="5"/>
        <v>3</v>
      </c>
      <c r="J38">
        <f t="shared" si="0"/>
        <v>9</v>
      </c>
      <c r="K38" s="2">
        <v>41</v>
      </c>
      <c r="L38">
        <f t="shared" si="6"/>
        <v>53</v>
      </c>
      <c r="M38" s="2">
        <v>33.5</v>
      </c>
      <c r="N38" s="3">
        <v>31</v>
      </c>
      <c r="O38" s="4">
        <f t="shared" si="7"/>
        <v>8.5</v>
      </c>
      <c r="P38">
        <f t="shared" si="1"/>
        <v>10</v>
      </c>
      <c r="Q38" s="2">
        <v>65</v>
      </c>
      <c r="R38">
        <f t="shared" si="8"/>
        <v>84</v>
      </c>
      <c r="S38" s="2">
        <v>33</v>
      </c>
      <c r="T38" s="3">
        <v>26.5</v>
      </c>
      <c r="U38" s="4">
        <f t="shared" si="9"/>
        <v>7.5</v>
      </c>
      <c r="V38">
        <f t="shared" si="2"/>
        <v>8</v>
      </c>
      <c r="W38" s="2">
        <v>58.5</v>
      </c>
      <c r="X38">
        <f t="shared" si="10"/>
        <v>74</v>
      </c>
      <c r="Y38" s="2">
        <v>21.5</v>
      </c>
      <c r="Z38" s="3">
        <v>27.5</v>
      </c>
      <c r="AA38" s="4">
        <f t="shared" si="11"/>
        <v>6.5</v>
      </c>
      <c r="AB38">
        <f t="shared" si="3"/>
        <v>9</v>
      </c>
      <c r="AC38" s="2">
        <v>47</v>
      </c>
      <c r="AD38">
        <f t="shared" si="12"/>
        <v>63</v>
      </c>
      <c r="AE38" s="2">
        <v>31.5</v>
      </c>
      <c r="AF38" s="3">
        <v>29</v>
      </c>
      <c r="AG38" s="4">
        <f t="shared" si="13"/>
        <v>8</v>
      </c>
      <c r="AH38">
        <f t="shared" si="4"/>
        <v>7.5</v>
      </c>
      <c r="AI38" s="2">
        <v>43.5</v>
      </c>
      <c r="AJ38">
        <f t="shared" si="14"/>
        <v>59</v>
      </c>
      <c r="AK38" s="2">
        <v>22.5</v>
      </c>
      <c r="AL38" s="3">
        <v>20</v>
      </c>
      <c r="AM38" s="4">
        <v>17.5</v>
      </c>
      <c r="AN38" s="2">
        <v>7</v>
      </c>
      <c r="AO38" s="3">
        <v>16</v>
      </c>
      <c r="AP38" s="4">
        <v>32</v>
      </c>
      <c r="AQ38">
        <v>8</v>
      </c>
      <c r="AR38">
        <v>9</v>
      </c>
      <c r="AS38">
        <v>10</v>
      </c>
      <c r="AT38">
        <v>14</v>
      </c>
      <c r="AU38">
        <f t="shared" si="15"/>
        <v>7</v>
      </c>
      <c r="AV38" t="s">
        <v>230</v>
      </c>
      <c r="AW38" t="s">
        <v>231</v>
      </c>
      <c r="AX38" t="s">
        <v>232</v>
      </c>
      <c r="AY38" t="s">
        <v>244</v>
      </c>
      <c r="AZ38" t="s">
        <v>272</v>
      </c>
      <c r="BA38" t="s">
        <v>235</v>
      </c>
      <c r="BB38" t="s">
        <v>239</v>
      </c>
      <c r="BC38" t="s">
        <v>218</v>
      </c>
      <c r="BD38" t="s">
        <v>220</v>
      </c>
      <c r="BE38">
        <v>7</v>
      </c>
      <c r="BF38">
        <v>10</v>
      </c>
      <c r="BG38">
        <v>10</v>
      </c>
      <c r="BH38">
        <v>9</v>
      </c>
      <c r="BI38">
        <v>9</v>
      </c>
      <c r="BJ38" t="s">
        <v>222</v>
      </c>
      <c r="BK38">
        <v>8</v>
      </c>
      <c r="BL38">
        <v>9.5</v>
      </c>
      <c r="BM38">
        <v>7.5</v>
      </c>
      <c r="BN38">
        <v>8.5</v>
      </c>
      <c r="BO38">
        <v>6.5</v>
      </c>
    </row>
    <row r="39" spans="1:67" x14ac:dyDescent="0.25">
      <c r="A39">
        <v>38</v>
      </c>
      <c r="B39" t="s">
        <v>384</v>
      </c>
      <c r="C39" t="s">
        <v>221</v>
      </c>
      <c r="D39">
        <v>16231</v>
      </c>
      <c r="E39" t="s">
        <v>200</v>
      </c>
      <c r="F39" t="s">
        <v>12</v>
      </c>
      <c r="G39" s="2">
        <v>30.5</v>
      </c>
      <c r="H39" s="3">
        <v>25</v>
      </c>
      <c r="I39" s="4">
        <f t="shared" si="5"/>
        <v>7</v>
      </c>
      <c r="J39">
        <f t="shared" si="0"/>
        <v>7.5</v>
      </c>
      <c r="K39" s="2">
        <v>52.5</v>
      </c>
      <c r="L39">
        <f t="shared" si="6"/>
        <v>67</v>
      </c>
      <c r="M39" s="2">
        <v>36.5</v>
      </c>
      <c r="N39" s="3">
        <v>36</v>
      </c>
      <c r="O39" s="4">
        <f t="shared" si="7"/>
        <v>9.5</v>
      </c>
      <c r="P39">
        <f t="shared" si="1"/>
        <v>10</v>
      </c>
      <c r="Q39" s="2">
        <v>73</v>
      </c>
      <c r="R39">
        <f t="shared" si="8"/>
        <v>93</v>
      </c>
      <c r="S39" s="2">
        <v>34.5</v>
      </c>
      <c r="T39" s="3">
        <v>32.5</v>
      </c>
      <c r="U39" s="4">
        <f t="shared" si="9"/>
        <v>8.5</v>
      </c>
      <c r="V39">
        <f t="shared" si="2"/>
        <v>7</v>
      </c>
      <c r="W39" s="2">
        <v>62</v>
      </c>
      <c r="X39">
        <f t="shared" si="10"/>
        <v>78</v>
      </c>
      <c r="Y39" s="2">
        <v>34.5</v>
      </c>
      <c r="Z39" s="3">
        <v>35.5</v>
      </c>
      <c r="AA39" s="4">
        <f t="shared" si="11"/>
        <v>9</v>
      </c>
      <c r="AB39">
        <f t="shared" si="3"/>
        <v>9.5</v>
      </c>
      <c r="AC39" s="2">
        <v>64</v>
      </c>
      <c r="AD39">
        <f t="shared" si="12"/>
        <v>83</v>
      </c>
      <c r="AE39" s="2">
        <v>32</v>
      </c>
      <c r="AF39" s="3">
        <v>31.5</v>
      </c>
      <c r="AG39" s="4">
        <f t="shared" si="13"/>
        <v>8</v>
      </c>
      <c r="AH39">
        <f t="shared" si="4"/>
        <v>8.5</v>
      </c>
      <c r="AI39" s="2">
        <v>74</v>
      </c>
      <c r="AJ39">
        <f t="shared" si="14"/>
        <v>91</v>
      </c>
      <c r="AK39" s="2">
        <v>22.5</v>
      </c>
      <c r="AL39" s="3">
        <v>22.5</v>
      </c>
      <c r="AM39" s="4">
        <v>21.5</v>
      </c>
      <c r="AN39" s="2">
        <v>5</v>
      </c>
      <c r="AO39" s="3">
        <v>23</v>
      </c>
      <c r="AP39" s="4">
        <v>36</v>
      </c>
      <c r="AQ39">
        <v>6</v>
      </c>
      <c r="AR39">
        <v>8.5</v>
      </c>
      <c r="AS39">
        <v>8</v>
      </c>
      <c r="AT39">
        <v>15</v>
      </c>
      <c r="AU39">
        <f t="shared" si="15"/>
        <v>7.5</v>
      </c>
      <c r="AV39" t="s">
        <v>230</v>
      </c>
      <c r="AW39" t="s">
        <v>231</v>
      </c>
      <c r="AX39" t="s">
        <v>232</v>
      </c>
      <c r="AY39" t="s">
        <v>240</v>
      </c>
      <c r="AZ39" t="s">
        <v>273</v>
      </c>
      <c r="BA39" t="s">
        <v>235</v>
      </c>
      <c r="BB39" t="s">
        <v>239</v>
      </c>
      <c r="BC39" t="s">
        <v>218</v>
      </c>
      <c r="BD39" t="s">
        <v>220</v>
      </c>
      <c r="BE39">
        <v>9</v>
      </c>
      <c r="BF39">
        <v>10</v>
      </c>
      <c r="BG39">
        <v>10</v>
      </c>
      <c r="BH39">
        <v>8.5</v>
      </c>
      <c r="BI39">
        <v>6.5</v>
      </c>
      <c r="BJ39" t="s">
        <v>222</v>
      </c>
      <c r="BK39">
        <v>7.5</v>
      </c>
      <c r="BL39">
        <v>9.5</v>
      </c>
      <c r="BM39">
        <v>8.5</v>
      </c>
      <c r="BN39">
        <v>6.5</v>
      </c>
      <c r="BO39">
        <v>7</v>
      </c>
    </row>
    <row r="40" spans="1:67" x14ac:dyDescent="0.25">
      <c r="A40">
        <v>39</v>
      </c>
      <c r="B40" t="s">
        <v>384</v>
      </c>
      <c r="C40" t="s">
        <v>221</v>
      </c>
      <c r="D40">
        <v>16234</v>
      </c>
      <c r="E40" t="s">
        <v>205</v>
      </c>
      <c r="F40" t="s">
        <v>12</v>
      </c>
      <c r="G40" s="2">
        <v>15</v>
      </c>
      <c r="H40" s="3">
        <v>16.5</v>
      </c>
      <c r="I40" s="4">
        <f t="shared" si="5"/>
        <v>4</v>
      </c>
      <c r="J40">
        <f t="shared" si="0"/>
        <v>7</v>
      </c>
      <c r="K40" s="2">
        <v>34</v>
      </c>
      <c r="L40">
        <f t="shared" si="6"/>
        <v>45</v>
      </c>
      <c r="M40" s="2" t="s">
        <v>32</v>
      </c>
      <c r="N40" s="3">
        <v>31.5</v>
      </c>
      <c r="O40" s="4">
        <f t="shared" si="7"/>
        <v>4</v>
      </c>
      <c r="P40">
        <f t="shared" si="1"/>
        <v>9.5</v>
      </c>
      <c r="Q40" s="2">
        <v>54.5</v>
      </c>
      <c r="R40">
        <f t="shared" si="8"/>
        <v>68</v>
      </c>
      <c r="S40" s="2">
        <v>13.5</v>
      </c>
      <c r="T40" s="3">
        <v>13.5</v>
      </c>
      <c r="U40" s="4">
        <f t="shared" si="9"/>
        <v>3.5</v>
      </c>
      <c r="V40">
        <f t="shared" si="2"/>
        <v>4.5</v>
      </c>
      <c r="W40" s="2">
        <v>38.5</v>
      </c>
      <c r="X40">
        <f t="shared" si="10"/>
        <v>47</v>
      </c>
      <c r="Y40" s="2">
        <v>31</v>
      </c>
      <c r="Z40" s="3">
        <v>26</v>
      </c>
      <c r="AA40" s="4">
        <f t="shared" si="11"/>
        <v>7.5</v>
      </c>
      <c r="AB40">
        <f t="shared" si="3"/>
        <v>7</v>
      </c>
      <c r="AC40" s="2">
        <v>40.5</v>
      </c>
      <c r="AD40">
        <f t="shared" si="12"/>
        <v>55</v>
      </c>
      <c r="AE40" s="2">
        <v>24.5</v>
      </c>
      <c r="AF40" s="3">
        <v>28</v>
      </c>
      <c r="AG40" s="4">
        <f t="shared" si="13"/>
        <v>7</v>
      </c>
      <c r="AH40">
        <f t="shared" si="4"/>
        <v>5</v>
      </c>
      <c r="AI40" s="2">
        <v>45.5</v>
      </c>
      <c r="AJ40">
        <f t="shared" si="14"/>
        <v>58</v>
      </c>
      <c r="AK40" s="2">
        <v>23.5</v>
      </c>
      <c r="AL40" s="3">
        <v>20</v>
      </c>
      <c r="AM40" s="4">
        <v>19</v>
      </c>
      <c r="AN40" s="2">
        <v>4</v>
      </c>
      <c r="AO40" s="3">
        <v>16</v>
      </c>
      <c r="AP40" s="4">
        <v>29.5</v>
      </c>
      <c r="AQ40">
        <v>8</v>
      </c>
      <c r="AR40">
        <v>7</v>
      </c>
      <c r="AS40">
        <v>9</v>
      </c>
      <c r="AT40">
        <v>14</v>
      </c>
      <c r="AU40">
        <f t="shared" si="15"/>
        <v>7</v>
      </c>
      <c r="AV40" t="s">
        <v>230</v>
      </c>
      <c r="AW40" t="s">
        <v>231</v>
      </c>
      <c r="AX40" t="s">
        <v>232</v>
      </c>
      <c r="AY40" t="s">
        <v>242</v>
      </c>
      <c r="BA40" t="s">
        <v>235</v>
      </c>
      <c r="BB40" t="s">
        <v>239</v>
      </c>
      <c r="BC40" t="s">
        <v>218</v>
      </c>
      <c r="BD40" t="s">
        <v>220</v>
      </c>
      <c r="BE40">
        <v>5.5</v>
      </c>
      <c r="BF40">
        <v>10</v>
      </c>
      <c r="BG40">
        <v>8</v>
      </c>
      <c r="BH40">
        <v>9</v>
      </c>
      <c r="BI40">
        <v>7</v>
      </c>
      <c r="BJ40" t="s">
        <v>222</v>
      </c>
      <c r="BK40">
        <v>4</v>
      </c>
      <c r="BL40">
        <v>9</v>
      </c>
      <c r="BM40">
        <v>5.5</v>
      </c>
      <c r="BN40">
        <v>4.5</v>
      </c>
      <c r="BO40">
        <v>2</v>
      </c>
    </row>
    <row r="41" spans="1:67" x14ac:dyDescent="0.25">
      <c r="A41">
        <v>40</v>
      </c>
      <c r="B41" t="s">
        <v>384</v>
      </c>
      <c r="C41" t="s">
        <v>221</v>
      </c>
      <c r="D41">
        <v>16437</v>
      </c>
      <c r="E41" t="s">
        <v>209</v>
      </c>
      <c r="F41" t="s">
        <v>12</v>
      </c>
      <c r="G41" s="2">
        <v>14</v>
      </c>
      <c r="H41" s="3">
        <v>10.5</v>
      </c>
      <c r="I41" s="4">
        <f t="shared" si="5"/>
        <v>3.5</v>
      </c>
      <c r="J41">
        <f t="shared" si="0"/>
        <v>4</v>
      </c>
      <c r="K41" s="2">
        <v>16</v>
      </c>
      <c r="L41">
        <f t="shared" si="6"/>
        <v>24</v>
      </c>
      <c r="M41" s="2">
        <v>13.5</v>
      </c>
      <c r="N41" s="3">
        <v>13.5</v>
      </c>
      <c r="O41" s="4">
        <f t="shared" si="7"/>
        <v>3.5</v>
      </c>
      <c r="P41">
        <f t="shared" si="1"/>
        <v>6.5</v>
      </c>
      <c r="Q41" s="2">
        <v>35</v>
      </c>
      <c r="R41">
        <f t="shared" si="8"/>
        <v>45</v>
      </c>
      <c r="S41" s="2">
        <v>19.5</v>
      </c>
      <c r="T41" s="3">
        <v>12.5</v>
      </c>
      <c r="U41" s="4">
        <f t="shared" si="9"/>
        <v>4</v>
      </c>
      <c r="V41">
        <f t="shared" si="2"/>
        <v>4.5</v>
      </c>
      <c r="W41" s="2">
        <v>19</v>
      </c>
      <c r="X41">
        <f t="shared" si="10"/>
        <v>28</v>
      </c>
      <c r="Y41" s="2">
        <v>12</v>
      </c>
      <c r="Z41" s="3">
        <v>24</v>
      </c>
      <c r="AA41" s="4">
        <f t="shared" si="11"/>
        <v>4.5</v>
      </c>
      <c r="AB41">
        <f t="shared" si="3"/>
        <v>6.5</v>
      </c>
      <c r="AC41" s="2">
        <v>29.5</v>
      </c>
      <c r="AD41">
        <f t="shared" si="12"/>
        <v>41</v>
      </c>
      <c r="AE41" s="2">
        <v>13.5</v>
      </c>
      <c r="AF41" s="3">
        <v>14.5</v>
      </c>
      <c r="AG41" s="4">
        <f t="shared" si="13"/>
        <v>3.5</v>
      </c>
      <c r="AH41">
        <f t="shared" si="4"/>
        <v>4.5</v>
      </c>
      <c r="AI41" s="2">
        <v>17.5</v>
      </c>
      <c r="AJ41">
        <f t="shared" si="14"/>
        <v>26</v>
      </c>
      <c r="AK41" s="2">
        <v>5</v>
      </c>
      <c r="AL41" s="3">
        <v>1</v>
      </c>
      <c r="AM41" s="4">
        <v>12</v>
      </c>
      <c r="AN41" s="2">
        <v>3</v>
      </c>
      <c r="AO41" s="3">
        <v>8</v>
      </c>
      <c r="AP41" s="4">
        <v>19.5</v>
      </c>
      <c r="AQ41">
        <v>7</v>
      </c>
      <c r="AR41">
        <v>7</v>
      </c>
      <c r="AS41">
        <v>6</v>
      </c>
      <c r="AT41">
        <v>5</v>
      </c>
      <c r="AU41">
        <f t="shared" si="15"/>
        <v>2.5</v>
      </c>
      <c r="AV41" t="s">
        <v>230</v>
      </c>
      <c r="AW41" t="s">
        <v>231</v>
      </c>
      <c r="AX41" t="s">
        <v>237</v>
      </c>
      <c r="AY41" t="s">
        <v>242</v>
      </c>
      <c r="BA41" t="s">
        <v>235</v>
      </c>
      <c r="BB41" t="s">
        <v>239</v>
      </c>
      <c r="BC41" t="s">
        <v>218</v>
      </c>
      <c r="BD41" t="s">
        <v>220</v>
      </c>
      <c r="BE41">
        <v>2</v>
      </c>
      <c r="BF41">
        <v>9</v>
      </c>
      <c r="BG41">
        <v>9</v>
      </c>
      <c r="BH41">
        <v>6</v>
      </c>
      <c r="BI41">
        <v>3.5</v>
      </c>
      <c r="BJ41" t="s">
        <v>222</v>
      </c>
      <c r="BK41">
        <v>7</v>
      </c>
      <c r="BL41">
        <v>3.5</v>
      </c>
      <c r="BM41">
        <v>3.5</v>
      </c>
      <c r="BN41">
        <v>1.5</v>
      </c>
      <c r="BO41">
        <v>5</v>
      </c>
    </row>
    <row r="42" spans="1:67" x14ac:dyDescent="0.25">
      <c r="A42">
        <v>41</v>
      </c>
      <c r="B42" t="s">
        <v>384</v>
      </c>
      <c r="C42" t="s">
        <v>221</v>
      </c>
      <c r="D42">
        <v>16259</v>
      </c>
      <c r="E42" t="s">
        <v>212</v>
      </c>
      <c r="F42" t="s">
        <v>12</v>
      </c>
      <c r="G42" s="2">
        <v>7.5</v>
      </c>
      <c r="H42" s="3">
        <v>7.5</v>
      </c>
      <c r="I42" s="4">
        <f t="shared" si="5"/>
        <v>2</v>
      </c>
      <c r="J42">
        <f t="shared" si="0"/>
        <v>2.5</v>
      </c>
      <c r="K42" s="2">
        <v>7.5</v>
      </c>
      <c r="L42">
        <f t="shared" si="6"/>
        <v>12</v>
      </c>
      <c r="M42" s="2">
        <v>16</v>
      </c>
      <c r="N42" s="3">
        <v>10</v>
      </c>
      <c r="O42" s="4">
        <f t="shared" si="7"/>
        <v>3.5</v>
      </c>
      <c r="P42">
        <f t="shared" si="1"/>
        <v>5.5</v>
      </c>
      <c r="Q42" s="2">
        <v>16</v>
      </c>
      <c r="R42">
        <f t="shared" si="8"/>
        <v>25</v>
      </c>
      <c r="S42" s="2">
        <v>7</v>
      </c>
      <c r="T42" s="3">
        <v>5</v>
      </c>
      <c r="U42" s="4">
        <f t="shared" si="9"/>
        <v>1.5</v>
      </c>
      <c r="V42">
        <f t="shared" si="2"/>
        <v>2</v>
      </c>
      <c r="W42" s="2">
        <v>11</v>
      </c>
      <c r="X42">
        <f t="shared" si="10"/>
        <v>15</v>
      </c>
      <c r="Y42" s="2">
        <v>3</v>
      </c>
      <c r="Z42" s="3">
        <v>9.5</v>
      </c>
      <c r="AA42" s="4">
        <f t="shared" si="11"/>
        <v>2</v>
      </c>
      <c r="AB42">
        <f t="shared" si="3"/>
        <v>4.5</v>
      </c>
      <c r="AC42" s="2">
        <v>12.5</v>
      </c>
      <c r="AD42">
        <f t="shared" si="12"/>
        <v>19</v>
      </c>
      <c r="AE42" s="2">
        <v>5.5</v>
      </c>
      <c r="AF42" s="3">
        <v>13</v>
      </c>
      <c r="AG42" s="4">
        <f t="shared" si="13"/>
        <v>2.5</v>
      </c>
      <c r="AH42">
        <f t="shared" si="4"/>
        <v>1.5</v>
      </c>
      <c r="AI42" s="2">
        <v>3.5</v>
      </c>
      <c r="AJ42">
        <f t="shared" si="14"/>
        <v>8</v>
      </c>
      <c r="AK42" s="2">
        <v>3.5</v>
      </c>
      <c r="AL42" s="3">
        <v>3</v>
      </c>
      <c r="AM42" s="4">
        <v>7</v>
      </c>
      <c r="AN42" s="2">
        <v>3</v>
      </c>
      <c r="AO42" s="3">
        <v>10</v>
      </c>
      <c r="AP42" s="4">
        <v>19.5</v>
      </c>
      <c r="AQ42">
        <v>7</v>
      </c>
      <c r="AR42">
        <v>7</v>
      </c>
      <c r="AS42">
        <v>8</v>
      </c>
      <c r="AT42">
        <v>5.5</v>
      </c>
      <c r="AU42">
        <f t="shared" si="15"/>
        <v>3</v>
      </c>
      <c r="AV42" t="s">
        <v>230</v>
      </c>
      <c r="AW42" t="s">
        <v>231</v>
      </c>
      <c r="AX42" t="s">
        <v>237</v>
      </c>
      <c r="AY42" t="s">
        <v>249</v>
      </c>
      <c r="AZ42" t="s">
        <v>262</v>
      </c>
      <c r="BA42" t="s">
        <v>235</v>
      </c>
      <c r="BB42" t="s">
        <v>239</v>
      </c>
      <c r="BC42" t="s">
        <v>218</v>
      </c>
      <c r="BD42" t="s">
        <v>220</v>
      </c>
      <c r="BE42">
        <v>2</v>
      </c>
      <c r="BF42">
        <v>5</v>
      </c>
      <c r="BG42">
        <v>5.5</v>
      </c>
      <c r="BH42">
        <v>4.5</v>
      </c>
      <c r="BI42">
        <v>0.5</v>
      </c>
      <c r="BJ42" t="s">
        <v>222</v>
      </c>
      <c r="BK42">
        <v>1</v>
      </c>
      <c r="BL42">
        <v>5.5</v>
      </c>
      <c r="BM42">
        <v>3.5</v>
      </c>
      <c r="BN42" t="s">
        <v>32</v>
      </c>
      <c r="BO42">
        <v>3</v>
      </c>
    </row>
    <row r="43" spans="1:67" x14ac:dyDescent="0.25">
      <c r="A43">
        <v>42</v>
      </c>
      <c r="B43" t="s">
        <v>384</v>
      </c>
      <c r="C43" t="s">
        <v>221</v>
      </c>
      <c r="D43">
        <v>16225</v>
      </c>
      <c r="E43" t="s">
        <v>216</v>
      </c>
      <c r="F43" t="s">
        <v>12</v>
      </c>
      <c r="G43" s="2">
        <v>21.5</v>
      </c>
      <c r="H43" s="3">
        <v>19</v>
      </c>
      <c r="I43" s="4">
        <f t="shared" si="5"/>
        <v>5.5</v>
      </c>
      <c r="J43">
        <f t="shared" si="0"/>
        <v>7</v>
      </c>
      <c r="K43" s="2">
        <v>38.5</v>
      </c>
      <c r="L43">
        <f t="shared" si="6"/>
        <v>51</v>
      </c>
      <c r="M43" s="2">
        <v>28.5</v>
      </c>
      <c r="N43" s="3">
        <v>32</v>
      </c>
      <c r="O43" s="4">
        <f t="shared" si="7"/>
        <v>8</v>
      </c>
      <c r="P43">
        <f t="shared" si="1"/>
        <v>9.5</v>
      </c>
      <c r="Q43" s="2">
        <v>52.5</v>
      </c>
      <c r="R43">
        <f t="shared" si="8"/>
        <v>70</v>
      </c>
      <c r="S43" s="2">
        <v>26.5</v>
      </c>
      <c r="T43" s="3">
        <v>29.5</v>
      </c>
      <c r="U43" s="4">
        <f t="shared" si="9"/>
        <v>7</v>
      </c>
      <c r="V43">
        <f t="shared" si="2"/>
        <v>5.5</v>
      </c>
      <c r="W43" s="2">
        <v>51</v>
      </c>
      <c r="X43">
        <f t="shared" si="10"/>
        <v>64</v>
      </c>
      <c r="Y43" s="2">
        <v>23</v>
      </c>
      <c r="Z43" s="3" t="s">
        <v>14</v>
      </c>
      <c r="AA43" s="4">
        <f t="shared" si="11"/>
        <v>3</v>
      </c>
      <c r="AB43">
        <f t="shared" si="3"/>
        <v>8</v>
      </c>
      <c r="AC43" s="2">
        <v>44</v>
      </c>
      <c r="AD43">
        <f t="shared" si="12"/>
        <v>55</v>
      </c>
      <c r="AE43" s="2">
        <v>28.5</v>
      </c>
      <c r="AF43" s="3">
        <v>24.5</v>
      </c>
      <c r="AG43" s="4">
        <f t="shared" si="13"/>
        <v>7</v>
      </c>
      <c r="AH43">
        <f t="shared" si="4"/>
        <v>4.5</v>
      </c>
      <c r="AI43" s="2">
        <v>48</v>
      </c>
      <c r="AJ43">
        <f t="shared" si="14"/>
        <v>60</v>
      </c>
      <c r="AK43" s="2">
        <v>16</v>
      </c>
      <c r="AL43" s="3">
        <v>12</v>
      </c>
      <c r="AM43" s="4">
        <v>15.5</v>
      </c>
      <c r="AN43" s="2">
        <v>4</v>
      </c>
      <c r="AO43" s="3">
        <v>15</v>
      </c>
      <c r="AP43" s="4">
        <v>25</v>
      </c>
      <c r="AQ43">
        <v>7</v>
      </c>
      <c r="AR43">
        <v>7.5</v>
      </c>
      <c r="AS43">
        <v>7</v>
      </c>
      <c r="AT43">
        <v>14</v>
      </c>
      <c r="AU43">
        <f t="shared" si="15"/>
        <v>7</v>
      </c>
      <c r="AV43" t="s">
        <v>230</v>
      </c>
      <c r="AW43" t="s">
        <v>231</v>
      </c>
      <c r="AX43" t="s">
        <v>232</v>
      </c>
      <c r="AY43" t="s">
        <v>244</v>
      </c>
      <c r="AZ43" t="s">
        <v>262</v>
      </c>
      <c r="BA43" t="s">
        <v>235</v>
      </c>
      <c r="BB43" t="s">
        <v>239</v>
      </c>
      <c r="BC43" t="s">
        <v>218</v>
      </c>
      <c r="BD43" t="s">
        <v>220</v>
      </c>
      <c r="BE43">
        <v>5.5</v>
      </c>
      <c r="BF43">
        <v>10</v>
      </c>
      <c r="BG43">
        <v>9</v>
      </c>
      <c r="BH43">
        <v>7</v>
      </c>
      <c r="BI43">
        <v>5</v>
      </c>
      <c r="BJ43" t="s">
        <v>222</v>
      </c>
      <c r="BK43">
        <v>3</v>
      </c>
      <c r="BL43">
        <v>9</v>
      </c>
      <c r="BM43">
        <v>7</v>
      </c>
      <c r="BN43">
        <v>7</v>
      </c>
      <c r="BO43">
        <v>6</v>
      </c>
    </row>
    <row r="44" spans="1:67" x14ac:dyDescent="0.25">
      <c r="A44">
        <v>1</v>
      </c>
      <c r="B44" t="s">
        <v>384</v>
      </c>
      <c r="C44" t="s">
        <v>385</v>
      </c>
      <c r="D44">
        <v>16144</v>
      </c>
      <c r="E44" t="s">
        <v>13</v>
      </c>
      <c r="F44" t="s">
        <v>12</v>
      </c>
      <c r="G44" s="2">
        <v>30</v>
      </c>
      <c r="H44" s="3">
        <v>30</v>
      </c>
      <c r="I44" s="4">
        <f t="shared" si="5"/>
        <v>7.5</v>
      </c>
      <c r="J44">
        <f t="shared" si="0"/>
        <v>9</v>
      </c>
      <c r="K44" s="2">
        <v>65</v>
      </c>
      <c r="L44">
        <f t="shared" si="6"/>
        <v>82</v>
      </c>
      <c r="M44" s="2" t="s">
        <v>14</v>
      </c>
      <c r="N44" s="3">
        <v>37.5</v>
      </c>
      <c r="O44" s="4">
        <f t="shared" si="7"/>
        <v>5</v>
      </c>
      <c r="P44">
        <f t="shared" si="1"/>
        <v>9.5</v>
      </c>
      <c r="Q44" s="2">
        <v>71.5</v>
      </c>
      <c r="R44">
        <f t="shared" si="8"/>
        <v>86</v>
      </c>
      <c r="S44" s="2" t="s">
        <v>14</v>
      </c>
      <c r="T44" s="3">
        <v>31</v>
      </c>
      <c r="U44" s="4">
        <f t="shared" si="9"/>
        <v>4</v>
      </c>
      <c r="V44">
        <f t="shared" si="2"/>
        <v>7</v>
      </c>
      <c r="W44" s="2">
        <v>62</v>
      </c>
      <c r="X44">
        <f t="shared" si="10"/>
        <v>73</v>
      </c>
      <c r="Y44" s="2" t="s">
        <v>15</v>
      </c>
      <c r="Z44" s="3">
        <v>35</v>
      </c>
      <c r="AA44" s="4">
        <f t="shared" si="11"/>
        <v>4.5</v>
      </c>
      <c r="AB44">
        <f t="shared" si="3"/>
        <v>8.5</v>
      </c>
      <c r="AC44" s="2">
        <v>60</v>
      </c>
      <c r="AD44">
        <f t="shared" si="12"/>
        <v>73</v>
      </c>
      <c r="AE44" s="2">
        <v>26.5</v>
      </c>
      <c r="AF44" s="3">
        <v>32</v>
      </c>
      <c r="AG44" s="4">
        <f t="shared" si="13"/>
        <v>7.5</v>
      </c>
      <c r="AH44">
        <f t="shared" si="4"/>
        <v>7.5</v>
      </c>
      <c r="AI44" s="2">
        <v>71</v>
      </c>
      <c r="AJ44">
        <f t="shared" si="14"/>
        <v>86</v>
      </c>
      <c r="AK44" s="2">
        <v>20.5</v>
      </c>
      <c r="AL44" s="3">
        <v>24</v>
      </c>
      <c r="AM44" s="4">
        <v>25</v>
      </c>
      <c r="AN44" s="2">
        <v>10</v>
      </c>
      <c r="AO44" s="3">
        <v>22</v>
      </c>
      <c r="AP44" s="4">
        <v>33.5</v>
      </c>
      <c r="AQ44">
        <v>8</v>
      </c>
      <c r="AR44">
        <v>8.5</v>
      </c>
      <c r="AS44">
        <v>9</v>
      </c>
      <c r="AT44">
        <v>15</v>
      </c>
      <c r="AU44">
        <f t="shared" si="15"/>
        <v>7.5</v>
      </c>
      <c r="AV44" t="s">
        <v>230</v>
      </c>
      <c r="AW44" t="s">
        <v>231</v>
      </c>
      <c r="AX44" t="s">
        <v>232</v>
      </c>
      <c r="AY44" t="s">
        <v>274</v>
      </c>
      <c r="AZ44" t="s">
        <v>275</v>
      </c>
      <c r="BA44" t="s">
        <v>235</v>
      </c>
      <c r="BB44" t="s">
        <v>276</v>
      </c>
      <c r="BC44" t="s">
        <v>218</v>
      </c>
      <c r="BD44" t="s">
        <v>220</v>
      </c>
      <c r="BE44">
        <v>9</v>
      </c>
      <c r="BF44">
        <v>10</v>
      </c>
      <c r="BG44">
        <v>10</v>
      </c>
      <c r="BH44">
        <v>9</v>
      </c>
      <c r="BI44">
        <v>8</v>
      </c>
      <c r="BJ44" t="s">
        <v>222</v>
      </c>
      <c r="BK44">
        <v>5.5</v>
      </c>
      <c r="BL44">
        <v>9</v>
      </c>
      <c r="BM44">
        <v>7</v>
      </c>
      <c r="BN44">
        <v>9</v>
      </c>
      <c r="BO44">
        <v>6</v>
      </c>
    </row>
    <row r="45" spans="1:67" x14ac:dyDescent="0.25">
      <c r="A45">
        <v>2</v>
      </c>
      <c r="B45" t="s">
        <v>384</v>
      </c>
      <c r="C45" t="s">
        <v>385</v>
      </c>
      <c r="D45">
        <v>18818</v>
      </c>
      <c r="E45" t="s">
        <v>20</v>
      </c>
      <c r="F45" t="s">
        <v>12</v>
      </c>
      <c r="G45" s="2">
        <v>30</v>
      </c>
      <c r="H45" s="3">
        <v>32</v>
      </c>
      <c r="I45" s="4">
        <f t="shared" si="5"/>
        <v>8</v>
      </c>
      <c r="J45">
        <f t="shared" si="0"/>
        <v>9</v>
      </c>
      <c r="K45" s="2">
        <v>68.5</v>
      </c>
      <c r="L45">
        <f t="shared" si="6"/>
        <v>86</v>
      </c>
      <c r="M45" s="2" t="s">
        <v>14</v>
      </c>
      <c r="N45" s="3">
        <v>35.5</v>
      </c>
      <c r="O45" s="4">
        <f t="shared" si="7"/>
        <v>4.5</v>
      </c>
      <c r="P45">
        <f t="shared" si="1"/>
        <v>3.5</v>
      </c>
      <c r="Q45" s="2">
        <v>68.5</v>
      </c>
      <c r="R45">
        <f t="shared" si="8"/>
        <v>77</v>
      </c>
      <c r="S45" s="2">
        <v>29.5</v>
      </c>
      <c r="T45" s="3">
        <v>32.5</v>
      </c>
      <c r="U45" s="4">
        <f t="shared" si="9"/>
        <v>8</v>
      </c>
      <c r="V45">
        <f t="shared" si="2"/>
        <v>4.5</v>
      </c>
      <c r="W45" s="2">
        <v>68.5</v>
      </c>
      <c r="X45">
        <f t="shared" si="10"/>
        <v>81</v>
      </c>
      <c r="Y45" s="2">
        <v>31.5</v>
      </c>
      <c r="Z45" s="3">
        <v>35</v>
      </c>
      <c r="AA45" s="4">
        <f t="shared" si="11"/>
        <v>8.5</v>
      </c>
      <c r="AB45">
        <f t="shared" si="3"/>
        <v>0</v>
      </c>
      <c r="AC45" s="2">
        <v>69.5</v>
      </c>
      <c r="AD45">
        <f t="shared" si="12"/>
        <v>78</v>
      </c>
      <c r="AE45" s="2">
        <v>27</v>
      </c>
      <c r="AF45" s="3">
        <v>32</v>
      </c>
      <c r="AG45" s="4">
        <f t="shared" si="13"/>
        <v>7.5</v>
      </c>
      <c r="AH45">
        <f t="shared" si="4"/>
        <v>4.5</v>
      </c>
      <c r="AI45" s="2">
        <v>76</v>
      </c>
      <c r="AJ45">
        <f t="shared" si="14"/>
        <v>88</v>
      </c>
      <c r="AK45" s="2">
        <v>14.5</v>
      </c>
      <c r="AL45" s="3" t="s">
        <v>15</v>
      </c>
      <c r="AM45" s="4">
        <v>21.5</v>
      </c>
      <c r="AN45" s="2">
        <v>5</v>
      </c>
      <c r="AO45" s="3" t="s">
        <v>14</v>
      </c>
      <c r="AP45" s="4">
        <v>32</v>
      </c>
      <c r="AQ45">
        <v>8</v>
      </c>
      <c r="AR45">
        <v>9</v>
      </c>
      <c r="AS45">
        <v>10</v>
      </c>
      <c r="AT45">
        <v>15</v>
      </c>
      <c r="AU45">
        <f t="shared" si="15"/>
        <v>7.5</v>
      </c>
      <c r="AV45" t="s">
        <v>230</v>
      </c>
      <c r="AW45" t="s">
        <v>231</v>
      </c>
      <c r="AX45" t="s">
        <v>232</v>
      </c>
      <c r="AY45" t="s">
        <v>277</v>
      </c>
      <c r="AZ45" t="s">
        <v>278</v>
      </c>
      <c r="BA45" t="s">
        <v>235</v>
      </c>
      <c r="BB45" t="s">
        <v>276</v>
      </c>
      <c r="BC45" t="s">
        <v>218</v>
      </c>
      <c r="BD45" t="s">
        <v>220</v>
      </c>
      <c r="BE45">
        <v>9</v>
      </c>
      <c r="BF45">
        <v>7</v>
      </c>
      <c r="BG45" t="s">
        <v>14</v>
      </c>
      <c r="BH45">
        <v>10</v>
      </c>
      <c r="BI45" t="s">
        <v>14</v>
      </c>
      <c r="BJ45" t="s">
        <v>222</v>
      </c>
      <c r="BK45" t="s">
        <v>14</v>
      </c>
      <c r="BL45" t="s">
        <v>14</v>
      </c>
      <c r="BM45" t="s">
        <v>15</v>
      </c>
      <c r="BN45">
        <v>8</v>
      </c>
      <c r="BO45">
        <v>9</v>
      </c>
    </row>
    <row r="46" spans="1:67" x14ac:dyDescent="0.25">
      <c r="A46">
        <v>3</v>
      </c>
      <c r="B46" t="s">
        <v>384</v>
      </c>
      <c r="C46" t="s">
        <v>385</v>
      </c>
      <c r="D46">
        <v>16564</v>
      </c>
      <c r="E46" t="s">
        <v>25</v>
      </c>
      <c r="F46" t="s">
        <v>12</v>
      </c>
      <c r="G46" s="2">
        <v>20.5</v>
      </c>
      <c r="H46" s="3">
        <v>13.5</v>
      </c>
      <c r="I46" s="4">
        <f t="shared" si="5"/>
        <v>4.5</v>
      </c>
      <c r="J46">
        <f t="shared" si="0"/>
        <v>6.5</v>
      </c>
      <c r="K46" s="2">
        <v>38</v>
      </c>
      <c r="L46">
        <f t="shared" si="6"/>
        <v>49</v>
      </c>
      <c r="M46" s="2">
        <v>36</v>
      </c>
      <c r="N46" s="3">
        <v>38</v>
      </c>
      <c r="O46" s="4">
        <f t="shared" si="7"/>
        <v>9.5</v>
      </c>
      <c r="P46">
        <f t="shared" si="1"/>
        <v>8.5</v>
      </c>
      <c r="Q46" s="2">
        <v>69.5</v>
      </c>
      <c r="R46">
        <f t="shared" si="8"/>
        <v>88</v>
      </c>
      <c r="S46" s="2">
        <v>23.5</v>
      </c>
      <c r="T46" s="3">
        <v>28.5</v>
      </c>
      <c r="U46" s="4">
        <f t="shared" si="9"/>
        <v>6.5</v>
      </c>
      <c r="V46">
        <f t="shared" si="2"/>
        <v>6</v>
      </c>
      <c r="W46" s="2">
        <v>46</v>
      </c>
      <c r="X46">
        <f t="shared" si="10"/>
        <v>59</v>
      </c>
      <c r="Y46" s="2">
        <v>24.5</v>
      </c>
      <c r="Z46" s="3">
        <v>34.5</v>
      </c>
      <c r="AA46" s="4">
        <f t="shared" si="11"/>
        <v>7.5</v>
      </c>
      <c r="AB46">
        <f t="shared" si="3"/>
        <v>8</v>
      </c>
      <c r="AC46" s="2">
        <v>60.5</v>
      </c>
      <c r="AD46">
        <f t="shared" si="12"/>
        <v>76</v>
      </c>
      <c r="AE46" s="2">
        <v>25</v>
      </c>
      <c r="AF46" s="3">
        <v>23.5</v>
      </c>
      <c r="AG46" s="4">
        <f t="shared" si="13"/>
        <v>6.5</v>
      </c>
      <c r="AH46">
        <f t="shared" si="4"/>
        <v>7</v>
      </c>
      <c r="AI46" s="2">
        <v>64.5</v>
      </c>
      <c r="AJ46">
        <f t="shared" si="14"/>
        <v>78</v>
      </c>
      <c r="AK46" s="2">
        <v>19</v>
      </c>
      <c r="AL46" s="3">
        <v>23</v>
      </c>
      <c r="AM46" s="4">
        <v>22</v>
      </c>
      <c r="AN46" s="2">
        <v>6</v>
      </c>
      <c r="AO46" s="3">
        <v>17</v>
      </c>
      <c r="AP46" s="4">
        <v>30</v>
      </c>
      <c r="AQ46">
        <v>8</v>
      </c>
      <c r="AR46">
        <v>8</v>
      </c>
      <c r="AS46">
        <v>8</v>
      </c>
      <c r="AT46">
        <v>15</v>
      </c>
      <c r="AU46">
        <f t="shared" si="15"/>
        <v>7.5</v>
      </c>
      <c r="AV46" t="s">
        <v>230</v>
      </c>
      <c r="AW46" t="s">
        <v>231</v>
      </c>
      <c r="AX46" t="s">
        <v>232</v>
      </c>
      <c r="AY46" t="s">
        <v>242</v>
      </c>
      <c r="AZ46" t="s">
        <v>278</v>
      </c>
      <c r="BA46" t="s">
        <v>235</v>
      </c>
      <c r="BB46" t="s">
        <v>276</v>
      </c>
      <c r="BC46" t="s">
        <v>218</v>
      </c>
      <c r="BD46" t="s">
        <v>220</v>
      </c>
      <c r="BE46">
        <v>6</v>
      </c>
      <c r="BF46">
        <v>10</v>
      </c>
      <c r="BG46">
        <v>9.5</v>
      </c>
      <c r="BH46">
        <v>7</v>
      </c>
      <c r="BI46">
        <v>7</v>
      </c>
      <c r="BJ46" t="s">
        <v>222</v>
      </c>
      <c r="BK46">
        <v>8</v>
      </c>
      <c r="BL46">
        <v>7</v>
      </c>
      <c r="BM46">
        <v>6.5</v>
      </c>
      <c r="BN46">
        <v>5.5</v>
      </c>
      <c r="BO46">
        <v>4.5</v>
      </c>
    </row>
    <row r="47" spans="1:67" x14ac:dyDescent="0.25">
      <c r="A47">
        <v>4</v>
      </c>
      <c r="B47" t="s">
        <v>384</v>
      </c>
      <c r="C47" t="s">
        <v>385</v>
      </c>
      <c r="D47">
        <v>16263</v>
      </c>
      <c r="E47" t="s">
        <v>30</v>
      </c>
      <c r="F47" t="s">
        <v>12</v>
      </c>
      <c r="G47" s="2">
        <v>3</v>
      </c>
      <c r="H47" s="3">
        <v>4</v>
      </c>
      <c r="I47" s="4">
        <f t="shared" si="5"/>
        <v>1</v>
      </c>
      <c r="J47">
        <f t="shared" si="0"/>
        <v>3.5</v>
      </c>
      <c r="K47" s="2">
        <v>5</v>
      </c>
      <c r="L47">
        <f t="shared" si="6"/>
        <v>10</v>
      </c>
      <c r="M47" s="2">
        <v>11</v>
      </c>
      <c r="N47" s="3">
        <v>15.5</v>
      </c>
      <c r="O47" s="4">
        <f t="shared" si="7"/>
        <v>3.5</v>
      </c>
      <c r="P47">
        <f t="shared" si="1"/>
        <v>4.5</v>
      </c>
      <c r="Q47" s="2">
        <v>15</v>
      </c>
      <c r="R47">
        <f t="shared" si="8"/>
        <v>23</v>
      </c>
      <c r="S47" s="2">
        <v>13.5</v>
      </c>
      <c r="T47" s="3">
        <v>11</v>
      </c>
      <c r="U47" s="4">
        <f t="shared" si="9"/>
        <v>3.5</v>
      </c>
      <c r="V47">
        <f t="shared" si="2"/>
        <v>3.5</v>
      </c>
      <c r="W47" s="2">
        <v>18</v>
      </c>
      <c r="X47">
        <f t="shared" si="10"/>
        <v>25</v>
      </c>
      <c r="Y47" s="2">
        <v>3</v>
      </c>
      <c r="Z47" s="3">
        <v>2</v>
      </c>
      <c r="AA47" s="4">
        <f t="shared" si="11"/>
        <v>1</v>
      </c>
      <c r="AB47">
        <f t="shared" si="3"/>
        <v>3</v>
      </c>
      <c r="AC47" s="2">
        <v>9</v>
      </c>
      <c r="AD47">
        <f t="shared" si="12"/>
        <v>13</v>
      </c>
      <c r="AE47" s="2">
        <v>1</v>
      </c>
      <c r="AF47" s="3">
        <v>5</v>
      </c>
      <c r="AG47" s="4">
        <f t="shared" si="13"/>
        <v>1</v>
      </c>
      <c r="AH47">
        <f t="shared" si="4"/>
        <v>1.5</v>
      </c>
      <c r="AI47" s="2">
        <v>5.5</v>
      </c>
      <c r="AJ47">
        <f t="shared" si="14"/>
        <v>8</v>
      </c>
      <c r="AK47" s="2">
        <v>4</v>
      </c>
      <c r="AL47" s="3">
        <v>4.5</v>
      </c>
      <c r="AM47" s="4">
        <v>7</v>
      </c>
      <c r="AN47" s="2">
        <v>7</v>
      </c>
      <c r="AO47" s="3">
        <v>10</v>
      </c>
      <c r="AP47" s="4">
        <v>18</v>
      </c>
      <c r="AQ47">
        <v>8</v>
      </c>
      <c r="AR47">
        <v>3</v>
      </c>
      <c r="AS47">
        <v>4</v>
      </c>
      <c r="AT47">
        <v>2.5</v>
      </c>
      <c r="AU47">
        <f t="shared" si="15"/>
        <v>1.5</v>
      </c>
      <c r="AV47" t="s">
        <v>230</v>
      </c>
      <c r="AW47" t="s">
        <v>231</v>
      </c>
      <c r="AX47" t="s">
        <v>232</v>
      </c>
      <c r="AY47" t="s">
        <v>233</v>
      </c>
      <c r="AZ47" t="s">
        <v>278</v>
      </c>
      <c r="BA47" t="s">
        <v>235</v>
      </c>
      <c r="BB47" t="s">
        <v>276</v>
      </c>
      <c r="BC47" t="s">
        <v>218</v>
      </c>
      <c r="BD47" t="s">
        <v>220</v>
      </c>
      <c r="BE47">
        <v>1</v>
      </c>
      <c r="BF47">
        <v>3</v>
      </c>
      <c r="BG47">
        <v>2</v>
      </c>
      <c r="BH47">
        <v>4.5</v>
      </c>
      <c r="BI47">
        <v>3</v>
      </c>
      <c r="BJ47" t="s">
        <v>222</v>
      </c>
      <c r="BK47">
        <v>2</v>
      </c>
      <c r="BL47">
        <v>6</v>
      </c>
      <c r="BM47">
        <v>3.5</v>
      </c>
      <c r="BN47">
        <v>2.5</v>
      </c>
      <c r="BO47">
        <v>3.5</v>
      </c>
    </row>
    <row r="48" spans="1:67" x14ac:dyDescent="0.25">
      <c r="A48">
        <v>5</v>
      </c>
      <c r="B48" t="s">
        <v>384</v>
      </c>
      <c r="C48" t="s">
        <v>385</v>
      </c>
      <c r="D48">
        <v>16146</v>
      </c>
      <c r="E48" t="s">
        <v>36</v>
      </c>
      <c r="F48" t="s">
        <v>12</v>
      </c>
      <c r="G48" s="2">
        <v>30.5</v>
      </c>
      <c r="H48" s="3">
        <v>30</v>
      </c>
      <c r="I48" s="4">
        <f t="shared" si="5"/>
        <v>8</v>
      </c>
      <c r="J48">
        <f t="shared" si="0"/>
        <v>9.5</v>
      </c>
      <c r="K48" s="2">
        <v>65</v>
      </c>
      <c r="L48">
        <f t="shared" si="6"/>
        <v>83</v>
      </c>
      <c r="M48" s="2">
        <v>35.5</v>
      </c>
      <c r="N48" s="3">
        <v>32.5</v>
      </c>
      <c r="O48" s="4">
        <f t="shared" si="7"/>
        <v>8.5</v>
      </c>
      <c r="P48">
        <f t="shared" si="1"/>
        <v>9</v>
      </c>
      <c r="Q48" s="2">
        <v>63.5</v>
      </c>
      <c r="R48">
        <f t="shared" si="8"/>
        <v>81</v>
      </c>
      <c r="S48" s="2">
        <v>27</v>
      </c>
      <c r="T48" s="3">
        <v>26.5</v>
      </c>
      <c r="U48" s="4">
        <f t="shared" si="9"/>
        <v>7</v>
      </c>
      <c r="V48">
        <f t="shared" si="2"/>
        <v>7.5</v>
      </c>
      <c r="W48" s="2">
        <v>63.5</v>
      </c>
      <c r="X48">
        <f t="shared" si="10"/>
        <v>78</v>
      </c>
      <c r="Y48" s="2">
        <v>32.5</v>
      </c>
      <c r="Z48" s="3">
        <v>38</v>
      </c>
      <c r="AA48" s="4">
        <f t="shared" si="11"/>
        <v>9</v>
      </c>
      <c r="AB48">
        <f t="shared" si="3"/>
        <v>9</v>
      </c>
      <c r="AC48" s="2">
        <v>51</v>
      </c>
      <c r="AD48">
        <f t="shared" si="12"/>
        <v>69</v>
      </c>
      <c r="AE48" s="2">
        <v>25.5</v>
      </c>
      <c r="AF48" s="3">
        <v>29.5</v>
      </c>
      <c r="AG48" s="4">
        <f t="shared" si="13"/>
        <v>7</v>
      </c>
      <c r="AH48">
        <f t="shared" si="4"/>
        <v>8.5</v>
      </c>
      <c r="AI48" s="2">
        <v>58</v>
      </c>
      <c r="AJ48">
        <f t="shared" si="14"/>
        <v>74</v>
      </c>
      <c r="AK48" s="2">
        <v>20</v>
      </c>
      <c r="AL48" s="3">
        <v>16</v>
      </c>
      <c r="AM48" s="4">
        <v>21</v>
      </c>
      <c r="AN48" s="2">
        <v>6</v>
      </c>
      <c r="AO48" s="3">
        <v>19.5</v>
      </c>
      <c r="AP48" s="4">
        <v>31.5</v>
      </c>
      <c r="AQ48">
        <v>8</v>
      </c>
      <c r="AR48">
        <v>8</v>
      </c>
      <c r="AS48">
        <v>9</v>
      </c>
      <c r="AT48">
        <v>13</v>
      </c>
      <c r="AU48">
        <f t="shared" si="15"/>
        <v>6.5</v>
      </c>
      <c r="AV48" t="s">
        <v>230</v>
      </c>
      <c r="AW48" t="s">
        <v>231</v>
      </c>
      <c r="AX48" t="s">
        <v>232</v>
      </c>
      <c r="AY48" t="s">
        <v>279</v>
      </c>
      <c r="AZ48" t="s">
        <v>280</v>
      </c>
      <c r="BA48" t="s">
        <v>235</v>
      </c>
      <c r="BB48" t="s">
        <v>276</v>
      </c>
      <c r="BC48" t="s">
        <v>218</v>
      </c>
      <c r="BD48" t="s">
        <v>220</v>
      </c>
      <c r="BE48">
        <v>7</v>
      </c>
      <c r="BF48">
        <v>8</v>
      </c>
      <c r="BG48">
        <v>9.5</v>
      </c>
      <c r="BH48">
        <v>10</v>
      </c>
      <c r="BI48">
        <v>7.5</v>
      </c>
      <c r="BJ48" t="s">
        <v>222</v>
      </c>
      <c r="BK48">
        <v>9.5</v>
      </c>
      <c r="BL48">
        <v>9.5</v>
      </c>
      <c r="BM48">
        <v>8</v>
      </c>
      <c r="BN48">
        <v>9</v>
      </c>
      <c r="BO48">
        <v>7</v>
      </c>
    </row>
    <row r="49" spans="1:67" x14ac:dyDescent="0.25">
      <c r="A49">
        <v>6</v>
      </c>
      <c r="B49" t="s">
        <v>384</v>
      </c>
      <c r="C49" t="s">
        <v>385</v>
      </c>
      <c r="D49">
        <v>16147</v>
      </c>
      <c r="E49" t="s">
        <v>41</v>
      </c>
      <c r="F49" t="s">
        <v>12</v>
      </c>
      <c r="G49" s="2">
        <v>17</v>
      </c>
      <c r="H49" s="3">
        <v>14.5</v>
      </c>
      <c r="I49" s="4">
        <f t="shared" si="5"/>
        <v>4</v>
      </c>
      <c r="J49">
        <f t="shared" si="0"/>
        <v>6</v>
      </c>
      <c r="K49" s="2">
        <v>33.5</v>
      </c>
      <c r="L49">
        <f t="shared" si="6"/>
        <v>44</v>
      </c>
      <c r="M49" s="2">
        <v>36</v>
      </c>
      <c r="N49" s="3">
        <v>32.5</v>
      </c>
      <c r="O49" s="4">
        <f t="shared" si="7"/>
        <v>9</v>
      </c>
      <c r="P49">
        <f t="shared" si="1"/>
        <v>4.5</v>
      </c>
      <c r="Q49" s="2">
        <v>69</v>
      </c>
      <c r="R49">
        <f t="shared" si="8"/>
        <v>83</v>
      </c>
      <c r="S49" s="2">
        <v>20.5</v>
      </c>
      <c r="T49" s="3">
        <v>13.5</v>
      </c>
      <c r="U49" s="4">
        <f t="shared" si="9"/>
        <v>4.5</v>
      </c>
      <c r="V49">
        <f t="shared" si="2"/>
        <v>3.5</v>
      </c>
      <c r="W49" s="2">
        <v>24</v>
      </c>
      <c r="X49">
        <f t="shared" si="10"/>
        <v>32</v>
      </c>
      <c r="Y49" s="2">
        <v>16</v>
      </c>
      <c r="Z49" s="3">
        <v>18</v>
      </c>
      <c r="AA49" s="4">
        <f t="shared" si="11"/>
        <v>4.5</v>
      </c>
      <c r="AB49">
        <f t="shared" si="3"/>
        <v>4.5</v>
      </c>
      <c r="AC49" s="2">
        <v>31</v>
      </c>
      <c r="AD49">
        <f t="shared" si="12"/>
        <v>40</v>
      </c>
      <c r="AE49" s="2">
        <v>10.5</v>
      </c>
      <c r="AF49" s="3">
        <v>18</v>
      </c>
      <c r="AG49" s="4">
        <f t="shared" si="13"/>
        <v>4</v>
      </c>
      <c r="AH49">
        <f t="shared" si="4"/>
        <v>5</v>
      </c>
      <c r="AI49" s="2">
        <v>27</v>
      </c>
      <c r="AJ49">
        <f t="shared" si="14"/>
        <v>36</v>
      </c>
      <c r="AK49" s="2">
        <v>16</v>
      </c>
      <c r="AL49" s="3">
        <v>10</v>
      </c>
      <c r="AM49" s="4">
        <v>17.5</v>
      </c>
      <c r="AN49" s="2">
        <v>5</v>
      </c>
      <c r="AO49" s="3">
        <v>13</v>
      </c>
      <c r="AP49" s="4">
        <v>24</v>
      </c>
      <c r="AQ49">
        <v>8</v>
      </c>
      <c r="AR49">
        <v>8</v>
      </c>
      <c r="AS49">
        <v>2</v>
      </c>
      <c r="AT49">
        <v>13</v>
      </c>
      <c r="AU49">
        <f t="shared" si="15"/>
        <v>6.5</v>
      </c>
      <c r="AV49" t="s">
        <v>230</v>
      </c>
      <c r="AW49" t="s">
        <v>231</v>
      </c>
      <c r="AX49" t="s">
        <v>232</v>
      </c>
      <c r="AY49" t="s">
        <v>258</v>
      </c>
      <c r="AZ49" t="s">
        <v>278</v>
      </c>
      <c r="BA49" t="s">
        <v>235</v>
      </c>
      <c r="BB49" t="s">
        <v>276</v>
      </c>
      <c r="BC49" t="s">
        <v>218</v>
      </c>
      <c r="BD49" t="s">
        <v>220</v>
      </c>
      <c r="BE49">
        <v>5</v>
      </c>
      <c r="BF49">
        <v>9</v>
      </c>
      <c r="BG49">
        <v>4</v>
      </c>
      <c r="BH49">
        <v>6</v>
      </c>
      <c r="BI49">
        <v>1.5</v>
      </c>
      <c r="BJ49" t="s">
        <v>222</v>
      </c>
      <c r="BK49">
        <v>4.5</v>
      </c>
      <c r="BL49" t="s">
        <v>14</v>
      </c>
      <c r="BM49">
        <v>5</v>
      </c>
      <c r="BN49">
        <v>6</v>
      </c>
      <c r="BO49">
        <v>5</v>
      </c>
    </row>
    <row r="50" spans="1:67" x14ac:dyDescent="0.25">
      <c r="A50">
        <v>7</v>
      </c>
      <c r="B50" t="s">
        <v>384</v>
      </c>
      <c r="C50" t="s">
        <v>385</v>
      </c>
      <c r="D50">
        <v>16211</v>
      </c>
      <c r="E50" t="s">
        <v>46</v>
      </c>
      <c r="F50" t="s">
        <v>12</v>
      </c>
      <c r="G50" s="2">
        <v>15.5</v>
      </c>
      <c r="H50" s="3">
        <v>15.5</v>
      </c>
      <c r="I50" s="4">
        <f t="shared" si="5"/>
        <v>4</v>
      </c>
      <c r="J50">
        <f t="shared" si="0"/>
        <v>6</v>
      </c>
      <c r="K50" s="2">
        <v>29</v>
      </c>
      <c r="L50">
        <f t="shared" si="6"/>
        <v>39</v>
      </c>
      <c r="M50" s="2">
        <v>21</v>
      </c>
      <c r="N50" s="3">
        <v>16</v>
      </c>
      <c r="O50" s="4">
        <f t="shared" si="7"/>
        <v>5</v>
      </c>
      <c r="P50">
        <f t="shared" si="1"/>
        <v>4</v>
      </c>
      <c r="Q50" s="2">
        <v>34.5</v>
      </c>
      <c r="R50">
        <f t="shared" si="8"/>
        <v>44</v>
      </c>
      <c r="S50" s="2">
        <v>11</v>
      </c>
      <c r="T50" s="3">
        <v>8</v>
      </c>
      <c r="U50" s="4">
        <f t="shared" si="9"/>
        <v>2.5</v>
      </c>
      <c r="V50">
        <f t="shared" si="2"/>
        <v>4.5</v>
      </c>
      <c r="W50" s="2">
        <v>29.5</v>
      </c>
      <c r="X50">
        <f t="shared" si="10"/>
        <v>37</v>
      </c>
      <c r="Y50" s="2">
        <v>17</v>
      </c>
      <c r="Z50" s="3">
        <v>20</v>
      </c>
      <c r="AA50" s="4">
        <f t="shared" si="11"/>
        <v>5</v>
      </c>
      <c r="AB50">
        <f t="shared" si="3"/>
        <v>5.5</v>
      </c>
      <c r="AC50" s="2">
        <v>41</v>
      </c>
      <c r="AD50">
        <f t="shared" si="12"/>
        <v>52</v>
      </c>
      <c r="AE50" s="2">
        <v>13.5</v>
      </c>
      <c r="AF50" s="3">
        <v>19.5</v>
      </c>
      <c r="AG50" s="4">
        <f t="shared" si="13"/>
        <v>4.5</v>
      </c>
      <c r="AH50">
        <f t="shared" si="4"/>
        <v>6</v>
      </c>
      <c r="AI50" s="2">
        <v>25</v>
      </c>
      <c r="AJ50">
        <f t="shared" si="14"/>
        <v>36</v>
      </c>
      <c r="AK50" s="2">
        <v>18</v>
      </c>
      <c r="AL50" s="3">
        <v>18.5</v>
      </c>
      <c r="AM50" s="4">
        <v>27</v>
      </c>
      <c r="AN50" s="2">
        <v>10</v>
      </c>
      <c r="AO50" s="3">
        <v>16</v>
      </c>
      <c r="AP50" s="4">
        <v>30</v>
      </c>
      <c r="AQ50">
        <v>8</v>
      </c>
      <c r="AR50">
        <v>8</v>
      </c>
      <c r="AS50">
        <v>5</v>
      </c>
      <c r="AT50">
        <v>10</v>
      </c>
      <c r="AU50">
        <f t="shared" si="15"/>
        <v>5</v>
      </c>
      <c r="AV50" t="s">
        <v>230</v>
      </c>
      <c r="AW50" t="s">
        <v>231</v>
      </c>
      <c r="AX50" t="s">
        <v>232</v>
      </c>
      <c r="AY50" t="s">
        <v>279</v>
      </c>
      <c r="AZ50" t="s">
        <v>278</v>
      </c>
      <c r="BA50" t="s">
        <v>235</v>
      </c>
      <c r="BB50" t="s">
        <v>276</v>
      </c>
      <c r="BC50" t="s">
        <v>218</v>
      </c>
      <c r="BD50" t="s">
        <v>220</v>
      </c>
      <c r="BE50">
        <v>6.5</v>
      </c>
      <c r="BF50">
        <v>2</v>
      </c>
      <c r="BG50">
        <v>6</v>
      </c>
      <c r="BH50">
        <v>6</v>
      </c>
      <c r="BI50">
        <v>4.5</v>
      </c>
      <c r="BJ50" t="s">
        <v>222</v>
      </c>
      <c r="BK50">
        <v>5</v>
      </c>
      <c r="BL50">
        <v>6</v>
      </c>
      <c r="BM50">
        <v>4.5</v>
      </c>
      <c r="BN50">
        <v>6</v>
      </c>
      <c r="BO50">
        <v>4.5</v>
      </c>
    </row>
    <row r="51" spans="1:67" x14ac:dyDescent="0.25">
      <c r="A51">
        <v>8</v>
      </c>
      <c r="B51" t="s">
        <v>384</v>
      </c>
      <c r="C51" t="s">
        <v>385</v>
      </c>
      <c r="D51">
        <v>16576</v>
      </c>
      <c r="E51" t="s">
        <v>51</v>
      </c>
      <c r="F51" t="s">
        <v>12</v>
      </c>
      <c r="G51" s="2">
        <v>14.5</v>
      </c>
      <c r="H51" s="3">
        <v>12</v>
      </c>
      <c r="I51" s="4">
        <f t="shared" si="5"/>
        <v>3.5</v>
      </c>
      <c r="J51">
        <f t="shared" si="0"/>
        <v>2.5</v>
      </c>
      <c r="K51" s="2">
        <v>25.5</v>
      </c>
      <c r="L51">
        <f t="shared" si="6"/>
        <v>32</v>
      </c>
      <c r="M51" s="2">
        <v>23</v>
      </c>
      <c r="N51" s="3">
        <v>20.5</v>
      </c>
      <c r="O51" s="4">
        <f t="shared" si="7"/>
        <v>5.5</v>
      </c>
      <c r="P51">
        <f t="shared" si="1"/>
        <v>6</v>
      </c>
      <c r="Q51" s="2">
        <v>40.5</v>
      </c>
      <c r="R51">
        <f t="shared" si="8"/>
        <v>52</v>
      </c>
      <c r="S51" s="2">
        <v>19</v>
      </c>
      <c r="T51" s="3">
        <v>11</v>
      </c>
      <c r="U51" s="4">
        <f t="shared" si="9"/>
        <v>4</v>
      </c>
      <c r="V51">
        <f t="shared" si="2"/>
        <v>3.5</v>
      </c>
      <c r="W51" s="2">
        <v>33.5</v>
      </c>
      <c r="X51">
        <f t="shared" si="10"/>
        <v>41</v>
      </c>
      <c r="Y51" s="2">
        <v>17</v>
      </c>
      <c r="Z51" s="3">
        <v>28</v>
      </c>
      <c r="AA51" s="4">
        <f t="shared" si="11"/>
        <v>6</v>
      </c>
      <c r="AB51">
        <f t="shared" si="3"/>
        <v>7</v>
      </c>
      <c r="AC51" s="2">
        <v>36.5</v>
      </c>
      <c r="AD51">
        <f t="shared" si="12"/>
        <v>50</v>
      </c>
      <c r="AE51" s="2">
        <v>8.5</v>
      </c>
      <c r="AF51" s="3">
        <v>22</v>
      </c>
      <c r="AG51" s="4">
        <f t="shared" si="13"/>
        <v>4</v>
      </c>
      <c r="AH51">
        <f t="shared" si="4"/>
        <v>5.5</v>
      </c>
      <c r="AI51" s="2">
        <v>32</v>
      </c>
      <c r="AJ51">
        <f t="shared" si="14"/>
        <v>42</v>
      </c>
      <c r="AK51" s="2">
        <v>4.5</v>
      </c>
      <c r="AL51" s="3">
        <v>12</v>
      </c>
      <c r="AM51" s="4">
        <v>15</v>
      </c>
      <c r="AN51" s="2">
        <v>5</v>
      </c>
      <c r="AO51" s="3">
        <v>11</v>
      </c>
      <c r="AP51" s="4">
        <v>22.5</v>
      </c>
      <c r="AQ51">
        <v>8</v>
      </c>
      <c r="AR51">
        <v>7</v>
      </c>
      <c r="AS51">
        <v>9</v>
      </c>
      <c r="AT51">
        <v>10</v>
      </c>
      <c r="AU51">
        <f t="shared" si="15"/>
        <v>5</v>
      </c>
      <c r="AV51" t="s">
        <v>230</v>
      </c>
      <c r="AW51" t="s">
        <v>231</v>
      </c>
      <c r="AX51" t="s">
        <v>232</v>
      </c>
      <c r="AY51" t="s">
        <v>253</v>
      </c>
      <c r="AZ51" t="s">
        <v>278</v>
      </c>
      <c r="BA51" t="s">
        <v>235</v>
      </c>
      <c r="BB51" t="s">
        <v>276</v>
      </c>
      <c r="BC51" t="s">
        <v>218</v>
      </c>
      <c r="BD51" t="s">
        <v>220</v>
      </c>
      <c r="BE51">
        <v>3</v>
      </c>
      <c r="BF51">
        <v>6</v>
      </c>
      <c r="BG51">
        <v>8</v>
      </c>
      <c r="BH51" t="s">
        <v>221</v>
      </c>
      <c r="BI51">
        <v>2.5</v>
      </c>
      <c r="BJ51" t="s">
        <v>222</v>
      </c>
      <c r="BK51">
        <v>7.5</v>
      </c>
      <c r="BL51">
        <v>6</v>
      </c>
      <c r="BM51">
        <v>6</v>
      </c>
      <c r="BN51">
        <v>4.5</v>
      </c>
      <c r="BO51">
        <v>4.5</v>
      </c>
    </row>
    <row r="52" spans="1:67" x14ac:dyDescent="0.25">
      <c r="A52">
        <v>9</v>
      </c>
      <c r="B52" t="s">
        <v>384</v>
      </c>
      <c r="C52" t="s">
        <v>385</v>
      </c>
      <c r="D52">
        <v>16204</v>
      </c>
      <c r="E52" t="s">
        <v>56</v>
      </c>
      <c r="F52" t="s">
        <v>12</v>
      </c>
      <c r="G52" s="2">
        <v>14.5</v>
      </c>
      <c r="H52" s="3">
        <v>10</v>
      </c>
      <c r="I52" s="4">
        <f t="shared" si="5"/>
        <v>3.5</v>
      </c>
      <c r="J52">
        <f t="shared" si="0"/>
        <v>6.5</v>
      </c>
      <c r="K52" s="2">
        <v>36</v>
      </c>
      <c r="L52">
        <f t="shared" si="6"/>
        <v>46</v>
      </c>
      <c r="M52" s="2">
        <v>24</v>
      </c>
      <c r="N52" s="3">
        <v>26</v>
      </c>
      <c r="O52" s="4">
        <f t="shared" si="7"/>
        <v>6.5</v>
      </c>
      <c r="P52">
        <f t="shared" si="1"/>
        <v>8</v>
      </c>
      <c r="Q52" s="2">
        <v>47.5</v>
      </c>
      <c r="R52">
        <f t="shared" si="8"/>
        <v>62</v>
      </c>
      <c r="S52" s="2">
        <v>14.5</v>
      </c>
      <c r="T52" s="3">
        <v>10</v>
      </c>
      <c r="U52" s="4">
        <f t="shared" si="9"/>
        <v>3.5</v>
      </c>
      <c r="V52">
        <f t="shared" si="2"/>
        <v>3.5</v>
      </c>
      <c r="W52" s="2">
        <v>21</v>
      </c>
      <c r="X52">
        <f t="shared" si="10"/>
        <v>28</v>
      </c>
      <c r="Y52" s="2">
        <v>13.5</v>
      </c>
      <c r="Z52" s="3">
        <v>17</v>
      </c>
      <c r="AA52" s="4">
        <f t="shared" si="11"/>
        <v>4</v>
      </c>
      <c r="AB52">
        <f t="shared" si="3"/>
        <v>4</v>
      </c>
      <c r="AC52" s="2">
        <v>42.5</v>
      </c>
      <c r="AD52">
        <f t="shared" si="12"/>
        <v>51</v>
      </c>
      <c r="AE52" s="2">
        <v>9</v>
      </c>
      <c r="AF52" s="3">
        <v>15.5</v>
      </c>
      <c r="AG52" s="4">
        <f t="shared" si="13"/>
        <v>3.5</v>
      </c>
      <c r="AH52">
        <f t="shared" si="4"/>
        <v>1.5</v>
      </c>
      <c r="AI52" s="2">
        <v>32.5</v>
      </c>
      <c r="AJ52">
        <f t="shared" si="14"/>
        <v>38</v>
      </c>
      <c r="AK52" s="2">
        <v>12.5</v>
      </c>
      <c r="AL52" s="3">
        <v>12</v>
      </c>
      <c r="AM52" s="4">
        <v>18</v>
      </c>
      <c r="AN52" s="2">
        <v>5</v>
      </c>
      <c r="AO52" s="3">
        <v>16</v>
      </c>
      <c r="AP52" s="4">
        <v>19</v>
      </c>
      <c r="AQ52">
        <v>8</v>
      </c>
      <c r="AR52">
        <v>3</v>
      </c>
      <c r="AS52">
        <v>8</v>
      </c>
      <c r="AT52">
        <v>7</v>
      </c>
      <c r="AU52">
        <f t="shared" si="15"/>
        <v>3.5</v>
      </c>
      <c r="AV52" t="s">
        <v>230</v>
      </c>
      <c r="AW52" t="s">
        <v>231</v>
      </c>
      <c r="AX52" t="s">
        <v>232</v>
      </c>
      <c r="AY52" t="s">
        <v>251</v>
      </c>
      <c r="AZ52" t="s">
        <v>278</v>
      </c>
      <c r="BA52" t="s">
        <v>235</v>
      </c>
      <c r="BB52" t="s">
        <v>276</v>
      </c>
      <c r="BC52" t="s">
        <v>218</v>
      </c>
      <c r="BD52" t="s">
        <v>220</v>
      </c>
      <c r="BE52">
        <v>2.5</v>
      </c>
      <c r="BF52">
        <v>10</v>
      </c>
      <c r="BG52">
        <v>7.5</v>
      </c>
      <c r="BH52">
        <v>6</v>
      </c>
      <c r="BI52">
        <v>2.5</v>
      </c>
      <c r="BJ52" t="s">
        <v>222</v>
      </c>
      <c r="BK52" t="s">
        <v>14</v>
      </c>
      <c r="BL52">
        <v>6</v>
      </c>
      <c r="BM52" t="s">
        <v>15</v>
      </c>
      <c r="BN52">
        <v>6.5</v>
      </c>
      <c r="BO52">
        <v>4</v>
      </c>
    </row>
    <row r="53" spans="1:67" x14ac:dyDescent="0.25">
      <c r="A53">
        <v>10</v>
      </c>
      <c r="B53" t="s">
        <v>384</v>
      </c>
      <c r="C53" t="s">
        <v>385</v>
      </c>
      <c r="D53">
        <v>16572</v>
      </c>
      <c r="E53" t="s">
        <v>61</v>
      </c>
      <c r="F53" t="s">
        <v>12</v>
      </c>
      <c r="G53" s="2">
        <v>20</v>
      </c>
      <c r="H53" s="3" t="s">
        <v>14</v>
      </c>
      <c r="I53" s="4">
        <f t="shared" si="5"/>
        <v>2.5</v>
      </c>
      <c r="J53">
        <f t="shared" si="0"/>
        <v>8</v>
      </c>
      <c r="K53" s="2">
        <v>47</v>
      </c>
      <c r="L53">
        <f t="shared" si="6"/>
        <v>58</v>
      </c>
      <c r="M53" s="2">
        <v>20.5</v>
      </c>
      <c r="N53" s="3">
        <v>15</v>
      </c>
      <c r="O53" s="4">
        <f t="shared" si="7"/>
        <v>4.5</v>
      </c>
      <c r="P53">
        <f t="shared" si="1"/>
        <v>8</v>
      </c>
      <c r="Q53" s="2">
        <v>34.5</v>
      </c>
      <c r="R53">
        <f t="shared" si="8"/>
        <v>47</v>
      </c>
      <c r="S53" s="2">
        <v>25</v>
      </c>
      <c r="T53" s="3">
        <v>15.5</v>
      </c>
      <c r="U53" s="4">
        <f t="shared" si="9"/>
        <v>5.5</v>
      </c>
      <c r="V53">
        <f t="shared" si="2"/>
        <v>5.5</v>
      </c>
      <c r="W53" s="2">
        <v>36</v>
      </c>
      <c r="X53">
        <f t="shared" si="10"/>
        <v>47</v>
      </c>
      <c r="Y53" s="2">
        <v>34.5</v>
      </c>
      <c r="Z53" s="3">
        <v>35</v>
      </c>
      <c r="AA53" s="4">
        <f t="shared" si="11"/>
        <v>9</v>
      </c>
      <c r="AB53">
        <f t="shared" si="3"/>
        <v>8.5</v>
      </c>
      <c r="AC53" s="2">
        <v>60</v>
      </c>
      <c r="AD53">
        <f t="shared" si="12"/>
        <v>78</v>
      </c>
      <c r="AE53" s="2">
        <v>22</v>
      </c>
      <c r="AF53" s="3">
        <v>22.5</v>
      </c>
      <c r="AG53" s="4">
        <f t="shared" si="13"/>
        <v>6</v>
      </c>
      <c r="AH53">
        <f t="shared" si="4"/>
        <v>8</v>
      </c>
      <c r="AI53" s="2">
        <v>56</v>
      </c>
      <c r="AJ53">
        <f t="shared" si="14"/>
        <v>70</v>
      </c>
      <c r="AK53" s="2">
        <v>11</v>
      </c>
      <c r="AL53" s="3">
        <v>11</v>
      </c>
      <c r="AM53" s="4">
        <v>20</v>
      </c>
      <c r="AN53" s="2">
        <v>4</v>
      </c>
      <c r="AO53" s="3">
        <v>19</v>
      </c>
      <c r="AP53" s="4">
        <v>28.5</v>
      </c>
      <c r="AQ53">
        <v>8</v>
      </c>
      <c r="AR53">
        <v>8</v>
      </c>
      <c r="AS53">
        <v>9</v>
      </c>
      <c r="AT53">
        <v>14.5</v>
      </c>
      <c r="AU53">
        <f t="shared" si="15"/>
        <v>7.5</v>
      </c>
      <c r="AV53" t="s">
        <v>230</v>
      </c>
      <c r="AW53" t="s">
        <v>231</v>
      </c>
      <c r="AX53" t="s">
        <v>232</v>
      </c>
      <c r="AY53" t="s">
        <v>281</v>
      </c>
      <c r="AZ53" t="s">
        <v>278</v>
      </c>
      <c r="BA53" t="s">
        <v>235</v>
      </c>
      <c r="BB53" t="s">
        <v>276</v>
      </c>
      <c r="BC53" t="s">
        <v>218</v>
      </c>
      <c r="BD53" t="s">
        <v>220</v>
      </c>
      <c r="BE53">
        <v>9</v>
      </c>
      <c r="BF53">
        <v>8</v>
      </c>
      <c r="BG53">
        <v>8.5</v>
      </c>
      <c r="BH53">
        <v>8.5</v>
      </c>
      <c r="BI53">
        <v>4.5</v>
      </c>
      <c r="BJ53" t="s">
        <v>222</v>
      </c>
      <c r="BK53">
        <v>7</v>
      </c>
      <c r="BL53">
        <v>8</v>
      </c>
      <c r="BM53">
        <v>8</v>
      </c>
      <c r="BN53">
        <v>7</v>
      </c>
      <c r="BO53">
        <v>6</v>
      </c>
    </row>
    <row r="54" spans="1:67" x14ac:dyDescent="0.25">
      <c r="A54">
        <v>11</v>
      </c>
      <c r="B54" t="s">
        <v>384</v>
      </c>
      <c r="C54" t="s">
        <v>385</v>
      </c>
      <c r="D54">
        <v>17208</v>
      </c>
      <c r="E54" t="s">
        <v>66</v>
      </c>
      <c r="F54" t="s">
        <v>12</v>
      </c>
      <c r="G54" s="2">
        <v>31.5</v>
      </c>
      <c r="H54" s="3">
        <v>27</v>
      </c>
      <c r="I54" s="4">
        <f t="shared" si="5"/>
        <v>7.5</v>
      </c>
      <c r="J54">
        <f t="shared" si="0"/>
        <v>9</v>
      </c>
      <c r="K54" s="2">
        <v>67</v>
      </c>
      <c r="L54">
        <f t="shared" si="6"/>
        <v>84</v>
      </c>
      <c r="M54" s="2">
        <v>38</v>
      </c>
      <c r="N54" s="3">
        <v>38</v>
      </c>
      <c r="O54" s="4">
        <f t="shared" si="7"/>
        <v>9.5</v>
      </c>
      <c r="P54">
        <f t="shared" si="1"/>
        <v>10</v>
      </c>
      <c r="Q54" s="2">
        <v>75.5</v>
      </c>
      <c r="R54">
        <f t="shared" si="8"/>
        <v>95</v>
      </c>
      <c r="S54" s="2">
        <v>31</v>
      </c>
      <c r="T54" s="3">
        <v>28.5</v>
      </c>
      <c r="U54" s="4">
        <f t="shared" si="9"/>
        <v>7.5</v>
      </c>
      <c r="V54">
        <f t="shared" si="2"/>
        <v>5</v>
      </c>
      <c r="W54" s="2">
        <v>65.5</v>
      </c>
      <c r="X54">
        <f t="shared" si="10"/>
        <v>78</v>
      </c>
      <c r="Y54" s="2">
        <v>36</v>
      </c>
      <c r="Z54" s="3">
        <v>35</v>
      </c>
      <c r="AA54" s="4">
        <f t="shared" si="11"/>
        <v>9</v>
      </c>
      <c r="AB54">
        <f t="shared" si="3"/>
        <v>9</v>
      </c>
      <c r="AC54" s="2">
        <v>61</v>
      </c>
      <c r="AD54">
        <f t="shared" si="12"/>
        <v>79</v>
      </c>
      <c r="AE54" s="2">
        <v>30.5</v>
      </c>
      <c r="AF54" s="3">
        <v>23</v>
      </c>
      <c r="AG54" s="4">
        <f t="shared" si="13"/>
        <v>7</v>
      </c>
      <c r="AH54">
        <f t="shared" si="4"/>
        <v>9.5</v>
      </c>
      <c r="AI54" s="2">
        <v>59</v>
      </c>
      <c r="AJ54">
        <f t="shared" si="14"/>
        <v>76</v>
      </c>
      <c r="AK54" s="2">
        <v>23</v>
      </c>
      <c r="AL54" s="3">
        <v>22.5</v>
      </c>
      <c r="AM54" s="4">
        <v>23.5</v>
      </c>
      <c r="AN54" s="2">
        <v>9</v>
      </c>
      <c r="AO54" s="3">
        <v>21</v>
      </c>
      <c r="AP54" s="4">
        <v>38</v>
      </c>
      <c r="AQ54">
        <v>8</v>
      </c>
      <c r="AR54">
        <v>7.5</v>
      </c>
      <c r="AS54">
        <v>10</v>
      </c>
      <c r="AT54">
        <v>15.5</v>
      </c>
      <c r="AU54">
        <f t="shared" si="15"/>
        <v>8</v>
      </c>
      <c r="AV54" t="s">
        <v>230</v>
      </c>
      <c r="AW54" t="s">
        <v>231</v>
      </c>
      <c r="AX54" t="s">
        <v>232</v>
      </c>
      <c r="AY54" t="s">
        <v>242</v>
      </c>
      <c r="AZ54" t="s">
        <v>280</v>
      </c>
      <c r="BA54" t="s">
        <v>282</v>
      </c>
      <c r="BB54" t="s">
        <v>276</v>
      </c>
      <c r="BC54" t="s">
        <v>218</v>
      </c>
      <c r="BD54" t="s">
        <v>220</v>
      </c>
      <c r="BE54">
        <v>10</v>
      </c>
      <c r="BF54">
        <v>10</v>
      </c>
      <c r="BG54">
        <v>9</v>
      </c>
      <c r="BH54">
        <v>9</v>
      </c>
      <c r="BI54">
        <v>6</v>
      </c>
      <c r="BJ54" t="s">
        <v>222</v>
      </c>
      <c r="BK54">
        <v>9</v>
      </c>
      <c r="BL54">
        <v>9.5</v>
      </c>
      <c r="BM54">
        <v>8.5</v>
      </c>
      <c r="BN54">
        <v>8.5</v>
      </c>
      <c r="BO54">
        <v>4</v>
      </c>
    </row>
    <row r="55" spans="1:67" x14ac:dyDescent="0.25">
      <c r="A55">
        <v>12</v>
      </c>
      <c r="B55" t="s">
        <v>384</v>
      </c>
      <c r="C55" t="s">
        <v>385</v>
      </c>
      <c r="D55">
        <v>16151</v>
      </c>
      <c r="E55" t="s">
        <v>71</v>
      </c>
      <c r="F55" t="s">
        <v>12</v>
      </c>
      <c r="G55" s="2">
        <v>33</v>
      </c>
      <c r="H55" s="3">
        <v>31.5</v>
      </c>
      <c r="I55" s="4">
        <f t="shared" si="5"/>
        <v>8.5</v>
      </c>
      <c r="J55">
        <f t="shared" si="0"/>
        <v>9</v>
      </c>
      <c r="K55" s="2">
        <v>62.5</v>
      </c>
      <c r="L55">
        <f t="shared" si="6"/>
        <v>80</v>
      </c>
      <c r="M55" s="2">
        <v>37.5</v>
      </c>
      <c r="N55" s="3" t="s">
        <v>14</v>
      </c>
      <c r="O55" s="4">
        <f t="shared" si="7"/>
        <v>5</v>
      </c>
      <c r="P55">
        <f t="shared" si="1"/>
        <v>9.5</v>
      </c>
      <c r="Q55" s="2">
        <v>68.5</v>
      </c>
      <c r="R55">
        <f t="shared" si="8"/>
        <v>83</v>
      </c>
      <c r="S55" s="2">
        <v>36.5</v>
      </c>
      <c r="T55" s="3">
        <v>38</v>
      </c>
      <c r="U55" s="4">
        <f t="shared" si="9"/>
        <v>9.5</v>
      </c>
      <c r="V55">
        <f t="shared" si="2"/>
        <v>10</v>
      </c>
      <c r="W55" s="2">
        <v>80</v>
      </c>
      <c r="X55">
        <f t="shared" si="10"/>
        <v>100</v>
      </c>
      <c r="Y55" s="2">
        <v>31</v>
      </c>
      <c r="Z55" s="3">
        <v>39</v>
      </c>
      <c r="AA55" s="4">
        <f t="shared" si="11"/>
        <v>9</v>
      </c>
      <c r="AB55">
        <f t="shared" si="3"/>
        <v>9</v>
      </c>
      <c r="AC55" s="2">
        <v>59</v>
      </c>
      <c r="AD55">
        <f t="shared" si="12"/>
        <v>77</v>
      </c>
      <c r="AE55" s="2">
        <v>33.5</v>
      </c>
      <c r="AF55" s="3">
        <v>37</v>
      </c>
      <c r="AG55" s="4">
        <f t="shared" si="13"/>
        <v>9</v>
      </c>
      <c r="AH55">
        <f t="shared" si="4"/>
        <v>10</v>
      </c>
      <c r="AI55" s="2">
        <v>66</v>
      </c>
      <c r="AJ55">
        <f t="shared" si="14"/>
        <v>85</v>
      </c>
      <c r="AK55" s="2">
        <v>22.5</v>
      </c>
      <c r="AL55" s="3">
        <v>22.5</v>
      </c>
      <c r="AM55" s="4">
        <v>27</v>
      </c>
      <c r="AN55" s="2">
        <v>8</v>
      </c>
      <c r="AO55" s="3">
        <v>19</v>
      </c>
      <c r="AP55" s="4">
        <v>31.5</v>
      </c>
      <c r="AQ55">
        <v>8</v>
      </c>
      <c r="AR55">
        <v>8.5</v>
      </c>
      <c r="AS55">
        <v>10</v>
      </c>
      <c r="AT55">
        <v>17</v>
      </c>
      <c r="AU55">
        <f t="shared" si="15"/>
        <v>8.5</v>
      </c>
      <c r="AV55" t="s">
        <v>230</v>
      </c>
      <c r="AW55" t="s">
        <v>231</v>
      </c>
      <c r="AX55" t="s">
        <v>232</v>
      </c>
      <c r="AY55" t="s">
        <v>279</v>
      </c>
      <c r="AZ55" t="s">
        <v>283</v>
      </c>
      <c r="BA55" t="s">
        <v>235</v>
      </c>
      <c r="BB55" t="s">
        <v>276</v>
      </c>
      <c r="BC55" t="s">
        <v>218</v>
      </c>
      <c r="BD55" t="s">
        <v>220</v>
      </c>
      <c r="BE55">
        <v>10</v>
      </c>
      <c r="BF55">
        <v>10</v>
      </c>
      <c r="BG55">
        <v>9.5</v>
      </c>
      <c r="BH55">
        <v>8.5</v>
      </c>
      <c r="BI55">
        <v>10</v>
      </c>
      <c r="BJ55" t="s">
        <v>222</v>
      </c>
      <c r="BK55">
        <v>10</v>
      </c>
      <c r="BL55">
        <v>9</v>
      </c>
      <c r="BM55">
        <v>8.5</v>
      </c>
      <c r="BN55">
        <v>9</v>
      </c>
      <c r="BO55">
        <v>10</v>
      </c>
    </row>
    <row r="56" spans="1:67" x14ac:dyDescent="0.25">
      <c r="A56">
        <v>13</v>
      </c>
      <c r="B56" t="s">
        <v>384</v>
      </c>
      <c r="C56" t="s">
        <v>385</v>
      </c>
      <c r="D56">
        <v>16194</v>
      </c>
      <c r="E56" t="s">
        <v>76</v>
      </c>
      <c r="F56" t="s">
        <v>12</v>
      </c>
      <c r="G56" s="2" t="s">
        <v>32</v>
      </c>
      <c r="H56" s="3">
        <v>19.5</v>
      </c>
      <c r="I56" s="4">
        <f t="shared" si="5"/>
        <v>2.5</v>
      </c>
      <c r="J56">
        <f t="shared" si="0"/>
        <v>6</v>
      </c>
      <c r="K56" s="2">
        <v>39.5</v>
      </c>
      <c r="L56">
        <f t="shared" si="6"/>
        <v>48</v>
      </c>
      <c r="M56" s="2" t="s">
        <v>14</v>
      </c>
      <c r="N56" s="3" t="s">
        <v>14</v>
      </c>
      <c r="O56" s="4">
        <f t="shared" si="7"/>
        <v>0</v>
      </c>
      <c r="P56">
        <f t="shared" si="1"/>
        <v>6.5</v>
      </c>
      <c r="Q56" s="2">
        <v>51</v>
      </c>
      <c r="R56">
        <f t="shared" si="8"/>
        <v>58</v>
      </c>
      <c r="S56" s="2" t="s">
        <v>14</v>
      </c>
      <c r="T56" s="3">
        <v>20.5</v>
      </c>
      <c r="U56" s="4">
        <f t="shared" si="9"/>
        <v>3</v>
      </c>
      <c r="V56">
        <f t="shared" si="2"/>
        <v>3.5</v>
      </c>
      <c r="W56" s="2">
        <v>31.5</v>
      </c>
      <c r="X56">
        <f t="shared" si="10"/>
        <v>38</v>
      </c>
      <c r="Y56" s="2" t="s">
        <v>15</v>
      </c>
      <c r="Z56" s="3">
        <v>25</v>
      </c>
      <c r="AA56" s="4">
        <f t="shared" si="11"/>
        <v>3.5</v>
      </c>
      <c r="AB56">
        <f t="shared" si="3"/>
        <v>7.5</v>
      </c>
      <c r="AC56" s="2">
        <v>45.5</v>
      </c>
      <c r="AD56">
        <f t="shared" si="12"/>
        <v>57</v>
      </c>
      <c r="AE56" s="2" t="s">
        <v>14</v>
      </c>
      <c r="AF56" s="3">
        <v>28</v>
      </c>
      <c r="AG56" s="4">
        <f t="shared" si="13"/>
        <v>3.5</v>
      </c>
      <c r="AH56">
        <f t="shared" si="4"/>
        <v>6.5</v>
      </c>
      <c r="AI56" s="2">
        <v>49</v>
      </c>
      <c r="AJ56">
        <f t="shared" si="14"/>
        <v>59</v>
      </c>
      <c r="AK56" s="2" t="s">
        <v>15</v>
      </c>
      <c r="AL56" s="3">
        <v>10.5</v>
      </c>
      <c r="AM56" s="4">
        <v>13</v>
      </c>
      <c r="AN56" s="2">
        <v>5</v>
      </c>
      <c r="AO56" s="3">
        <v>18</v>
      </c>
      <c r="AP56" s="4">
        <v>23.5</v>
      </c>
      <c r="AQ56">
        <v>8</v>
      </c>
      <c r="AR56">
        <v>7</v>
      </c>
      <c r="AS56">
        <v>8</v>
      </c>
      <c r="AT56">
        <v>8</v>
      </c>
      <c r="AU56">
        <f t="shared" si="15"/>
        <v>4</v>
      </c>
      <c r="AV56" t="s">
        <v>230</v>
      </c>
      <c r="AW56" t="s">
        <v>231</v>
      </c>
      <c r="AX56" t="s">
        <v>232</v>
      </c>
      <c r="AY56" t="s">
        <v>284</v>
      </c>
      <c r="AZ56" t="s">
        <v>278</v>
      </c>
      <c r="BA56" t="s">
        <v>235</v>
      </c>
      <c r="BB56" t="s">
        <v>276</v>
      </c>
      <c r="BC56" t="s">
        <v>218</v>
      </c>
      <c r="BD56" t="s">
        <v>220</v>
      </c>
      <c r="BE56">
        <v>7</v>
      </c>
      <c r="BF56">
        <v>7</v>
      </c>
      <c r="BG56">
        <v>9.5</v>
      </c>
      <c r="BH56">
        <v>6.5</v>
      </c>
      <c r="BI56">
        <v>2.5</v>
      </c>
      <c r="BJ56" t="s">
        <v>222</v>
      </c>
      <c r="BK56">
        <v>6</v>
      </c>
      <c r="BL56">
        <v>6</v>
      </c>
      <c r="BM56">
        <v>5.5</v>
      </c>
      <c r="BN56">
        <v>5</v>
      </c>
      <c r="BO56">
        <v>4.5</v>
      </c>
    </row>
    <row r="57" spans="1:67" x14ac:dyDescent="0.25">
      <c r="A57">
        <v>14</v>
      </c>
      <c r="B57" t="s">
        <v>384</v>
      </c>
      <c r="C57" t="s">
        <v>385</v>
      </c>
      <c r="D57">
        <v>16153</v>
      </c>
      <c r="E57" t="s">
        <v>81</v>
      </c>
      <c r="F57" t="s">
        <v>12</v>
      </c>
      <c r="G57" s="2">
        <v>24</v>
      </c>
      <c r="H57" s="3">
        <v>22</v>
      </c>
      <c r="I57" s="4">
        <f t="shared" si="5"/>
        <v>6</v>
      </c>
      <c r="J57">
        <f t="shared" si="0"/>
        <v>6</v>
      </c>
      <c r="K57" s="2">
        <v>43.5</v>
      </c>
      <c r="L57">
        <f t="shared" si="6"/>
        <v>56</v>
      </c>
      <c r="M57" s="2">
        <v>24.5</v>
      </c>
      <c r="N57" s="3">
        <v>35</v>
      </c>
      <c r="O57" s="4">
        <f t="shared" si="7"/>
        <v>7.5</v>
      </c>
      <c r="P57">
        <f t="shared" si="1"/>
        <v>8.5</v>
      </c>
      <c r="Q57" s="2">
        <v>58</v>
      </c>
      <c r="R57">
        <f t="shared" si="8"/>
        <v>74</v>
      </c>
      <c r="S57" s="2">
        <v>19</v>
      </c>
      <c r="T57" s="3">
        <v>17</v>
      </c>
      <c r="U57" s="4">
        <f t="shared" si="9"/>
        <v>4.5</v>
      </c>
      <c r="V57">
        <f t="shared" si="2"/>
        <v>5.5</v>
      </c>
      <c r="W57" s="2">
        <v>42.5</v>
      </c>
      <c r="X57">
        <f t="shared" si="10"/>
        <v>53</v>
      </c>
      <c r="Y57" s="2">
        <v>26.5</v>
      </c>
      <c r="Z57" s="3">
        <v>32.5</v>
      </c>
      <c r="AA57" s="4">
        <f t="shared" si="11"/>
        <v>7.5</v>
      </c>
      <c r="AB57">
        <f t="shared" si="3"/>
        <v>8.5</v>
      </c>
      <c r="AC57" s="2">
        <v>54.5</v>
      </c>
      <c r="AD57">
        <f t="shared" si="12"/>
        <v>71</v>
      </c>
      <c r="AE57" s="2">
        <v>20.5</v>
      </c>
      <c r="AF57" s="3">
        <v>24.5</v>
      </c>
      <c r="AG57" s="4">
        <f t="shared" si="13"/>
        <v>6</v>
      </c>
      <c r="AH57">
        <f t="shared" si="4"/>
        <v>7.5</v>
      </c>
      <c r="AI57" s="2">
        <v>53</v>
      </c>
      <c r="AJ57">
        <f t="shared" si="14"/>
        <v>67</v>
      </c>
      <c r="AK57" s="2">
        <v>16</v>
      </c>
      <c r="AL57" s="3">
        <v>18</v>
      </c>
      <c r="AM57" s="4">
        <v>23.5</v>
      </c>
      <c r="AN57" s="2">
        <v>7</v>
      </c>
      <c r="AO57" s="3">
        <v>15</v>
      </c>
      <c r="AP57" s="4">
        <v>32.5</v>
      </c>
      <c r="AQ57">
        <v>9</v>
      </c>
      <c r="AR57">
        <v>7</v>
      </c>
      <c r="AS57">
        <v>7</v>
      </c>
      <c r="AT57">
        <v>7.5</v>
      </c>
      <c r="AU57">
        <f t="shared" si="15"/>
        <v>4</v>
      </c>
      <c r="AV57" t="s">
        <v>230</v>
      </c>
      <c r="AW57" t="s">
        <v>231</v>
      </c>
      <c r="AX57" t="s">
        <v>232</v>
      </c>
      <c r="AY57" t="s">
        <v>285</v>
      </c>
      <c r="AZ57" t="s">
        <v>286</v>
      </c>
      <c r="BA57" t="s">
        <v>235</v>
      </c>
      <c r="BB57" t="s">
        <v>276</v>
      </c>
      <c r="BC57" t="s">
        <v>218</v>
      </c>
      <c r="BD57" t="s">
        <v>220</v>
      </c>
      <c r="BE57">
        <v>8</v>
      </c>
      <c r="BF57">
        <v>10</v>
      </c>
      <c r="BG57">
        <v>9.5</v>
      </c>
      <c r="BH57">
        <v>6</v>
      </c>
      <c r="BI57">
        <v>6.5</v>
      </c>
      <c r="BJ57" t="s">
        <v>222</v>
      </c>
      <c r="BK57">
        <v>7</v>
      </c>
      <c r="BL57">
        <v>7</v>
      </c>
      <c r="BM57">
        <v>7.5</v>
      </c>
      <c r="BN57">
        <v>6</v>
      </c>
      <c r="BO57">
        <v>4</v>
      </c>
    </row>
    <row r="58" spans="1:67" x14ac:dyDescent="0.25">
      <c r="A58">
        <v>15</v>
      </c>
      <c r="B58" t="s">
        <v>384</v>
      </c>
      <c r="C58" t="s">
        <v>385</v>
      </c>
      <c r="D58">
        <v>17204</v>
      </c>
      <c r="E58" t="s">
        <v>86</v>
      </c>
      <c r="F58" t="s">
        <v>12</v>
      </c>
      <c r="G58" s="2">
        <v>20</v>
      </c>
      <c r="H58" s="3">
        <v>19.5</v>
      </c>
      <c r="I58" s="4">
        <f t="shared" si="5"/>
        <v>5</v>
      </c>
      <c r="J58">
        <f t="shared" si="0"/>
        <v>6.5</v>
      </c>
      <c r="K58" s="2">
        <v>44</v>
      </c>
      <c r="L58">
        <f t="shared" si="6"/>
        <v>56</v>
      </c>
      <c r="M58" s="2">
        <v>29.5</v>
      </c>
      <c r="N58" s="3">
        <v>30.5</v>
      </c>
      <c r="O58" s="4">
        <f t="shared" si="7"/>
        <v>7.5</v>
      </c>
      <c r="P58">
        <f t="shared" si="1"/>
        <v>5</v>
      </c>
      <c r="Q58" s="2">
        <v>51</v>
      </c>
      <c r="R58">
        <f t="shared" si="8"/>
        <v>64</v>
      </c>
      <c r="S58" s="2">
        <v>21.5</v>
      </c>
      <c r="T58" s="3">
        <v>14</v>
      </c>
      <c r="U58" s="4">
        <f t="shared" si="9"/>
        <v>4.5</v>
      </c>
      <c r="V58">
        <f t="shared" si="2"/>
        <v>4.5</v>
      </c>
      <c r="W58" s="2">
        <v>44</v>
      </c>
      <c r="X58">
        <f t="shared" si="10"/>
        <v>53</v>
      </c>
      <c r="Y58" s="2">
        <v>26.5</v>
      </c>
      <c r="Z58" s="3">
        <v>26.5</v>
      </c>
      <c r="AA58" s="4">
        <f t="shared" si="11"/>
        <v>7</v>
      </c>
      <c r="AB58">
        <f t="shared" si="3"/>
        <v>4.5</v>
      </c>
      <c r="AC58" s="2">
        <v>45</v>
      </c>
      <c r="AD58">
        <f t="shared" si="12"/>
        <v>57</v>
      </c>
      <c r="AE58" s="2">
        <v>18</v>
      </c>
      <c r="AF58" s="3">
        <v>23.5</v>
      </c>
      <c r="AG58" s="4">
        <f t="shared" si="13"/>
        <v>5.5</v>
      </c>
      <c r="AH58">
        <f t="shared" si="4"/>
        <v>4</v>
      </c>
      <c r="AI58" s="2">
        <v>47.5</v>
      </c>
      <c r="AJ58">
        <f t="shared" si="14"/>
        <v>57</v>
      </c>
      <c r="AK58" s="2">
        <v>16.5</v>
      </c>
      <c r="AL58" s="3">
        <v>13.5</v>
      </c>
      <c r="AM58" s="4">
        <v>13.5</v>
      </c>
      <c r="AN58" s="2">
        <v>5</v>
      </c>
      <c r="AO58" s="3">
        <v>15</v>
      </c>
      <c r="AP58" s="4">
        <v>29.5</v>
      </c>
      <c r="AQ58">
        <v>8</v>
      </c>
      <c r="AR58">
        <v>8.5</v>
      </c>
      <c r="AS58">
        <v>6</v>
      </c>
      <c r="AT58">
        <v>8.5</v>
      </c>
      <c r="AU58">
        <f t="shared" si="15"/>
        <v>4.5</v>
      </c>
      <c r="AV58" t="s">
        <v>230</v>
      </c>
      <c r="AW58" t="s">
        <v>231</v>
      </c>
      <c r="AX58" t="s">
        <v>232</v>
      </c>
      <c r="AY58" t="s">
        <v>244</v>
      </c>
      <c r="AZ58" t="s">
        <v>278</v>
      </c>
      <c r="BA58" t="s">
        <v>287</v>
      </c>
      <c r="BB58" t="s">
        <v>276</v>
      </c>
      <c r="BC58" t="s">
        <v>218</v>
      </c>
      <c r="BD58" t="s">
        <v>220</v>
      </c>
      <c r="BE58">
        <v>5</v>
      </c>
      <c r="BF58">
        <v>10</v>
      </c>
      <c r="BG58">
        <v>8.5</v>
      </c>
      <c r="BH58">
        <v>5.5</v>
      </c>
      <c r="BI58">
        <v>3</v>
      </c>
      <c r="BJ58" t="s">
        <v>222</v>
      </c>
      <c r="BK58">
        <v>2.5</v>
      </c>
      <c r="BL58" t="s">
        <v>14</v>
      </c>
      <c r="BM58" t="s">
        <v>15</v>
      </c>
      <c r="BN58">
        <v>7</v>
      </c>
      <c r="BO58">
        <v>5.5</v>
      </c>
    </row>
    <row r="59" spans="1:67" x14ac:dyDescent="0.25">
      <c r="A59">
        <v>16</v>
      </c>
      <c r="B59" t="s">
        <v>384</v>
      </c>
      <c r="C59" t="s">
        <v>385</v>
      </c>
      <c r="D59">
        <v>16253</v>
      </c>
      <c r="E59" t="s">
        <v>91</v>
      </c>
      <c r="F59" t="s">
        <v>12</v>
      </c>
      <c r="G59" s="2">
        <v>13.5</v>
      </c>
      <c r="H59" s="3">
        <v>11</v>
      </c>
      <c r="I59" s="4">
        <f t="shared" si="5"/>
        <v>3.5</v>
      </c>
      <c r="J59">
        <f t="shared" si="0"/>
        <v>4</v>
      </c>
      <c r="K59" s="2">
        <v>30</v>
      </c>
      <c r="L59">
        <f t="shared" si="6"/>
        <v>38</v>
      </c>
      <c r="M59" s="2">
        <v>18</v>
      </c>
      <c r="N59" s="3">
        <v>20.5</v>
      </c>
      <c r="O59" s="4">
        <f t="shared" si="7"/>
        <v>5</v>
      </c>
      <c r="P59">
        <f t="shared" si="1"/>
        <v>8</v>
      </c>
      <c r="Q59" s="2">
        <v>34</v>
      </c>
      <c r="R59">
        <f t="shared" si="8"/>
        <v>47</v>
      </c>
      <c r="S59" s="2">
        <v>15.5</v>
      </c>
      <c r="T59" s="3">
        <v>7</v>
      </c>
      <c r="U59" s="4">
        <f t="shared" si="9"/>
        <v>3</v>
      </c>
      <c r="V59">
        <f t="shared" si="2"/>
        <v>2.5</v>
      </c>
      <c r="W59" s="2">
        <v>27</v>
      </c>
      <c r="X59">
        <f t="shared" si="10"/>
        <v>33</v>
      </c>
      <c r="Y59" s="2">
        <v>25</v>
      </c>
      <c r="Z59" s="3">
        <v>29</v>
      </c>
      <c r="AA59" s="4">
        <f t="shared" si="11"/>
        <v>7</v>
      </c>
      <c r="AB59">
        <f t="shared" si="3"/>
        <v>8</v>
      </c>
      <c r="AC59" s="2">
        <v>32.5</v>
      </c>
      <c r="AD59">
        <f t="shared" si="12"/>
        <v>48</v>
      </c>
      <c r="AE59" s="2">
        <v>13</v>
      </c>
      <c r="AF59" s="3">
        <v>15.5</v>
      </c>
      <c r="AG59" s="4">
        <f t="shared" si="13"/>
        <v>4</v>
      </c>
      <c r="AH59">
        <f t="shared" si="4"/>
        <v>4</v>
      </c>
      <c r="AI59" s="2">
        <v>41</v>
      </c>
      <c r="AJ59">
        <f t="shared" si="14"/>
        <v>49</v>
      </c>
      <c r="AK59" s="2">
        <v>5</v>
      </c>
      <c r="AL59" s="3">
        <v>6.5</v>
      </c>
      <c r="AM59" s="4">
        <v>5</v>
      </c>
      <c r="AN59" s="2">
        <v>4</v>
      </c>
      <c r="AO59" s="3">
        <v>15</v>
      </c>
      <c r="AP59" s="4">
        <v>22.5</v>
      </c>
      <c r="AQ59">
        <v>8</v>
      </c>
      <c r="AR59">
        <v>7.5</v>
      </c>
      <c r="AS59">
        <v>6</v>
      </c>
      <c r="AT59">
        <v>6.5</v>
      </c>
      <c r="AU59">
        <f t="shared" si="15"/>
        <v>3.5</v>
      </c>
      <c r="AV59" t="s">
        <v>230</v>
      </c>
      <c r="AW59" t="s">
        <v>231</v>
      </c>
      <c r="AX59" t="s">
        <v>232</v>
      </c>
      <c r="AY59" t="s">
        <v>233</v>
      </c>
      <c r="AZ59" t="s">
        <v>278</v>
      </c>
      <c r="BA59" t="s">
        <v>235</v>
      </c>
      <c r="BB59" t="s">
        <v>276</v>
      </c>
      <c r="BC59" t="s">
        <v>218</v>
      </c>
      <c r="BD59" t="s">
        <v>220</v>
      </c>
      <c r="BE59">
        <v>4</v>
      </c>
      <c r="BF59">
        <v>10</v>
      </c>
      <c r="BG59">
        <v>7.5</v>
      </c>
      <c r="BH59">
        <v>3.5</v>
      </c>
      <c r="BI59">
        <v>1</v>
      </c>
      <c r="BJ59" t="s">
        <v>222</v>
      </c>
      <c r="BK59">
        <v>3.5</v>
      </c>
      <c r="BL59">
        <v>6</v>
      </c>
      <c r="BM59">
        <v>8</v>
      </c>
      <c r="BN59">
        <v>4.5</v>
      </c>
      <c r="BO59">
        <v>4</v>
      </c>
    </row>
    <row r="60" spans="1:67" x14ac:dyDescent="0.25">
      <c r="A60">
        <v>17</v>
      </c>
      <c r="B60" t="s">
        <v>384</v>
      </c>
      <c r="C60" t="s">
        <v>385</v>
      </c>
      <c r="D60">
        <v>16260</v>
      </c>
      <c r="E60" t="s">
        <v>96</v>
      </c>
      <c r="F60" t="s">
        <v>12</v>
      </c>
      <c r="G60" s="2">
        <v>17.5</v>
      </c>
      <c r="H60" s="3">
        <v>14.5</v>
      </c>
      <c r="I60" s="4">
        <f t="shared" si="5"/>
        <v>4</v>
      </c>
      <c r="J60">
        <f t="shared" si="0"/>
        <v>6</v>
      </c>
      <c r="K60" s="2">
        <v>27.5</v>
      </c>
      <c r="L60">
        <f t="shared" si="6"/>
        <v>38</v>
      </c>
      <c r="M60" s="2">
        <v>15.5</v>
      </c>
      <c r="N60" s="3">
        <v>24.5</v>
      </c>
      <c r="O60" s="4">
        <f t="shared" si="7"/>
        <v>5</v>
      </c>
      <c r="P60">
        <f t="shared" si="1"/>
        <v>8</v>
      </c>
      <c r="Q60" s="2">
        <v>43.5</v>
      </c>
      <c r="R60">
        <f t="shared" si="8"/>
        <v>57</v>
      </c>
      <c r="S60" s="2">
        <v>24.5</v>
      </c>
      <c r="T60" s="3">
        <v>17.5</v>
      </c>
      <c r="U60" s="4">
        <f t="shared" si="9"/>
        <v>5.5</v>
      </c>
      <c r="V60">
        <f t="shared" si="2"/>
        <v>3</v>
      </c>
      <c r="W60" s="2">
        <v>33.5</v>
      </c>
      <c r="X60">
        <f t="shared" si="10"/>
        <v>42</v>
      </c>
      <c r="Y60" s="2">
        <v>20</v>
      </c>
      <c r="Z60" s="3">
        <v>15.5</v>
      </c>
      <c r="AA60" s="4">
        <f t="shared" si="11"/>
        <v>4.5</v>
      </c>
      <c r="AB60">
        <f t="shared" si="3"/>
        <v>5.5</v>
      </c>
      <c r="AC60" s="2">
        <v>41</v>
      </c>
      <c r="AD60">
        <f t="shared" si="12"/>
        <v>51</v>
      </c>
      <c r="AE60" s="2">
        <v>7</v>
      </c>
      <c r="AF60" s="3">
        <v>19</v>
      </c>
      <c r="AG60" s="4">
        <f t="shared" si="13"/>
        <v>3.5</v>
      </c>
      <c r="AH60">
        <f t="shared" si="4"/>
        <v>5</v>
      </c>
      <c r="AI60" s="2">
        <v>17</v>
      </c>
      <c r="AJ60">
        <f t="shared" si="14"/>
        <v>26</v>
      </c>
      <c r="AK60" s="2">
        <v>8.5</v>
      </c>
      <c r="AL60" s="3">
        <v>4</v>
      </c>
      <c r="AM60" s="4">
        <v>11.5</v>
      </c>
      <c r="AN60" s="2">
        <v>6</v>
      </c>
      <c r="AO60" s="3">
        <v>14.5</v>
      </c>
      <c r="AP60" s="4">
        <v>20</v>
      </c>
      <c r="AQ60">
        <v>8</v>
      </c>
      <c r="AR60">
        <v>8.5</v>
      </c>
      <c r="AS60">
        <v>10</v>
      </c>
      <c r="AT60">
        <v>0</v>
      </c>
      <c r="AU60">
        <f t="shared" si="15"/>
        <v>0</v>
      </c>
      <c r="AV60" t="s">
        <v>230</v>
      </c>
      <c r="AW60" t="s">
        <v>231</v>
      </c>
      <c r="AX60" t="s">
        <v>232</v>
      </c>
      <c r="AY60" t="s">
        <v>233</v>
      </c>
      <c r="AZ60" t="s">
        <v>278</v>
      </c>
      <c r="BA60" t="s">
        <v>235</v>
      </c>
      <c r="BB60" t="s">
        <v>276</v>
      </c>
      <c r="BC60" t="s">
        <v>218</v>
      </c>
      <c r="BD60" t="s">
        <v>220</v>
      </c>
      <c r="BE60">
        <v>3.5</v>
      </c>
      <c r="BF60">
        <v>10</v>
      </c>
      <c r="BG60">
        <v>7</v>
      </c>
      <c r="BH60">
        <v>6.5</v>
      </c>
      <c r="BI60">
        <v>4</v>
      </c>
      <c r="BJ60" t="s">
        <v>222</v>
      </c>
      <c r="BK60">
        <v>6.5</v>
      </c>
      <c r="BL60">
        <v>6</v>
      </c>
      <c r="BM60">
        <v>4</v>
      </c>
      <c r="BN60">
        <v>5</v>
      </c>
      <c r="BO60">
        <v>2</v>
      </c>
    </row>
    <row r="61" spans="1:67" x14ac:dyDescent="0.25">
      <c r="A61">
        <v>18</v>
      </c>
      <c r="B61" t="s">
        <v>384</v>
      </c>
      <c r="C61" t="s">
        <v>385</v>
      </c>
      <c r="D61">
        <v>16306</v>
      </c>
      <c r="E61" t="s">
        <v>101</v>
      </c>
      <c r="F61" t="s">
        <v>12</v>
      </c>
      <c r="G61" s="2">
        <v>25</v>
      </c>
      <c r="H61" s="3">
        <v>16.5</v>
      </c>
      <c r="I61" s="4">
        <f t="shared" si="5"/>
        <v>5.5</v>
      </c>
      <c r="J61">
        <f t="shared" si="0"/>
        <v>7.5</v>
      </c>
      <c r="K61" s="2">
        <v>31.5</v>
      </c>
      <c r="L61">
        <f t="shared" si="6"/>
        <v>45</v>
      </c>
      <c r="M61" s="2">
        <v>24.5</v>
      </c>
      <c r="N61" s="3">
        <v>22.5</v>
      </c>
      <c r="O61" s="4">
        <f t="shared" si="7"/>
        <v>6</v>
      </c>
      <c r="P61">
        <f t="shared" si="1"/>
        <v>8</v>
      </c>
      <c r="Q61" s="2">
        <v>45.5</v>
      </c>
      <c r="R61">
        <f t="shared" si="8"/>
        <v>60</v>
      </c>
      <c r="S61" s="2">
        <v>15.5</v>
      </c>
      <c r="T61" s="3">
        <v>13.5</v>
      </c>
      <c r="U61" s="4">
        <f t="shared" si="9"/>
        <v>4</v>
      </c>
      <c r="V61">
        <f t="shared" si="2"/>
        <v>1</v>
      </c>
      <c r="W61" s="2" t="s">
        <v>14</v>
      </c>
      <c r="X61">
        <f t="shared" si="10"/>
        <v>5</v>
      </c>
      <c r="Y61" s="2">
        <v>29</v>
      </c>
      <c r="Z61" s="3">
        <v>27.5</v>
      </c>
      <c r="AA61" s="4">
        <f t="shared" si="11"/>
        <v>7.5</v>
      </c>
      <c r="AB61">
        <f t="shared" si="3"/>
        <v>8.5</v>
      </c>
      <c r="AC61" s="2">
        <v>45.5</v>
      </c>
      <c r="AD61">
        <f t="shared" si="12"/>
        <v>62</v>
      </c>
      <c r="AE61" s="2">
        <v>21.5</v>
      </c>
      <c r="AF61" s="3">
        <v>24.5</v>
      </c>
      <c r="AG61" s="4">
        <f t="shared" si="13"/>
        <v>6</v>
      </c>
      <c r="AH61">
        <f t="shared" si="4"/>
        <v>7</v>
      </c>
      <c r="AI61" s="2">
        <v>41.5</v>
      </c>
      <c r="AJ61">
        <f t="shared" si="14"/>
        <v>55</v>
      </c>
      <c r="AK61" s="2">
        <v>11</v>
      </c>
      <c r="AL61" s="3" t="s">
        <v>15</v>
      </c>
      <c r="AM61" s="4">
        <v>9.5</v>
      </c>
      <c r="AN61" s="2">
        <v>7</v>
      </c>
      <c r="AO61" s="3">
        <v>14</v>
      </c>
      <c r="AP61" s="4">
        <v>32</v>
      </c>
      <c r="AQ61">
        <v>8</v>
      </c>
      <c r="AR61">
        <v>8.5</v>
      </c>
      <c r="AS61">
        <v>5</v>
      </c>
      <c r="AT61">
        <v>7.5</v>
      </c>
      <c r="AU61">
        <f t="shared" si="15"/>
        <v>4</v>
      </c>
      <c r="AV61" t="s">
        <v>230</v>
      </c>
      <c r="AW61" t="s">
        <v>231</v>
      </c>
      <c r="AX61" t="s">
        <v>232</v>
      </c>
      <c r="AY61" t="s">
        <v>288</v>
      </c>
      <c r="AZ61" t="s">
        <v>278</v>
      </c>
      <c r="BA61" t="s">
        <v>235</v>
      </c>
      <c r="BB61" t="s">
        <v>276</v>
      </c>
      <c r="BC61" t="s">
        <v>218</v>
      </c>
      <c r="BD61" t="s">
        <v>220</v>
      </c>
      <c r="BE61">
        <v>7.5</v>
      </c>
      <c r="BF61">
        <v>10</v>
      </c>
      <c r="BG61">
        <v>9.5</v>
      </c>
      <c r="BH61">
        <v>7.5</v>
      </c>
      <c r="BI61">
        <v>2</v>
      </c>
      <c r="BJ61" t="s">
        <v>222</v>
      </c>
      <c r="BK61">
        <v>6</v>
      </c>
      <c r="BL61">
        <v>6</v>
      </c>
      <c r="BM61">
        <v>7.5</v>
      </c>
      <c r="BN61">
        <v>7</v>
      </c>
      <c r="BO61" t="s">
        <v>14</v>
      </c>
    </row>
    <row r="62" spans="1:67" x14ac:dyDescent="0.25">
      <c r="A62">
        <v>19</v>
      </c>
      <c r="B62" t="s">
        <v>384</v>
      </c>
      <c r="C62" t="s">
        <v>385</v>
      </c>
      <c r="D62">
        <v>16276</v>
      </c>
      <c r="E62" t="s">
        <v>106</v>
      </c>
      <c r="F62" t="s">
        <v>12</v>
      </c>
      <c r="G62" s="2">
        <v>2</v>
      </c>
      <c r="H62" s="3">
        <v>2</v>
      </c>
      <c r="I62" s="4">
        <f t="shared" si="5"/>
        <v>0.5</v>
      </c>
      <c r="J62">
        <f t="shared" si="0"/>
        <v>2</v>
      </c>
      <c r="K62" s="2">
        <v>2</v>
      </c>
      <c r="L62">
        <f t="shared" si="6"/>
        <v>5</v>
      </c>
      <c r="M62" s="2" t="s">
        <v>14</v>
      </c>
      <c r="N62" s="3">
        <v>4</v>
      </c>
      <c r="O62" s="4">
        <f t="shared" si="7"/>
        <v>0.5</v>
      </c>
      <c r="P62">
        <f t="shared" si="1"/>
        <v>4</v>
      </c>
      <c r="Q62" s="2">
        <v>9.5</v>
      </c>
      <c r="R62">
        <f t="shared" si="8"/>
        <v>14</v>
      </c>
      <c r="S62" s="2">
        <v>2</v>
      </c>
      <c r="T62" s="3">
        <v>3</v>
      </c>
      <c r="U62" s="4">
        <f t="shared" si="9"/>
        <v>1</v>
      </c>
      <c r="V62">
        <f t="shared" si="2"/>
        <v>1.5</v>
      </c>
      <c r="W62" s="2">
        <v>3</v>
      </c>
      <c r="X62">
        <f t="shared" si="10"/>
        <v>6</v>
      </c>
      <c r="Y62" s="2">
        <v>2</v>
      </c>
      <c r="Z62" s="3">
        <v>2</v>
      </c>
      <c r="AA62" s="4">
        <f t="shared" si="11"/>
        <v>0.5</v>
      </c>
      <c r="AB62">
        <f t="shared" si="3"/>
        <v>2.5</v>
      </c>
      <c r="AC62" s="2">
        <v>3</v>
      </c>
      <c r="AD62">
        <f t="shared" si="12"/>
        <v>6</v>
      </c>
      <c r="AE62" s="2">
        <v>3</v>
      </c>
      <c r="AF62" s="3">
        <v>2</v>
      </c>
      <c r="AG62" s="4">
        <f t="shared" si="13"/>
        <v>1</v>
      </c>
      <c r="AH62">
        <f t="shared" si="4"/>
        <v>1.5</v>
      </c>
      <c r="AI62" s="2" t="s">
        <v>14</v>
      </c>
      <c r="AJ62">
        <f t="shared" si="14"/>
        <v>3</v>
      </c>
      <c r="AK62" s="2">
        <v>2</v>
      </c>
      <c r="AL62" s="3" t="s">
        <v>15</v>
      </c>
      <c r="AM62" s="4">
        <v>2</v>
      </c>
      <c r="AN62" s="2">
        <v>4</v>
      </c>
      <c r="AO62" s="3">
        <v>8</v>
      </c>
      <c r="AP62" s="4">
        <v>17</v>
      </c>
      <c r="AQ62">
        <v>8</v>
      </c>
      <c r="AR62">
        <v>1</v>
      </c>
      <c r="AS62">
        <v>3</v>
      </c>
      <c r="AT62">
        <v>1.5</v>
      </c>
      <c r="AU62">
        <f t="shared" si="15"/>
        <v>1</v>
      </c>
      <c r="AV62" t="s">
        <v>230</v>
      </c>
      <c r="AW62" t="s">
        <v>231</v>
      </c>
      <c r="AX62" t="s">
        <v>232</v>
      </c>
      <c r="AY62" t="s">
        <v>285</v>
      </c>
      <c r="AZ62" t="s">
        <v>278</v>
      </c>
      <c r="BA62" t="s">
        <v>235</v>
      </c>
      <c r="BB62" t="s">
        <v>276</v>
      </c>
      <c r="BC62" t="s">
        <v>218</v>
      </c>
      <c r="BD62" t="s">
        <v>220</v>
      </c>
      <c r="BE62">
        <v>2</v>
      </c>
      <c r="BF62">
        <v>4</v>
      </c>
      <c r="BG62">
        <v>2</v>
      </c>
      <c r="BH62">
        <v>1</v>
      </c>
      <c r="BI62">
        <v>0.5</v>
      </c>
      <c r="BJ62" t="s">
        <v>222</v>
      </c>
      <c r="BK62">
        <v>1</v>
      </c>
      <c r="BL62">
        <v>4</v>
      </c>
      <c r="BM62">
        <v>3</v>
      </c>
      <c r="BN62">
        <v>2.5</v>
      </c>
      <c r="BO62">
        <v>2.5</v>
      </c>
    </row>
    <row r="63" spans="1:67" x14ac:dyDescent="0.25">
      <c r="A63">
        <v>20</v>
      </c>
      <c r="B63" t="s">
        <v>384</v>
      </c>
      <c r="C63" t="s">
        <v>385</v>
      </c>
      <c r="D63">
        <v>16178</v>
      </c>
      <c r="E63" t="s">
        <v>111</v>
      </c>
      <c r="F63" t="s">
        <v>12</v>
      </c>
      <c r="G63" s="2">
        <v>26</v>
      </c>
      <c r="H63" s="3">
        <v>23.5</v>
      </c>
      <c r="I63" s="4">
        <f t="shared" si="5"/>
        <v>6.5</v>
      </c>
      <c r="J63">
        <f t="shared" si="0"/>
        <v>7.5</v>
      </c>
      <c r="K63" s="2">
        <v>39.5</v>
      </c>
      <c r="L63">
        <f t="shared" si="6"/>
        <v>54</v>
      </c>
      <c r="M63" s="2">
        <v>37</v>
      </c>
      <c r="N63" s="3">
        <v>33.5</v>
      </c>
      <c r="O63" s="4">
        <f t="shared" si="7"/>
        <v>9</v>
      </c>
      <c r="P63">
        <f t="shared" si="1"/>
        <v>9.5</v>
      </c>
      <c r="Q63" s="2">
        <v>73</v>
      </c>
      <c r="R63">
        <f t="shared" si="8"/>
        <v>92</v>
      </c>
      <c r="S63" s="2">
        <v>28.5</v>
      </c>
      <c r="T63" s="3">
        <v>15</v>
      </c>
      <c r="U63" s="4">
        <f t="shared" si="9"/>
        <v>5.5</v>
      </c>
      <c r="V63">
        <f t="shared" si="2"/>
        <v>2.5</v>
      </c>
      <c r="W63" s="2">
        <v>32.5</v>
      </c>
      <c r="X63">
        <f t="shared" si="10"/>
        <v>41</v>
      </c>
      <c r="Y63" s="2">
        <v>25</v>
      </c>
      <c r="Z63" s="3">
        <v>31</v>
      </c>
      <c r="AA63" s="4">
        <f t="shared" si="11"/>
        <v>7</v>
      </c>
      <c r="AB63">
        <f t="shared" si="3"/>
        <v>8.5</v>
      </c>
      <c r="AC63" s="2">
        <v>42.5</v>
      </c>
      <c r="AD63">
        <f t="shared" si="12"/>
        <v>58</v>
      </c>
      <c r="AE63" s="2">
        <v>20</v>
      </c>
      <c r="AF63" s="3">
        <v>28</v>
      </c>
      <c r="AG63" s="4">
        <f t="shared" si="13"/>
        <v>6</v>
      </c>
      <c r="AH63">
        <f t="shared" si="4"/>
        <v>2.5</v>
      </c>
      <c r="AI63" s="2">
        <v>48</v>
      </c>
      <c r="AJ63">
        <f t="shared" si="14"/>
        <v>57</v>
      </c>
      <c r="AK63" s="2">
        <v>22.5</v>
      </c>
      <c r="AL63" s="3">
        <v>20.5</v>
      </c>
      <c r="AM63" s="4">
        <v>24.5</v>
      </c>
      <c r="AN63" s="2">
        <v>6.5</v>
      </c>
      <c r="AO63" s="3">
        <v>22</v>
      </c>
      <c r="AP63" s="4">
        <v>29</v>
      </c>
      <c r="AQ63">
        <v>8</v>
      </c>
      <c r="AR63">
        <v>8</v>
      </c>
      <c r="AS63">
        <v>9</v>
      </c>
      <c r="AT63">
        <v>17</v>
      </c>
      <c r="AU63">
        <f t="shared" si="15"/>
        <v>8.5</v>
      </c>
      <c r="AV63" t="s">
        <v>230</v>
      </c>
      <c r="AW63" t="s">
        <v>231</v>
      </c>
      <c r="AX63" t="s">
        <v>232</v>
      </c>
      <c r="AY63" t="s">
        <v>247</v>
      </c>
      <c r="AZ63" t="s">
        <v>289</v>
      </c>
      <c r="BA63" t="s">
        <v>235</v>
      </c>
      <c r="BB63" t="s">
        <v>276</v>
      </c>
      <c r="BC63" t="s">
        <v>218</v>
      </c>
      <c r="BD63" t="s">
        <v>220</v>
      </c>
      <c r="BE63">
        <v>5</v>
      </c>
      <c r="BF63">
        <v>10</v>
      </c>
      <c r="BG63">
        <v>9.5</v>
      </c>
      <c r="BH63">
        <v>8</v>
      </c>
      <c r="BI63">
        <v>5</v>
      </c>
      <c r="BJ63" t="s">
        <v>222</v>
      </c>
      <c r="BK63" t="s">
        <v>14</v>
      </c>
      <c r="BL63">
        <v>9</v>
      </c>
      <c r="BM63">
        <v>7</v>
      </c>
      <c r="BN63">
        <v>7</v>
      </c>
      <c r="BO63" t="s">
        <v>14</v>
      </c>
    </row>
    <row r="64" spans="1:67" x14ac:dyDescent="0.25">
      <c r="A64">
        <v>21</v>
      </c>
      <c r="B64" t="s">
        <v>384</v>
      </c>
      <c r="C64" t="s">
        <v>385</v>
      </c>
      <c r="D64">
        <v>16268</v>
      </c>
      <c r="E64" t="s">
        <v>116</v>
      </c>
      <c r="F64" t="s">
        <v>12</v>
      </c>
      <c r="G64" s="2">
        <v>36</v>
      </c>
      <c r="H64" s="3">
        <v>34</v>
      </c>
      <c r="I64" s="4">
        <f t="shared" si="5"/>
        <v>9</v>
      </c>
      <c r="J64">
        <f t="shared" si="0"/>
        <v>10</v>
      </c>
      <c r="K64" s="2">
        <v>68</v>
      </c>
      <c r="L64">
        <f t="shared" si="6"/>
        <v>87</v>
      </c>
      <c r="M64" s="2">
        <v>37</v>
      </c>
      <c r="N64" s="3">
        <v>38</v>
      </c>
      <c r="O64" s="4">
        <f t="shared" si="7"/>
        <v>9.5</v>
      </c>
      <c r="P64">
        <f t="shared" si="1"/>
        <v>5</v>
      </c>
      <c r="Q64" s="2">
        <v>74.5</v>
      </c>
      <c r="R64">
        <f t="shared" si="8"/>
        <v>89</v>
      </c>
      <c r="S64" s="2">
        <v>36.5</v>
      </c>
      <c r="T64" s="3">
        <v>28</v>
      </c>
      <c r="U64" s="4">
        <f t="shared" si="9"/>
        <v>8.5</v>
      </c>
      <c r="V64">
        <f t="shared" si="2"/>
        <v>9</v>
      </c>
      <c r="W64" s="2">
        <v>78</v>
      </c>
      <c r="X64">
        <f t="shared" si="10"/>
        <v>96</v>
      </c>
      <c r="Y64" s="2">
        <v>37</v>
      </c>
      <c r="Z64" s="3">
        <v>40</v>
      </c>
      <c r="AA64" s="4">
        <f t="shared" si="11"/>
        <v>10</v>
      </c>
      <c r="AB64">
        <f t="shared" si="3"/>
        <v>9.5</v>
      </c>
      <c r="AC64" s="2">
        <v>66</v>
      </c>
      <c r="AD64">
        <f t="shared" si="12"/>
        <v>86</v>
      </c>
      <c r="AE64" s="2">
        <v>35.5</v>
      </c>
      <c r="AF64" s="3">
        <v>36.5</v>
      </c>
      <c r="AG64" s="4">
        <f t="shared" si="13"/>
        <v>9</v>
      </c>
      <c r="AH64">
        <f t="shared" si="4"/>
        <v>9</v>
      </c>
      <c r="AI64" s="2">
        <v>74</v>
      </c>
      <c r="AJ64">
        <f t="shared" si="14"/>
        <v>92</v>
      </c>
      <c r="AK64" s="2">
        <v>24.5</v>
      </c>
      <c r="AL64" s="3">
        <v>24.5</v>
      </c>
      <c r="AM64" s="4">
        <v>30</v>
      </c>
      <c r="AN64" s="2">
        <v>10</v>
      </c>
      <c r="AO64" s="3">
        <v>21</v>
      </c>
      <c r="AP64" s="4">
        <v>33.5</v>
      </c>
      <c r="AQ64">
        <v>8</v>
      </c>
      <c r="AR64">
        <v>8.5</v>
      </c>
      <c r="AS64">
        <v>10</v>
      </c>
      <c r="AT64">
        <v>16</v>
      </c>
      <c r="AU64">
        <f t="shared" si="15"/>
        <v>8</v>
      </c>
      <c r="AV64" t="s">
        <v>230</v>
      </c>
      <c r="AW64" t="s">
        <v>231</v>
      </c>
      <c r="AX64" t="s">
        <v>232</v>
      </c>
      <c r="AY64" t="s">
        <v>254</v>
      </c>
      <c r="AZ64" t="s">
        <v>290</v>
      </c>
      <c r="BA64" t="s">
        <v>235</v>
      </c>
      <c r="BB64" t="s">
        <v>276</v>
      </c>
      <c r="BC64" t="s">
        <v>218</v>
      </c>
      <c r="BD64" t="s">
        <v>220</v>
      </c>
      <c r="BE64">
        <v>9</v>
      </c>
      <c r="BF64">
        <v>10</v>
      </c>
      <c r="BG64">
        <v>10</v>
      </c>
      <c r="BH64">
        <v>10</v>
      </c>
      <c r="BI64">
        <v>10</v>
      </c>
      <c r="BJ64" t="s">
        <v>222</v>
      </c>
      <c r="BK64">
        <v>9</v>
      </c>
      <c r="BL64" t="s">
        <v>14</v>
      </c>
      <c r="BM64">
        <v>9</v>
      </c>
      <c r="BN64">
        <v>9.5</v>
      </c>
      <c r="BO64">
        <v>8</v>
      </c>
    </row>
    <row r="65" spans="1:67" x14ac:dyDescent="0.25">
      <c r="A65">
        <v>22</v>
      </c>
      <c r="B65" t="s">
        <v>384</v>
      </c>
      <c r="C65" t="s">
        <v>385</v>
      </c>
      <c r="D65">
        <v>16180</v>
      </c>
      <c r="E65" t="s">
        <v>121</v>
      </c>
      <c r="F65" t="s">
        <v>12</v>
      </c>
      <c r="G65" s="2">
        <v>13.5</v>
      </c>
      <c r="H65" s="3">
        <v>11.5</v>
      </c>
      <c r="I65" s="4">
        <f t="shared" si="5"/>
        <v>3.5</v>
      </c>
      <c r="J65">
        <f t="shared" si="0"/>
        <v>5</v>
      </c>
      <c r="K65" s="2">
        <v>29.5</v>
      </c>
      <c r="L65">
        <f t="shared" si="6"/>
        <v>38</v>
      </c>
      <c r="M65" s="2">
        <v>18</v>
      </c>
      <c r="N65" s="3">
        <v>18.5</v>
      </c>
      <c r="O65" s="4">
        <f t="shared" si="7"/>
        <v>5</v>
      </c>
      <c r="P65">
        <f t="shared" si="1"/>
        <v>8</v>
      </c>
      <c r="Q65" s="2">
        <v>29</v>
      </c>
      <c r="R65">
        <f t="shared" si="8"/>
        <v>42</v>
      </c>
      <c r="S65" s="2">
        <v>17</v>
      </c>
      <c r="T65" s="3">
        <v>9</v>
      </c>
      <c r="U65" s="4">
        <f t="shared" si="9"/>
        <v>3.5</v>
      </c>
      <c r="V65">
        <f t="shared" si="2"/>
        <v>2.5</v>
      </c>
      <c r="W65" s="2">
        <v>31</v>
      </c>
      <c r="X65">
        <f t="shared" si="10"/>
        <v>37</v>
      </c>
      <c r="Y65" s="2">
        <v>12.5</v>
      </c>
      <c r="Z65" s="3">
        <v>24</v>
      </c>
      <c r="AA65" s="4">
        <f t="shared" si="11"/>
        <v>5</v>
      </c>
      <c r="AB65">
        <f t="shared" si="3"/>
        <v>5.5</v>
      </c>
      <c r="AC65" s="2">
        <v>44</v>
      </c>
      <c r="AD65">
        <f t="shared" si="12"/>
        <v>55</v>
      </c>
      <c r="AE65" s="2">
        <v>10</v>
      </c>
      <c r="AF65" s="3">
        <v>15.5</v>
      </c>
      <c r="AG65" s="4">
        <f t="shared" si="13"/>
        <v>3.5</v>
      </c>
      <c r="AH65">
        <f t="shared" si="4"/>
        <v>2</v>
      </c>
      <c r="AI65" s="2">
        <v>21</v>
      </c>
      <c r="AJ65">
        <f t="shared" si="14"/>
        <v>27</v>
      </c>
      <c r="AK65" s="2">
        <v>7</v>
      </c>
      <c r="AL65" s="3">
        <v>7</v>
      </c>
      <c r="AM65" s="4">
        <v>10</v>
      </c>
      <c r="AN65" s="2">
        <v>7</v>
      </c>
      <c r="AO65" s="3">
        <v>16</v>
      </c>
      <c r="AP65" s="4">
        <v>22.5</v>
      </c>
      <c r="AQ65">
        <v>8</v>
      </c>
      <c r="AR65">
        <v>3</v>
      </c>
      <c r="AS65">
        <v>7</v>
      </c>
      <c r="AT65">
        <v>6</v>
      </c>
      <c r="AU65">
        <f t="shared" si="15"/>
        <v>3</v>
      </c>
      <c r="AV65" t="s">
        <v>230</v>
      </c>
      <c r="AW65" t="s">
        <v>231</v>
      </c>
      <c r="AX65" t="s">
        <v>232</v>
      </c>
      <c r="AY65" t="s">
        <v>247</v>
      </c>
      <c r="AZ65" t="s">
        <v>278</v>
      </c>
      <c r="BA65" t="s">
        <v>235</v>
      </c>
      <c r="BB65" t="s">
        <v>276</v>
      </c>
      <c r="BC65" t="s">
        <v>218</v>
      </c>
      <c r="BD65" t="s">
        <v>220</v>
      </c>
      <c r="BE65">
        <v>2</v>
      </c>
      <c r="BF65">
        <v>10</v>
      </c>
      <c r="BG65">
        <v>6.5</v>
      </c>
      <c r="BH65">
        <v>5.5</v>
      </c>
      <c r="BI65">
        <v>0.5</v>
      </c>
      <c r="BJ65" t="s">
        <v>222</v>
      </c>
      <c r="BK65">
        <v>2</v>
      </c>
      <c r="BL65">
        <v>6</v>
      </c>
      <c r="BM65">
        <v>4.5</v>
      </c>
      <c r="BN65">
        <v>4</v>
      </c>
      <c r="BO65">
        <v>4</v>
      </c>
    </row>
    <row r="66" spans="1:67" x14ac:dyDescent="0.25">
      <c r="A66">
        <v>23</v>
      </c>
      <c r="B66" t="s">
        <v>384</v>
      </c>
      <c r="C66" t="s">
        <v>385</v>
      </c>
      <c r="D66">
        <v>16191</v>
      </c>
      <c r="E66" t="s">
        <v>126</v>
      </c>
      <c r="F66" t="s">
        <v>12</v>
      </c>
      <c r="G66" s="2">
        <v>10.5</v>
      </c>
      <c r="H66" s="3">
        <v>8.5</v>
      </c>
      <c r="I66" s="4">
        <f t="shared" si="5"/>
        <v>2.5</v>
      </c>
      <c r="J66">
        <f t="shared" ref="J66:J129" si="16">CEILING((N(BH66)+N(BN66))/2,0.5)</f>
        <v>5</v>
      </c>
      <c r="K66" s="2">
        <v>17.5</v>
      </c>
      <c r="L66">
        <f t="shared" si="6"/>
        <v>25</v>
      </c>
      <c r="M66" s="2">
        <v>24.5</v>
      </c>
      <c r="N66" s="3">
        <v>22</v>
      </c>
      <c r="O66" s="4">
        <f t="shared" si="7"/>
        <v>6</v>
      </c>
      <c r="P66">
        <f t="shared" ref="P66:P129" si="17">CEILING((N(BF66)+N(BL66))/2,0.5)</f>
        <v>4.5</v>
      </c>
      <c r="Q66" s="2">
        <v>30</v>
      </c>
      <c r="R66">
        <f t="shared" si="8"/>
        <v>41</v>
      </c>
      <c r="S66" s="2">
        <v>17</v>
      </c>
      <c r="T66" s="3">
        <v>9</v>
      </c>
      <c r="U66" s="4">
        <f t="shared" si="9"/>
        <v>3.5</v>
      </c>
      <c r="V66">
        <f t="shared" ref="V66:V129" si="18">CEILING((N(BI66)+N(BO66))/2,0.5)</f>
        <v>3.5</v>
      </c>
      <c r="W66" s="2">
        <v>20.5</v>
      </c>
      <c r="X66">
        <f t="shared" si="10"/>
        <v>28</v>
      </c>
      <c r="Y66" s="2">
        <v>21</v>
      </c>
      <c r="Z66" s="3">
        <v>21</v>
      </c>
      <c r="AA66" s="4">
        <f t="shared" si="11"/>
        <v>5.5</v>
      </c>
      <c r="AB66">
        <f t="shared" ref="AB66:AB129" si="19">CEILING((N(BG66)+N(BM66))/2,0.5)</f>
        <v>4.5</v>
      </c>
      <c r="AC66" s="2">
        <v>33</v>
      </c>
      <c r="AD66">
        <f t="shared" si="12"/>
        <v>43</v>
      </c>
      <c r="AE66" s="2">
        <v>15</v>
      </c>
      <c r="AF66" s="3">
        <v>14.5</v>
      </c>
      <c r="AG66" s="4">
        <f t="shared" si="13"/>
        <v>4</v>
      </c>
      <c r="AH66">
        <f t="shared" ref="AH66:AH129" si="20">CEILING((N(BE66)+N(BK66))/2,0.5)</f>
        <v>3.5</v>
      </c>
      <c r="AI66" s="2">
        <v>17.5</v>
      </c>
      <c r="AJ66">
        <f t="shared" si="14"/>
        <v>25</v>
      </c>
      <c r="AK66" s="2">
        <v>7</v>
      </c>
      <c r="AL66" s="3">
        <v>4</v>
      </c>
      <c r="AM66" s="4">
        <v>6.5</v>
      </c>
      <c r="AN66" s="2">
        <v>3</v>
      </c>
      <c r="AO66" s="3">
        <v>13</v>
      </c>
      <c r="AP66" s="4">
        <v>19</v>
      </c>
      <c r="AQ66">
        <v>8</v>
      </c>
      <c r="AR66">
        <v>7.5</v>
      </c>
      <c r="AS66">
        <v>7</v>
      </c>
      <c r="AT66">
        <v>4</v>
      </c>
      <c r="AU66">
        <f t="shared" si="15"/>
        <v>2</v>
      </c>
      <c r="AV66" t="s">
        <v>230</v>
      </c>
      <c r="AW66" t="s">
        <v>231</v>
      </c>
      <c r="AX66" t="s">
        <v>232</v>
      </c>
      <c r="AY66" t="s">
        <v>242</v>
      </c>
      <c r="AZ66" t="s">
        <v>278</v>
      </c>
      <c r="BA66" t="s">
        <v>235</v>
      </c>
      <c r="BB66" t="s">
        <v>276</v>
      </c>
      <c r="BC66" t="s">
        <v>218</v>
      </c>
      <c r="BD66" t="s">
        <v>220</v>
      </c>
      <c r="BE66">
        <v>3.5</v>
      </c>
      <c r="BF66">
        <v>4</v>
      </c>
      <c r="BG66">
        <v>3</v>
      </c>
      <c r="BH66">
        <v>6</v>
      </c>
      <c r="BI66">
        <v>2.5</v>
      </c>
      <c r="BJ66" t="s">
        <v>222</v>
      </c>
      <c r="BK66">
        <v>3.5</v>
      </c>
      <c r="BL66">
        <v>5</v>
      </c>
      <c r="BM66">
        <v>5.5</v>
      </c>
      <c r="BN66">
        <v>3.5</v>
      </c>
      <c r="BO66">
        <v>4</v>
      </c>
    </row>
    <row r="67" spans="1:67" x14ac:dyDescent="0.25">
      <c r="A67">
        <v>24</v>
      </c>
      <c r="B67" t="s">
        <v>384</v>
      </c>
      <c r="C67" t="s">
        <v>385</v>
      </c>
      <c r="D67">
        <v>16588</v>
      </c>
      <c r="E67" t="s">
        <v>131</v>
      </c>
      <c r="F67" t="s">
        <v>12</v>
      </c>
      <c r="G67" s="2">
        <v>17</v>
      </c>
      <c r="H67" s="3">
        <v>11.5</v>
      </c>
      <c r="I67" s="4">
        <f t="shared" ref="I67:I130" si="21">CEILING((N(G67)+N(H67))/80*10,0.5)</f>
        <v>4</v>
      </c>
      <c r="J67">
        <f t="shared" si="16"/>
        <v>4</v>
      </c>
      <c r="K67" s="2">
        <v>25</v>
      </c>
      <c r="L67">
        <f t="shared" ref="L67:L130" si="22">ROUND(N(I67) + N(J67) + N(K67), 0)</f>
        <v>33</v>
      </c>
      <c r="M67" s="2">
        <v>32.5</v>
      </c>
      <c r="N67" s="3">
        <v>27.5</v>
      </c>
      <c r="O67" s="4">
        <f t="shared" ref="O67:O130" si="23">CEILING((N(M67)+N(N67))/80*10,0.5)</f>
        <v>7.5</v>
      </c>
      <c r="P67">
        <f t="shared" si="17"/>
        <v>7.5</v>
      </c>
      <c r="Q67" s="2">
        <v>34</v>
      </c>
      <c r="R67">
        <f t="shared" ref="R67:R130" si="24">ROUND(N(O67) + N(P67) + N(Q67), 0)</f>
        <v>49</v>
      </c>
      <c r="S67" s="2">
        <v>17.5</v>
      </c>
      <c r="T67" s="3">
        <v>8</v>
      </c>
      <c r="U67" s="4">
        <f t="shared" ref="U67:U130" si="25">CEILING((N(S67)+N(T67))/80*10,0.5)</f>
        <v>3.5</v>
      </c>
      <c r="V67">
        <f t="shared" si="18"/>
        <v>3.5</v>
      </c>
      <c r="W67" s="2">
        <v>28</v>
      </c>
      <c r="X67">
        <f t="shared" ref="X67:X130" si="26">ROUND(N(U67) + N(V67) + N(W67), 0)</f>
        <v>35</v>
      </c>
      <c r="Y67" s="2">
        <v>15</v>
      </c>
      <c r="Z67" s="3">
        <v>28.5</v>
      </c>
      <c r="AA67" s="4">
        <f t="shared" ref="AA67:AA130" si="27">CEILING((N(Y67)+N(Z67))/80*10,0.5)</f>
        <v>5.5</v>
      </c>
      <c r="AB67">
        <f t="shared" si="19"/>
        <v>4.5</v>
      </c>
      <c r="AC67" s="2">
        <v>41</v>
      </c>
      <c r="AD67">
        <f t="shared" ref="AD67:AD130" si="28">ROUND(N(AA67) + N(AB67) + N(AC67), 0)</f>
        <v>51</v>
      </c>
      <c r="AE67" s="2">
        <v>18.5</v>
      </c>
      <c r="AF67" s="3">
        <v>28.5</v>
      </c>
      <c r="AG67" s="4">
        <f t="shared" ref="AG67:AG130" si="29">CEILING((N(AE67)+N(AF67))/80*10,0.5)</f>
        <v>6</v>
      </c>
      <c r="AH67">
        <f t="shared" si="20"/>
        <v>7.5</v>
      </c>
      <c r="AI67" s="2">
        <v>44</v>
      </c>
      <c r="AJ67">
        <f t="shared" ref="AJ67:AJ130" si="30">ROUND(N(AG67) + N(AH67) + N(AI67), 0)</f>
        <v>58</v>
      </c>
      <c r="AK67" s="2">
        <v>17.5</v>
      </c>
      <c r="AL67" s="3">
        <v>14</v>
      </c>
      <c r="AM67" s="4">
        <v>11</v>
      </c>
      <c r="AN67" s="2">
        <v>5</v>
      </c>
      <c r="AO67" s="3">
        <v>13</v>
      </c>
      <c r="AP67" s="4">
        <v>18</v>
      </c>
      <c r="AQ67">
        <v>8</v>
      </c>
      <c r="AR67">
        <v>7.5</v>
      </c>
      <c r="AS67">
        <v>9</v>
      </c>
      <c r="AT67">
        <v>10.5</v>
      </c>
      <c r="AU67">
        <f t="shared" ref="AU67:AU130" si="31">CEILING(N(AT67)/2,0.5)</f>
        <v>5.5</v>
      </c>
      <c r="AV67" t="s">
        <v>230</v>
      </c>
      <c r="AW67" t="s">
        <v>231</v>
      </c>
      <c r="AX67" t="s">
        <v>232</v>
      </c>
      <c r="AY67" t="s">
        <v>254</v>
      </c>
      <c r="AZ67" t="s">
        <v>278</v>
      </c>
      <c r="BA67" t="s">
        <v>235</v>
      </c>
      <c r="BB67" t="s">
        <v>276</v>
      </c>
      <c r="BC67" t="s">
        <v>218</v>
      </c>
      <c r="BD67" t="s">
        <v>220</v>
      </c>
      <c r="BE67">
        <v>6</v>
      </c>
      <c r="BF67">
        <v>9</v>
      </c>
      <c r="BG67">
        <v>3.5</v>
      </c>
      <c r="BH67">
        <v>5.5</v>
      </c>
      <c r="BI67">
        <v>3.5</v>
      </c>
      <c r="BJ67" t="s">
        <v>222</v>
      </c>
      <c r="BK67">
        <v>9</v>
      </c>
      <c r="BL67">
        <v>6</v>
      </c>
      <c r="BM67">
        <v>5.5</v>
      </c>
      <c r="BN67">
        <v>2.5</v>
      </c>
      <c r="BO67">
        <v>3</v>
      </c>
    </row>
    <row r="68" spans="1:67" x14ac:dyDescent="0.25">
      <c r="A68">
        <v>25</v>
      </c>
      <c r="B68" t="s">
        <v>384</v>
      </c>
      <c r="C68" t="s">
        <v>385</v>
      </c>
      <c r="D68">
        <v>16363</v>
      </c>
      <c r="E68" t="s">
        <v>136</v>
      </c>
      <c r="F68" t="s">
        <v>12</v>
      </c>
      <c r="G68" s="2">
        <v>32.5</v>
      </c>
      <c r="H68" s="3">
        <v>29</v>
      </c>
      <c r="I68" s="4">
        <f t="shared" si="21"/>
        <v>8</v>
      </c>
      <c r="J68">
        <f t="shared" si="16"/>
        <v>8.5</v>
      </c>
      <c r="K68" s="2">
        <v>68</v>
      </c>
      <c r="L68">
        <f t="shared" si="22"/>
        <v>85</v>
      </c>
      <c r="M68" s="2">
        <v>33.5</v>
      </c>
      <c r="N68" s="3">
        <v>36</v>
      </c>
      <c r="O68" s="4">
        <f t="shared" si="23"/>
        <v>9</v>
      </c>
      <c r="P68">
        <f t="shared" si="17"/>
        <v>7.5</v>
      </c>
      <c r="Q68" s="2">
        <v>63.5</v>
      </c>
      <c r="R68">
        <f t="shared" si="24"/>
        <v>80</v>
      </c>
      <c r="S68" s="2">
        <v>37.5</v>
      </c>
      <c r="T68" s="3">
        <v>32</v>
      </c>
      <c r="U68" s="4">
        <f t="shared" si="25"/>
        <v>9</v>
      </c>
      <c r="V68">
        <f t="shared" si="18"/>
        <v>7</v>
      </c>
      <c r="W68" s="2">
        <v>71.5</v>
      </c>
      <c r="X68">
        <f t="shared" si="26"/>
        <v>88</v>
      </c>
      <c r="Y68" s="2">
        <v>0</v>
      </c>
      <c r="Z68" s="3">
        <v>39.5</v>
      </c>
      <c r="AA68" s="4">
        <f t="shared" si="27"/>
        <v>5</v>
      </c>
      <c r="AB68">
        <f t="shared" si="19"/>
        <v>8.5</v>
      </c>
      <c r="AC68" s="2">
        <v>64</v>
      </c>
      <c r="AD68">
        <f t="shared" si="28"/>
        <v>78</v>
      </c>
      <c r="AE68" s="2">
        <v>36.5</v>
      </c>
      <c r="AF68" s="3">
        <v>33.5</v>
      </c>
      <c r="AG68" s="4">
        <f t="shared" si="29"/>
        <v>9</v>
      </c>
      <c r="AH68">
        <f t="shared" si="20"/>
        <v>7.5</v>
      </c>
      <c r="AI68" s="2">
        <v>70.5</v>
      </c>
      <c r="AJ68">
        <f t="shared" si="30"/>
        <v>87</v>
      </c>
      <c r="AK68" s="2">
        <v>24</v>
      </c>
      <c r="AL68" s="3">
        <v>22.5</v>
      </c>
      <c r="AM68" s="4">
        <v>29</v>
      </c>
      <c r="AN68" s="2">
        <v>9</v>
      </c>
      <c r="AO68" s="3">
        <v>15</v>
      </c>
      <c r="AP68" s="4">
        <v>25.5</v>
      </c>
      <c r="AQ68">
        <v>8</v>
      </c>
      <c r="AR68">
        <v>8.5</v>
      </c>
      <c r="AS68">
        <v>9</v>
      </c>
      <c r="AT68">
        <v>12.5</v>
      </c>
      <c r="AU68">
        <f t="shared" si="31"/>
        <v>6.5</v>
      </c>
      <c r="AV68" t="s">
        <v>230</v>
      </c>
      <c r="AW68" t="s">
        <v>231</v>
      </c>
      <c r="AX68" t="s">
        <v>232</v>
      </c>
      <c r="AY68" t="s">
        <v>242</v>
      </c>
      <c r="AZ68" t="s">
        <v>291</v>
      </c>
      <c r="BA68" t="s">
        <v>235</v>
      </c>
      <c r="BB68" t="s">
        <v>276</v>
      </c>
      <c r="BC68" t="s">
        <v>218</v>
      </c>
      <c r="BD68" t="s">
        <v>220</v>
      </c>
      <c r="BE68">
        <v>8</v>
      </c>
      <c r="BF68">
        <v>8</v>
      </c>
      <c r="BG68">
        <v>9</v>
      </c>
      <c r="BH68">
        <v>9.5</v>
      </c>
      <c r="BI68">
        <v>6</v>
      </c>
      <c r="BJ68" t="s">
        <v>222</v>
      </c>
      <c r="BK68">
        <v>7</v>
      </c>
      <c r="BL68">
        <v>7</v>
      </c>
      <c r="BM68">
        <v>8</v>
      </c>
      <c r="BN68">
        <v>7</v>
      </c>
      <c r="BO68">
        <v>7.5</v>
      </c>
    </row>
    <row r="69" spans="1:67" x14ac:dyDescent="0.25">
      <c r="A69">
        <v>26</v>
      </c>
      <c r="B69" t="s">
        <v>384</v>
      </c>
      <c r="C69" t="s">
        <v>385</v>
      </c>
      <c r="D69">
        <v>17076</v>
      </c>
      <c r="E69" t="s">
        <v>141</v>
      </c>
      <c r="F69" t="s">
        <v>12</v>
      </c>
      <c r="G69" s="2">
        <v>19.5</v>
      </c>
      <c r="H69" s="3">
        <v>9</v>
      </c>
      <c r="I69" s="4">
        <f t="shared" si="21"/>
        <v>4</v>
      </c>
      <c r="J69">
        <f t="shared" si="16"/>
        <v>6.5</v>
      </c>
      <c r="K69" s="2">
        <v>33</v>
      </c>
      <c r="L69">
        <f t="shared" si="22"/>
        <v>44</v>
      </c>
      <c r="M69" s="2">
        <v>21.5</v>
      </c>
      <c r="N69" s="3">
        <v>31</v>
      </c>
      <c r="O69" s="4">
        <f t="shared" si="23"/>
        <v>7</v>
      </c>
      <c r="P69">
        <f t="shared" si="17"/>
        <v>8</v>
      </c>
      <c r="Q69" s="2" t="s">
        <v>14</v>
      </c>
      <c r="R69">
        <f t="shared" si="24"/>
        <v>15</v>
      </c>
      <c r="S69" s="2">
        <v>17</v>
      </c>
      <c r="T69" s="3">
        <v>14.5</v>
      </c>
      <c r="U69" s="4">
        <f t="shared" si="25"/>
        <v>4</v>
      </c>
      <c r="V69">
        <f t="shared" si="18"/>
        <v>5</v>
      </c>
      <c r="W69" s="2">
        <v>45</v>
      </c>
      <c r="X69">
        <f t="shared" si="26"/>
        <v>54</v>
      </c>
      <c r="Y69" s="2">
        <v>30.5</v>
      </c>
      <c r="Z69" s="3">
        <v>32.5</v>
      </c>
      <c r="AA69" s="4">
        <f t="shared" si="27"/>
        <v>8</v>
      </c>
      <c r="AB69">
        <f t="shared" si="19"/>
        <v>8</v>
      </c>
      <c r="AC69" s="2">
        <v>50</v>
      </c>
      <c r="AD69">
        <f t="shared" si="28"/>
        <v>66</v>
      </c>
      <c r="AE69" s="2">
        <v>22</v>
      </c>
      <c r="AF69" s="3">
        <v>23.5</v>
      </c>
      <c r="AG69" s="4">
        <f t="shared" si="29"/>
        <v>6</v>
      </c>
      <c r="AH69">
        <f t="shared" si="20"/>
        <v>7</v>
      </c>
      <c r="AI69" s="2">
        <v>62</v>
      </c>
      <c r="AJ69">
        <f t="shared" si="30"/>
        <v>75</v>
      </c>
      <c r="AK69" s="2">
        <v>8.5</v>
      </c>
      <c r="AL69" s="3">
        <v>8</v>
      </c>
      <c r="AM69" s="4">
        <v>15</v>
      </c>
      <c r="AN69" s="2">
        <v>3</v>
      </c>
      <c r="AO69" s="3">
        <v>22</v>
      </c>
      <c r="AP69" s="4">
        <v>33</v>
      </c>
      <c r="AQ69">
        <v>8</v>
      </c>
      <c r="AR69">
        <v>7</v>
      </c>
      <c r="AS69">
        <v>7</v>
      </c>
      <c r="AT69">
        <v>13</v>
      </c>
      <c r="AU69">
        <f t="shared" si="31"/>
        <v>6.5</v>
      </c>
      <c r="AV69" t="s">
        <v>230</v>
      </c>
      <c r="AW69" t="s">
        <v>231</v>
      </c>
      <c r="AX69" t="s">
        <v>232</v>
      </c>
      <c r="AY69" t="s">
        <v>233</v>
      </c>
      <c r="AZ69" t="s">
        <v>292</v>
      </c>
      <c r="BA69" t="s">
        <v>235</v>
      </c>
      <c r="BB69" t="s">
        <v>276</v>
      </c>
      <c r="BC69" t="s">
        <v>218</v>
      </c>
      <c r="BD69" t="s">
        <v>220</v>
      </c>
      <c r="BE69">
        <v>6</v>
      </c>
      <c r="BF69">
        <v>8</v>
      </c>
      <c r="BG69">
        <v>9.5</v>
      </c>
      <c r="BH69">
        <v>6.5</v>
      </c>
      <c r="BI69">
        <v>4</v>
      </c>
      <c r="BJ69" t="s">
        <v>222</v>
      </c>
      <c r="BK69">
        <v>7.5</v>
      </c>
      <c r="BL69">
        <v>8</v>
      </c>
      <c r="BM69">
        <v>6.5</v>
      </c>
      <c r="BN69">
        <v>6.5</v>
      </c>
      <c r="BO69">
        <v>6</v>
      </c>
    </row>
    <row r="70" spans="1:67" x14ac:dyDescent="0.25">
      <c r="A70">
        <v>27</v>
      </c>
      <c r="B70" t="s">
        <v>384</v>
      </c>
      <c r="C70" t="s">
        <v>385</v>
      </c>
      <c r="D70">
        <v>16252</v>
      </c>
      <c r="E70" t="s">
        <v>146</v>
      </c>
      <c r="F70" t="s">
        <v>12</v>
      </c>
      <c r="G70" s="2">
        <v>22</v>
      </c>
      <c r="H70" s="3">
        <v>16.5</v>
      </c>
      <c r="I70" s="4">
        <f t="shared" si="21"/>
        <v>5</v>
      </c>
      <c r="J70">
        <f t="shared" si="16"/>
        <v>7.5</v>
      </c>
      <c r="K70" s="2">
        <v>33.5</v>
      </c>
      <c r="L70">
        <f t="shared" si="22"/>
        <v>46</v>
      </c>
      <c r="M70" s="2">
        <v>31</v>
      </c>
      <c r="N70" s="3">
        <v>29.5</v>
      </c>
      <c r="O70" s="4">
        <f t="shared" si="23"/>
        <v>8</v>
      </c>
      <c r="P70">
        <f t="shared" si="17"/>
        <v>8</v>
      </c>
      <c r="Q70" s="2">
        <v>50.5</v>
      </c>
      <c r="R70">
        <f t="shared" si="24"/>
        <v>67</v>
      </c>
      <c r="S70" s="2">
        <v>36.5</v>
      </c>
      <c r="T70" s="3">
        <v>26</v>
      </c>
      <c r="U70" s="4">
        <f t="shared" si="25"/>
        <v>8</v>
      </c>
      <c r="V70">
        <f t="shared" si="18"/>
        <v>5</v>
      </c>
      <c r="W70" s="2">
        <v>56</v>
      </c>
      <c r="X70">
        <f t="shared" si="26"/>
        <v>69</v>
      </c>
      <c r="Y70" s="2">
        <v>26</v>
      </c>
      <c r="Z70" s="3">
        <v>29.5</v>
      </c>
      <c r="AA70" s="4">
        <f t="shared" si="27"/>
        <v>7</v>
      </c>
      <c r="AB70">
        <f t="shared" si="19"/>
        <v>8</v>
      </c>
      <c r="AC70" s="2">
        <v>54</v>
      </c>
      <c r="AD70">
        <f t="shared" si="28"/>
        <v>69</v>
      </c>
      <c r="AE70" s="2">
        <v>19.5</v>
      </c>
      <c r="AF70" s="3">
        <v>22</v>
      </c>
      <c r="AG70" s="4">
        <f t="shared" si="29"/>
        <v>5.5</v>
      </c>
      <c r="AH70">
        <f t="shared" si="20"/>
        <v>5</v>
      </c>
      <c r="AI70" s="2">
        <v>46.5</v>
      </c>
      <c r="AJ70">
        <f t="shared" si="30"/>
        <v>57</v>
      </c>
      <c r="AK70" s="2">
        <v>10</v>
      </c>
      <c r="AL70" s="3">
        <v>8.5</v>
      </c>
      <c r="AM70" s="4">
        <v>14</v>
      </c>
      <c r="AN70" s="2">
        <v>5</v>
      </c>
      <c r="AO70" s="3">
        <v>18</v>
      </c>
      <c r="AP70" s="4">
        <v>24</v>
      </c>
      <c r="AQ70">
        <v>8</v>
      </c>
      <c r="AR70">
        <v>8</v>
      </c>
      <c r="AS70">
        <v>7</v>
      </c>
      <c r="AT70">
        <v>12.5</v>
      </c>
      <c r="AU70">
        <f t="shared" si="31"/>
        <v>6.5</v>
      </c>
      <c r="AV70" t="s">
        <v>230</v>
      </c>
      <c r="AW70" t="s">
        <v>231</v>
      </c>
      <c r="AX70" t="s">
        <v>232</v>
      </c>
      <c r="AY70" t="s">
        <v>233</v>
      </c>
      <c r="AZ70" t="s">
        <v>293</v>
      </c>
      <c r="BA70" t="s">
        <v>235</v>
      </c>
      <c r="BB70" t="s">
        <v>276</v>
      </c>
      <c r="BC70" t="s">
        <v>218</v>
      </c>
      <c r="BD70" t="s">
        <v>220</v>
      </c>
      <c r="BE70">
        <v>5</v>
      </c>
      <c r="BF70">
        <v>10</v>
      </c>
      <c r="BG70">
        <v>9</v>
      </c>
      <c r="BH70">
        <v>8</v>
      </c>
      <c r="BI70">
        <v>4</v>
      </c>
      <c r="BJ70" t="s">
        <v>222</v>
      </c>
      <c r="BK70">
        <v>5</v>
      </c>
      <c r="BL70">
        <v>6</v>
      </c>
      <c r="BM70">
        <v>7</v>
      </c>
      <c r="BN70">
        <v>6.5</v>
      </c>
      <c r="BO70">
        <v>6</v>
      </c>
    </row>
    <row r="71" spans="1:67" x14ac:dyDescent="0.25">
      <c r="A71">
        <v>28</v>
      </c>
      <c r="B71" t="s">
        <v>384</v>
      </c>
      <c r="C71" t="s">
        <v>385</v>
      </c>
      <c r="D71">
        <v>17226</v>
      </c>
      <c r="E71" t="s">
        <v>151</v>
      </c>
      <c r="F71" t="s">
        <v>12</v>
      </c>
      <c r="G71" s="2">
        <v>22.5</v>
      </c>
      <c r="H71" s="3" t="s">
        <v>14</v>
      </c>
      <c r="I71" s="4">
        <f t="shared" si="21"/>
        <v>3</v>
      </c>
      <c r="J71">
        <f t="shared" si="16"/>
        <v>7</v>
      </c>
      <c r="K71" s="2">
        <v>35</v>
      </c>
      <c r="L71">
        <f t="shared" si="22"/>
        <v>45</v>
      </c>
      <c r="M71" s="2">
        <v>22.5</v>
      </c>
      <c r="N71" s="3">
        <v>28</v>
      </c>
      <c r="O71" s="4">
        <f t="shared" si="23"/>
        <v>6.5</v>
      </c>
      <c r="P71">
        <f t="shared" si="17"/>
        <v>8</v>
      </c>
      <c r="Q71" s="2">
        <v>39.5</v>
      </c>
      <c r="R71">
        <f t="shared" si="24"/>
        <v>54</v>
      </c>
      <c r="S71" s="2">
        <v>27.5</v>
      </c>
      <c r="T71" s="3">
        <v>19</v>
      </c>
      <c r="U71" s="4">
        <f t="shared" si="25"/>
        <v>6</v>
      </c>
      <c r="V71">
        <f t="shared" si="18"/>
        <v>4.5</v>
      </c>
      <c r="W71" s="2">
        <v>37.5</v>
      </c>
      <c r="X71">
        <f t="shared" si="26"/>
        <v>48</v>
      </c>
      <c r="Y71" s="2">
        <v>25.5</v>
      </c>
      <c r="Z71" s="3" t="s">
        <v>15</v>
      </c>
      <c r="AA71" s="4">
        <f t="shared" si="27"/>
        <v>3.5</v>
      </c>
      <c r="AB71">
        <f t="shared" si="19"/>
        <v>8</v>
      </c>
      <c r="AC71" s="2">
        <v>44</v>
      </c>
      <c r="AD71">
        <f t="shared" si="28"/>
        <v>56</v>
      </c>
      <c r="AE71" s="2">
        <v>29</v>
      </c>
      <c r="AF71" s="3" t="s">
        <v>14</v>
      </c>
      <c r="AG71" s="4">
        <f t="shared" si="29"/>
        <v>4</v>
      </c>
      <c r="AH71">
        <f t="shared" si="20"/>
        <v>6.5</v>
      </c>
      <c r="AI71" s="2">
        <v>59.5</v>
      </c>
      <c r="AJ71">
        <f t="shared" si="30"/>
        <v>70</v>
      </c>
      <c r="AK71" s="2">
        <v>17.5</v>
      </c>
      <c r="AL71" s="3" t="s">
        <v>15</v>
      </c>
      <c r="AM71" s="4">
        <v>11.5</v>
      </c>
      <c r="AN71" s="2">
        <v>5</v>
      </c>
      <c r="AO71" s="3">
        <v>16</v>
      </c>
      <c r="AP71" s="4">
        <v>24.5</v>
      </c>
      <c r="AQ71">
        <v>8</v>
      </c>
      <c r="AR71">
        <v>7</v>
      </c>
      <c r="AS71">
        <v>8</v>
      </c>
      <c r="AT71">
        <v>14</v>
      </c>
      <c r="AU71">
        <f t="shared" si="31"/>
        <v>7</v>
      </c>
      <c r="AV71" t="s">
        <v>230</v>
      </c>
      <c r="AW71" t="s">
        <v>231</v>
      </c>
      <c r="AX71" t="s">
        <v>232</v>
      </c>
      <c r="AY71" t="s">
        <v>294</v>
      </c>
      <c r="AZ71" t="s">
        <v>278</v>
      </c>
      <c r="BA71" t="s">
        <v>235</v>
      </c>
      <c r="BB71" t="s">
        <v>276</v>
      </c>
      <c r="BC71" t="s">
        <v>218</v>
      </c>
      <c r="BD71" t="s">
        <v>220</v>
      </c>
      <c r="BE71">
        <v>7</v>
      </c>
      <c r="BF71">
        <v>10</v>
      </c>
      <c r="BG71">
        <v>9</v>
      </c>
      <c r="BH71">
        <v>7.6</v>
      </c>
      <c r="BI71">
        <v>3</v>
      </c>
      <c r="BJ71" t="s">
        <v>222</v>
      </c>
      <c r="BK71">
        <v>6</v>
      </c>
      <c r="BL71">
        <v>6</v>
      </c>
      <c r="BM71">
        <v>6.5</v>
      </c>
      <c r="BN71">
        <v>5.5</v>
      </c>
      <c r="BO71">
        <v>5.5</v>
      </c>
    </row>
    <row r="72" spans="1:67" x14ac:dyDescent="0.25">
      <c r="A72">
        <v>29</v>
      </c>
      <c r="B72" t="s">
        <v>384</v>
      </c>
      <c r="C72" t="s">
        <v>385</v>
      </c>
      <c r="D72">
        <v>17077</v>
      </c>
      <c r="E72" t="s">
        <v>156</v>
      </c>
      <c r="F72" t="s">
        <v>12</v>
      </c>
      <c r="G72" s="2" t="s">
        <v>32</v>
      </c>
      <c r="H72" s="3">
        <v>34</v>
      </c>
      <c r="I72" s="4">
        <f t="shared" si="21"/>
        <v>4.5</v>
      </c>
      <c r="J72">
        <f t="shared" si="16"/>
        <v>10</v>
      </c>
      <c r="K72" s="2">
        <v>69</v>
      </c>
      <c r="L72">
        <f t="shared" si="22"/>
        <v>84</v>
      </c>
      <c r="M72" s="2">
        <v>37</v>
      </c>
      <c r="N72" s="3">
        <v>36</v>
      </c>
      <c r="O72" s="4">
        <f t="shared" si="23"/>
        <v>9.5</v>
      </c>
      <c r="P72">
        <f t="shared" si="17"/>
        <v>4</v>
      </c>
      <c r="Q72" s="2">
        <v>71</v>
      </c>
      <c r="R72">
        <f t="shared" si="24"/>
        <v>85</v>
      </c>
      <c r="S72" s="2">
        <v>35.5</v>
      </c>
      <c r="T72" s="3">
        <v>32.5</v>
      </c>
      <c r="U72" s="4">
        <f t="shared" si="25"/>
        <v>8.5</v>
      </c>
      <c r="V72">
        <f t="shared" si="18"/>
        <v>4</v>
      </c>
      <c r="W72" s="2">
        <v>72</v>
      </c>
      <c r="X72">
        <f t="shared" si="26"/>
        <v>85</v>
      </c>
      <c r="Y72" s="2">
        <v>38</v>
      </c>
      <c r="Z72" s="3">
        <v>39</v>
      </c>
      <c r="AA72" s="4">
        <f t="shared" si="27"/>
        <v>10</v>
      </c>
      <c r="AB72">
        <f t="shared" si="19"/>
        <v>5</v>
      </c>
      <c r="AC72" s="2">
        <v>66</v>
      </c>
      <c r="AD72">
        <f t="shared" si="28"/>
        <v>81</v>
      </c>
      <c r="AE72" s="2" t="s">
        <v>14</v>
      </c>
      <c r="AF72" s="3">
        <v>36.5</v>
      </c>
      <c r="AG72" s="4">
        <f t="shared" si="29"/>
        <v>5</v>
      </c>
      <c r="AH72">
        <f t="shared" si="20"/>
        <v>5</v>
      </c>
      <c r="AI72" s="2">
        <v>73.5</v>
      </c>
      <c r="AJ72">
        <f t="shared" si="30"/>
        <v>84</v>
      </c>
      <c r="AK72" s="2">
        <v>23</v>
      </c>
      <c r="AL72" s="3">
        <v>24</v>
      </c>
      <c r="AM72" s="4">
        <v>26.5</v>
      </c>
      <c r="AN72" s="2">
        <v>9</v>
      </c>
      <c r="AO72" s="3">
        <v>25</v>
      </c>
      <c r="AP72" s="4">
        <v>37</v>
      </c>
      <c r="AQ72">
        <v>8</v>
      </c>
      <c r="AR72">
        <v>8.5</v>
      </c>
      <c r="AS72">
        <v>10</v>
      </c>
      <c r="AT72">
        <v>16</v>
      </c>
      <c r="AU72">
        <f t="shared" si="31"/>
        <v>8</v>
      </c>
      <c r="AV72" t="s">
        <v>230</v>
      </c>
      <c r="AW72" t="s">
        <v>231</v>
      </c>
      <c r="AX72" t="s">
        <v>232</v>
      </c>
      <c r="AY72" t="s">
        <v>247</v>
      </c>
      <c r="AZ72" t="s">
        <v>295</v>
      </c>
      <c r="BA72" t="s">
        <v>235</v>
      </c>
      <c r="BB72" t="s">
        <v>276</v>
      </c>
      <c r="BC72" t="s">
        <v>218</v>
      </c>
      <c r="BD72" t="s">
        <v>220</v>
      </c>
      <c r="BE72">
        <v>10</v>
      </c>
      <c r="BF72">
        <v>8</v>
      </c>
      <c r="BG72">
        <v>10</v>
      </c>
      <c r="BH72">
        <v>10</v>
      </c>
      <c r="BI72">
        <v>8</v>
      </c>
      <c r="BJ72" t="s">
        <v>222</v>
      </c>
      <c r="BK72" t="s">
        <v>14</v>
      </c>
      <c r="BL72" t="s">
        <v>14</v>
      </c>
      <c r="BM72" t="s">
        <v>15</v>
      </c>
      <c r="BN72">
        <v>9.5</v>
      </c>
      <c r="BO72" t="s">
        <v>14</v>
      </c>
    </row>
    <row r="73" spans="1:67" x14ac:dyDescent="0.25">
      <c r="A73">
        <v>30</v>
      </c>
      <c r="B73" t="s">
        <v>384</v>
      </c>
      <c r="C73" t="s">
        <v>385</v>
      </c>
      <c r="D73">
        <v>16308</v>
      </c>
      <c r="E73" t="s">
        <v>161</v>
      </c>
      <c r="F73" t="s">
        <v>12</v>
      </c>
      <c r="G73" s="2">
        <v>21.5</v>
      </c>
      <c r="H73" s="3">
        <v>22</v>
      </c>
      <c r="I73" s="4">
        <f t="shared" si="21"/>
        <v>5.5</v>
      </c>
      <c r="J73">
        <f t="shared" si="16"/>
        <v>7</v>
      </c>
      <c r="K73" s="2">
        <v>35.5</v>
      </c>
      <c r="L73">
        <f t="shared" si="22"/>
        <v>48</v>
      </c>
      <c r="M73" s="2">
        <v>38.5</v>
      </c>
      <c r="N73" s="3">
        <v>29.5</v>
      </c>
      <c r="O73" s="4">
        <f t="shared" si="23"/>
        <v>8.5</v>
      </c>
      <c r="P73">
        <f t="shared" si="17"/>
        <v>10</v>
      </c>
      <c r="Q73" s="2">
        <v>74</v>
      </c>
      <c r="R73">
        <f t="shared" si="24"/>
        <v>93</v>
      </c>
      <c r="S73" s="2">
        <v>24</v>
      </c>
      <c r="T73" s="3">
        <v>13.5</v>
      </c>
      <c r="U73" s="4">
        <f t="shared" si="25"/>
        <v>5</v>
      </c>
      <c r="V73">
        <f t="shared" si="18"/>
        <v>5.5</v>
      </c>
      <c r="W73" s="2">
        <v>33</v>
      </c>
      <c r="X73">
        <f t="shared" si="26"/>
        <v>44</v>
      </c>
      <c r="Y73" s="2">
        <v>23</v>
      </c>
      <c r="Z73" s="3">
        <v>29.5</v>
      </c>
      <c r="AA73" s="4">
        <f t="shared" si="27"/>
        <v>7</v>
      </c>
      <c r="AB73">
        <f t="shared" si="19"/>
        <v>9</v>
      </c>
      <c r="AC73" s="2">
        <v>43</v>
      </c>
      <c r="AD73">
        <f t="shared" si="28"/>
        <v>59</v>
      </c>
      <c r="AE73" s="2">
        <v>21</v>
      </c>
      <c r="AF73" s="3">
        <v>19.5</v>
      </c>
      <c r="AG73" s="4">
        <f t="shared" si="29"/>
        <v>5.5</v>
      </c>
      <c r="AH73">
        <f t="shared" si="20"/>
        <v>8.5</v>
      </c>
      <c r="AI73" s="2">
        <v>29.5</v>
      </c>
      <c r="AJ73">
        <f t="shared" si="30"/>
        <v>44</v>
      </c>
      <c r="AK73" s="2">
        <v>21</v>
      </c>
      <c r="AL73" s="3">
        <v>19</v>
      </c>
      <c r="AM73" s="4">
        <v>21.5</v>
      </c>
      <c r="AN73" s="2">
        <v>7.5</v>
      </c>
      <c r="AO73" s="3">
        <v>17</v>
      </c>
      <c r="AP73" s="4">
        <v>23.5</v>
      </c>
      <c r="AQ73">
        <v>8</v>
      </c>
      <c r="AR73">
        <v>8</v>
      </c>
      <c r="AS73">
        <v>9</v>
      </c>
      <c r="AT73">
        <v>12</v>
      </c>
      <c r="AU73">
        <f t="shared" si="31"/>
        <v>6</v>
      </c>
      <c r="AV73" t="s">
        <v>230</v>
      </c>
      <c r="AW73" t="s">
        <v>231</v>
      </c>
      <c r="AX73" t="s">
        <v>232</v>
      </c>
      <c r="AY73" t="s">
        <v>296</v>
      </c>
      <c r="AZ73" t="s">
        <v>278</v>
      </c>
      <c r="BA73" t="s">
        <v>235</v>
      </c>
      <c r="BB73" t="s">
        <v>276</v>
      </c>
      <c r="BC73" t="s">
        <v>218</v>
      </c>
      <c r="BD73" t="s">
        <v>220</v>
      </c>
      <c r="BE73">
        <v>9</v>
      </c>
      <c r="BF73">
        <v>10</v>
      </c>
      <c r="BG73">
        <v>9.5</v>
      </c>
      <c r="BH73">
        <v>7.5</v>
      </c>
      <c r="BI73">
        <v>4.5</v>
      </c>
      <c r="BJ73" t="s">
        <v>222</v>
      </c>
      <c r="BK73">
        <v>8</v>
      </c>
      <c r="BL73">
        <v>9.5</v>
      </c>
      <c r="BM73">
        <v>8</v>
      </c>
      <c r="BN73">
        <v>6.5</v>
      </c>
      <c r="BO73">
        <v>6</v>
      </c>
    </row>
    <row r="74" spans="1:67" x14ac:dyDescent="0.25">
      <c r="A74">
        <v>31</v>
      </c>
      <c r="B74" t="s">
        <v>384</v>
      </c>
      <c r="C74" t="s">
        <v>385</v>
      </c>
      <c r="D74">
        <v>18306</v>
      </c>
      <c r="E74" t="s">
        <v>166</v>
      </c>
      <c r="F74" t="s">
        <v>12</v>
      </c>
      <c r="G74" s="2">
        <v>26</v>
      </c>
      <c r="H74" s="3">
        <v>28</v>
      </c>
      <c r="I74" s="4">
        <f t="shared" si="21"/>
        <v>7</v>
      </c>
      <c r="J74">
        <f t="shared" si="16"/>
        <v>7</v>
      </c>
      <c r="K74" s="2">
        <v>61.5</v>
      </c>
      <c r="L74">
        <f t="shared" si="22"/>
        <v>76</v>
      </c>
      <c r="M74" s="2">
        <v>39</v>
      </c>
      <c r="N74" s="3">
        <v>39</v>
      </c>
      <c r="O74" s="4">
        <f t="shared" si="23"/>
        <v>10</v>
      </c>
      <c r="P74">
        <f t="shared" si="17"/>
        <v>9.5</v>
      </c>
      <c r="Q74" s="2">
        <v>77</v>
      </c>
      <c r="R74">
        <f t="shared" si="24"/>
        <v>97</v>
      </c>
      <c r="S74" s="2">
        <v>24</v>
      </c>
      <c r="T74" s="3">
        <v>18</v>
      </c>
      <c r="U74" s="4">
        <f t="shared" si="25"/>
        <v>5.5</v>
      </c>
      <c r="V74">
        <f t="shared" si="18"/>
        <v>1.5</v>
      </c>
      <c r="W74" s="2">
        <v>30</v>
      </c>
      <c r="X74">
        <f t="shared" si="26"/>
        <v>37</v>
      </c>
      <c r="Y74" s="2">
        <v>30</v>
      </c>
      <c r="Z74" s="3">
        <v>22.5</v>
      </c>
      <c r="AA74" s="4">
        <f t="shared" si="27"/>
        <v>7</v>
      </c>
      <c r="AB74">
        <f t="shared" si="19"/>
        <v>8</v>
      </c>
      <c r="AC74" s="2">
        <v>45.5</v>
      </c>
      <c r="AD74">
        <f t="shared" si="28"/>
        <v>61</v>
      </c>
      <c r="AE74" s="2">
        <v>14.5</v>
      </c>
      <c r="AF74" s="3">
        <v>19.5</v>
      </c>
      <c r="AG74" s="4">
        <f t="shared" si="29"/>
        <v>4.5</v>
      </c>
      <c r="AH74">
        <f t="shared" si="20"/>
        <v>6.5</v>
      </c>
      <c r="AI74" s="2">
        <v>47.5</v>
      </c>
      <c r="AJ74">
        <f t="shared" si="30"/>
        <v>59</v>
      </c>
      <c r="AK74" s="2">
        <v>24</v>
      </c>
      <c r="AL74" s="3">
        <v>23.5</v>
      </c>
      <c r="AM74" s="4">
        <v>25.5</v>
      </c>
      <c r="AN74" s="2">
        <v>10</v>
      </c>
      <c r="AO74" s="3">
        <v>17</v>
      </c>
      <c r="AP74" s="4">
        <v>30.5</v>
      </c>
      <c r="AQ74">
        <v>8</v>
      </c>
      <c r="AR74">
        <v>7.5</v>
      </c>
      <c r="AS74">
        <v>10</v>
      </c>
      <c r="AT74">
        <v>11</v>
      </c>
      <c r="AU74">
        <f t="shared" si="31"/>
        <v>5.5</v>
      </c>
      <c r="AV74" t="s">
        <v>230</v>
      </c>
      <c r="AW74" t="s">
        <v>231</v>
      </c>
      <c r="AX74" t="s">
        <v>232</v>
      </c>
      <c r="AY74" t="s">
        <v>247</v>
      </c>
      <c r="AZ74" t="s">
        <v>278</v>
      </c>
      <c r="BA74" t="s">
        <v>235</v>
      </c>
      <c r="BB74" t="s">
        <v>276</v>
      </c>
      <c r="BC74" t="s">
        <v>218</v>
      </c>
      <c r="BD74" t="s">
        <v>220</v>
      </c>
      <c r="BE74">
        <v>5.5</v>
      </c>
      <c r="BF74">
        <v>9</v>
      </c>
      <c r="BG74">
        <v>7.5</v>
      </c>
      <c r="BH74">
        <v>8</v>
      </c>
      <c r="BI74" t="s">
        <v>14</v>
      </c>
      <c r="BJ74" t="s">
        <v>222</v>
      </c>
      <c r="BK74">
        <v>7</v>
      </c>
      <c r="BL74">
        <v>9.5</v>
      </c>
      <c r="BM74">
        <v>8</v>
      </c>
      <c r="BN74">
        <v>6</v>
      </c>
      <c r="BO74">
        <v>2.5</v>
      </c>
    </row>
    <row r="75" spans="1:67" x14ac:dyDescent="0.25">
      <c r="A75">
        <v>32</v>
      </c>
      <c r="B75" t="s">
        <v>384</v>
      </c>
      <c r="C75" t="s">
        <v>385</v>
      </c>
      <c r="D75">
        <v>16219</v>
      </c>
      <c r="E75" t="s">
        <v>171</v>
      </c>
      <c r="F75" t="s">
        <v>12</v>
      </c>
      <c r="G75" s="2">
        <v>14.5</v>
      </c>
      <c r="H75" s="3">
        <v>11</v>
      </c>
      <c r="I75" s="4">
        <f t="shared" si="21"/>
        <v>3.5</v>
      </c>
      <c r="J75">
        <f t="shared" si="16"/>
        <v>5.5</v>
      </c>
      <c r="K75" s="2">
        <v>28</v>
      </c>
      <c r="L75">
        <f t="shared" si="22"/>
        <v>37</v>
      </c>
      <c r="M75" s="2">
        <v>20</v>
      </c>
      <c r="N75" s="3">
        <v>21</v>
      </c>
      <c r="O75" s="4">
        <f t="shared" si="23"/>
        <v>5.5</v>
      </c>
      <c r="P75">
        <f t="shared" si="17"/>
        <v>7</v>
      </c>
      <c r="Q75" s="2">
        <v>33</v>
      </c>
      <c r="R75">
        <f t="shared" si="24"/>
        <v>46</v>
      </c>
      <c r="S75" s="2">
        <v>17.5</v>
      </c>
      <c r="T75" s="3">
        <v>11.5</v>
      </c>
      <c r="U75" s="4">
        <f t="shared" si="25"/>
        <v>4</v>
      </c>
      <c r="V75">
        <f t="shared" si="18"/>
        <v>4</v>
      </c>
      <c r="W75" s="2">
        <v>31</v>
      </c>
      <c r="X75">
        <f t="shared" si="26"/>
        <v>39</v>
      </c>
      <c r="Y75" s="2">
        <v>14</v>
      </c>
      <c r="Z75" s="3">
        <v>18.5</v>
      </c>
      <c r="AA75" s="4">
        <f t="shared" si="27"/>
        <v>4.5</v>
      </c>
      <c r="AB75">
        <f t="shared" si="19"/>
        <v>7.5</v>
      </c>
      <c r="AC75" s="2">
        <v>40</v>
      </c>
      <c r="AD75">
        <f t="shared" si="28"/>
        <v>52</v>
      </c>
      <c r="AE75" s="2">
        <v>16.5</v>
      </c>
      <c r="AF75" s="3">
        <v>12.5</v>
      </c>
      <c r="AG75" s="4">
        <f t="shared" si="29"/>
        <v>4</v>
      </c>
      <c r="AH75">
        <f t="shared" si="20"/>
        <v>3</v>
      </c>
      <c r="AI75" s="2">
        <v>24</v>
      </c>
      <c r="AJ75">
        <f t="shared" si="30"/>
        <v>31</v>
      </c>
      <c r="AK75" s="2">
        <v>10</v>
      </c>
      <c r="AL75" s="3">
        <v>11.5</v>
      </c>
      <c r="AM75" s="4">
        <v>16.5</v>
      </c>
      <c r="AN75" s="2">
        <v>4.5</v>
      </c>
      <c r="AO75" s="3">
        <v>13</v>
      </c>
      <c r="AP75" s="4">
        <v>24</v>
      </c>
      <c r="AQ75">
        <v>8</v>
      </c>
      <c r="AR75">
        <v>8</v>
      </c>
      <c r="AS75">
        <v>5</v>
      </c>
      <c r="AT75">
        <v>9</v>
      </c>
      <c r="AU75">
        <f t="shared" si="31"/>
        <v>4.5</v>
      </c>
      <c r="AV75" t="s">
        <v>230</v>
      </c>
      <c r="AW75" t="s">
        <v>231</v>
      </c>
      <c r="AX75" t="s">
        <v>232</v>
      </c>
      <c r="AY75" t="s">
        <v>242</v>
      </c>
      <c r="AZ75" t="s">
        <v>297</v>
      </c>
      <c r="BA75" t="s">
        <v>235</v>
      </c>
      <c r="BB75" t="s">
        <v>276</v>
      </c>
      <c r="BC75" t="s">
        <v>218</v>
      </c>
      <c r="BD75" t="s">
        <v>220</v>
      </c>
      <c r="BE75">
        <v>4</v>
      </c>
      <c r="BF75">
        <v>8</v>
      </c>
      <c r="BG75">
        <v>7.5</v>
      </c>
      <c r="BH75">
        <v>6.5</v>
      </c>
      <c r="BI75">
        <v>3</v>
      </c>
      <c r="BJ75" t="s">
        <v>222</v>
      </c>
      <c r="BK75">
        <v>2</v>
      </c>
      <c r="BL75">
        <v>6</v>
      </c>
      <c r="BM75">
        <v>7</v>
      </c>
      <c r="BN75">
        <v>4.5</v>
      </c>
      <c r="BO75">
        <v>5</v>
      </c>
    </row>
    <row r="76" spans="1:67" x14ac:dyDescent="0.25">
      <c r="A76">
        <v>33</v>
      </c>
      <c r="B76" t="s">
        <v>384</v>
      </c>
      <c r="C76" t="s">
        <v>385</v>
      </c>
      <c r="D76">
        <v>17589</v>
      </c>
      <c r="E76" t="s">
        <v>176</v>
      </c>
      <c r="F76" t="s">
        <v>12</v>
      </c>
      <c r="G76" s="2">
        <v>15.5</v>
      </c>
      <c r="H76" s="3">
        <v>20.5</v>
      </c>
      <c r="I76" s="4">
        <f t="shared" si="21"/>
        <v>4.5</v>
      </c>
      <c r="J76">
        <f t="shared" si="16"/>
        <v>7</v>
      </c>
      <c r="K76" s="2">
        <v>46.5</v>
      </c>
      <c r="L76">
        <f t="shared" si="22"/>
        <v>58</v>
      </c>
      <c r="M76" s="2">
        <v>32.5</v>
      </c>
      <c r="N76" s="3">
        <v>33.5</v>
      </c>
      <c r="O76" s="4">
        <f t="shared" si="23"/>
        <v>8.5</v>
      </c>
      <c r="P76">
        <f t="shared" si="17"/>
        <v>8.5</v>
      </c>
      <c r="Q76" s="2" t="s">
        <v>14</v>
      </c>
      <c r="R76">
        <f t="shared" si="24"/>
        <v>17</v>
      </c>
      <c r="S76" s="2">
        <v>24.5</v>
      </c>
      <c r="T76" s="3">
        <v>18</v>
      </c>
      <c r="U76" s="4">
        <f t="shared" si="25"/>
        <v>5.5</v>
      </c>
      <c r="V76">
        <f t="shared" si="18"/>
        <v>5.5</v>
      </c>
      <c r="W76" s="2" t="s">
        <v>14</v>
      </c>
      <c r="X76">
        <f t="shared" si="26"/>
        <v>11</v>
      </c>
      <c r="Y76" s="2">
        <v>31.5</v>
      </c>
      <c r="Z76" s="3">
        <v>31.5</v>
      </c>
      <c r="AA76" s="4">
        <f t="shared" si="27"/>
        <v>8</v>
      </c>
      <c r="AB76">
        <f t="shared" si="19"/>
        <v>8</v>
      </c>
      <c r="AC76" s="2">
        <v>48.5</v>
      </c>
      <c r="AD76">
        <f t="shared" si="28"/>
        <v>65</v>
      </c>
      <c r="AE76" s="2">
        <v>16.5</v>
      </c>
      <c r="AF76" s="3">
        <v>30.5</v>
      </c>
      <c r="AG76" s="4">
        <f t="shared" si="29"/>
        <v>6</v>
      </c>
      <c r="AH76">
        <f t="shared" si="20"/>
        <v>8</v>
      </c>
      <c r="AI76" s="2">
        <v>55</v>
      </c>
      <c r="AJ76">
        <f t="shared" si="30"/>
        <v>69</v>
      </c>
      <c r="AK76" s="2">
        <v>17</v>
      </c>
      <c r="AL76" s="3">
        <v>13</v>
      </c>
      <c r="AM76" s="4" t="s">
        <v>32</v>
      </c>
      <c r="AN76" s="2">
        <v>7</v>
      </c>
      <c r="AO76" s="3">
        <v>19</v>
      </c>
      <c r="AP76" s="4" t="s">
        <v>15</v>
      </c>
      <c r="AQ76">
        <v>8</v>
      </c>
      <c r="AR76">
        <v>8</v>
      </c>
      <c r="AS76">
        <v>10</v>
      </c>
      <c r="AT76">
        <v>0</v>
      </c>
      <c r="AU76">
        <f t="shared" si="31"/>
        <v>0</v>
      </c>
      <c r="AV76" t="s">
        <v>230</v>
      </c>
      <c r="AW76" t="s">
        <v>231</v>
      </c>
      <c r="AX76" t="s">
        <v>232</v>
      </c>
      <c r="AY76" t="s">
        <v>285</v>
      </c>
      <c r="AZ76" t="s">
        <v>289</v>
      </c>
      <c r="BA76" t="s">
        <v>235</v>
      </c>
      <c r="BB76" t="s">
        <v>276</v>
      </c>
      <c r="BC76" t="s">
        <v>218</v>
      </c>
      <c r="BD76" t="s">
        <v>220</v>
      </c>
      <c r="BE76">
        <v>7.5</v>
      </c>
      <c r="BF76">
        <v>10</v>
      </c>
      <c r="BG76">
        <v>9</v>
      </c>
      <c r="BH76">
        <v>7.5</v>
      </c>
      <c r="BI76">
        <v>5.5</v>
      </c>
      <c r="BJ76" t="s">
        <v>222</v>
      </c>
      <c r="BK76">
        <v>8</v>
      </c>
      <c r="BL76">
        <v>7</v>
      </c>
      <c r="BM76">
        <v>6.5</v>
      </c>
      <c r="BN76">
        <v>6.5</v>
      </c>
      <c r="BO76">
        <v>5.5</v>
      </c>
    </row>
    <row r="77" spans="1:67" x14ac:dyDescent="0.25">
      <c r="A77">
        <v>34</v>
      </c>
      <c r="B77" t="s">
        <v>384</v>
      </c>
      <c r="C77" t="s">
        <v>385</v>
      </c>
      <c r="D77">
        <v>17593</v>
      </c>
      <c r="E77" t="s">
        <v>181</v>
      </c>
      <c r="F77" t="s">
        <v>12</v>
      </c>
      <c r="G77" s="2">
        <v>15</v>
      </c>
      <c r="H77" s="3">
        <v>11</v>
      </c>
      <c r="I77" s="4">
        <f t="shared" si="21"/>
        <v>3.5</v>
      </c>
      <c r="J77">
        <f t="shared" si="16"/>
        <v>5</v>
      </c>
      <c r="K77" s="2">
        <v>19.5</v>
      </c>
      <c r="L77">
        <f t="shared" si="22"/>
        <v>28</v>
      </c>
      <c r="M77" s="2">
        <v>15</v>
      </c>
      <c r="N77" s="3">
        <v>26</v>
      </c>
      <c r="O77" s="4">
        <f t="shared" si="23"/>
        <v>5.5</v>
      </c>
      <c r="P77">
        <f t="shared" si="17"/>
        <v>6.5</v>
      </c>
      <c r="Q77" s="2">
        <v>43</v>
      </c>
      <c r="R77">
        <f t="shared" si="24"/>
        <v>55</v>
      </c>
      <c r="S77" s="2">
        <v>7.5</v>
      </c>
      <c r="T77" s="3">
        <v>10</v>
      </c>
      <c r="U77" s="4">
        <f t="shared" si="25"/>
        <v>2.5</v>
      </c>
      <c r="V77">
        <f t="shared" si="18"/>
        <v>2</v>
      </c>
      <c r="W77" s="2">
        <v>27</v>
      </c>
      <c r="X77">
        <f t="shared" si="26"/>
        <v>32</v>
      </c>
      <c r="Y77" s="2">
        <v>17</v>
      </c>
      <c r="Z77" s="3">
        <v>21.5</v>
      </c>
      <c r="AA77" s="4">
        <f t="shared" si="27"/>
        <v>5</v>
      </c>
      <c r="AB77">
        <f t="shared" si="19"/>
        <v>5.5</v>
      </c>
      <c r="AC77" s="2">
        <v>21.5</v>
      </c>
      <c r="AD77">
        <f t="shared" si="28"/>
        <v>32</v>
      </c>
      <c r="AE77" s="2">
        <v>17.5</v>
      </c>
      <c r="AF77" s="3">
        <v>14.5</v>
      </c>
      <c r="AG77" s="4">
        <f t="shared" si="29"/>
        <v>4</v>
      </c>
      <c r="AH77">
        <f t="shared" si="20"/>
        <v>4.5</v>
      </c>
      <c r="AI77" s="2">
        <v>22</v>
      </c>
      <c r="AJ77">
        <f t="shared" si="30"/>
        <v>31</v>
      </c>
      <c r="AK77" s="2">
        <v>5.5</v>
      </c>
      <c r="AL77" s="3">
        <v>6</v>
      </c>
      <c r="AM77" s="4">
        <v>13</v>
      </c>
      <c r="AN77" s="2">
        <v>4</v>
      </c>
      <c r="AO77" s="3">
        <v>14</v>
      </c>
      <c r="AP77" s="4">
        <v>18</v>
      </c>
      <c r="AQ77">
        <v>8</v>
      </c>
      <c r="AR77">
        <v>7</v>
      </c>
      <c r="AS77">
        <v>3</v>
      </c>
      <c r="AT77">
        <v>6.5</v>
      </c>
      <c r="AU77">
        <f t="shared" si="31"/>
        <v>3.5</v>
      </c>
      <c r="AV77" t="s">
        <v>230</v>
      </c>
      <c r="AW77" t="s">
        <v>231</v>
      </c>
      <c r="AX77" t="s">
        <v>232</v>
      </c>
      <c r="AY77" t="s">
        <v>298</v>
      </c>
      <c r="AZ77" t="s">
        <v>278</v>
      </c>
      <c r="BA77" t="s">
        <v>235</v>
      </c>
      <c r="BB77" t="s">
        <v>276</v>
      </c>
      <c r="BC77" t="s">
        <v>218</v>
      </c>
      <c r="BD77" t="s">
        <v>220</v>
      </c>
      <c r="BE77">
        <v>2</v>
      </c>
      <c r="BF77">
        <v>8</v>
      </c>
      <c r="BG77">
        <v>6</v>
      </c>
      <c r="BH77">
        <v>6</v>
      </c>
      <c r="BI77">
        <v>0.5</v>
      </c>
      <c r="BJ77" t="s">
        <v>222</v>
      </c>
      <c r="BK77">
        <v>6.5</v>
      </c>
      <c r="BL77">
        <v>5</v>
      </c>
      <c r="BM77">
        <v>5</v>
      </c>
      <c r="BN77">
        <v>4</v>
      </c>
      <c r="BO77">
        <v>3</v>
      </c>
    </row>
    <row r="78" spans="1:67" x14ac:dyDescent="0.25">
      <c r="A78">
        <v>35</v>
      </c>
      <c r="B78" t="s">
        <v>384</v>
      </c>
      <c r="C78" t="s">
        <v>385</v>
      </c>
      <c r="D78">
        <v>16222</v>
      </c>
      <c r="E78" t="s">
        <v>186</v>
      </c>
      <c r="F78" t="s">
        <v>12</v>
      </c>
      <c r="G78" s="2">
        <v>25.5</v>
      </c>
      <c r="H78" s="3">
        <v>24.5</v>
      </c>
      <c r="I78" s="4">
        <f t="shared" si="21"/>
        <v>6.5</v>
      </c>
      <c r="J78">
        <f t="shared" si="16"/>
        <v>9</v>
      </c>
      <c r="K78" s="2">
        <v>63.5</v>
      </c>
      <c r="L78">
        <f t="shared" si="22"/>
        <v>79</v>
      </c>
      <c r="M78" s="2">
        <v>31.5</v>
      </c>
      <c r="N78" s="3">
        <v>29.5</v>
      </c>
      <c r="O78" s="4">
        <f t="shared" si="23"/>
        <v>8</v>
      </c>
      <c r="P78">
        <f t="shared" si="17"/>
        <v>7</v>
      </c>
      <c r="Q78" s="2">
        <v>67</v>
      </c>
      <c r="R78">
        <f t="shared" si="24"/>
        <v>82</v>
      </c>
      <c r="S78" s="2">
        <v>28.5</v>
      </c>
      <c r="T78" s="3">
        <v>27</v>
      </c>
      <c r="U78" s="4">
        <f t="shared" si="25"/>
        <v>7</v>
      </c>
      <c r="V78">
        <f t="shared" si="18"/>
        <v>6.5</v>
      </c>
      <c r="W78" s="2">
        <v>59.5</v>
      </c>
      <c r="X78">
        <f t="shared" si="26"/>
        <v>73</v>
      </c>
      <c r="Y78" s="2">
        <v>30</v>
      </c>
      <c r="Z78" s="3">
        <v>29.5</v>
      </c>
      <c r="AA78" s="4">
        <f t="shared" si="27"/>
        <v>7.5</v>
      </c>
      <c r="AB78">
        <f t="shared" si="19"/>
        <v>9</v>
      </c>
      <c r="AC78" s="2">
        <v>58.5</v>
      </c>
      <c r="AD78">
        <f t="shared" si="28"/>
        <v>75</v>
      </c>
      <c r="AE78" s="2">
        <v>17.5</v>
      </c>
      <c r="AF78" s="3">
        <v>20.5</v>
      </c>
      <c r="AG78" s="4">
        <f t="shared" si="29"/>
        <v>5</v>
      </c>
      <c r="AH78">
        <f t="shared" si="20"/>
        <v>7.5</v>
      </c>
      <c r="AI78" s="2" t="s">
        <v>14</v>
      </c>
      <c r="AJ78">
        <f t="shared" si="30"/>
        <v>13</v>
      </c>
      <c r="AK78" s="2">
        <v>21.5</v>
      </c>
      <c r="AL78" s="3">
        <v>21</v>
      </c>
      <c r="AM78" s="4">
        <v>24</v>
      </c>
      <c r="AN78" s="2">
        <v>7</v>
      </c>
      <c r="AO78" s="3">
        <v>17</v>
      </c>
      <c r="AP78" s="4">
        <v>27.5</v>
      </c>
      <c r="AQ78">
        <v>8</v>
      </c>
      <c r="AR78">
        <v>8.5</v>
      </c>
      <c r="AS78">
        <v>9</v>
      </c>
      <c r="AT78">
        <v>12</v>
      </c>
      <c r="AU78">
        <f t="shared" si="31"/>
        <v>6</v>
      </c>
      <c r="AV78" t="s">
        <v>230</v>
      </c>
      <c r="AW78" t="s">
        <v>231</v>
      </c>
      <c r="AX78" t="s">
        <v>232</v>
      </c>
      <c r="AY78" t="s">
        <v>249</v>
      </c>
      <c r="AZ78" t="s">
        <v>278</v>
      </c>
      <c r="BA78" t="s">
        <v>235</v>
      </c>
      <c r="BB78" t="s">
        <v>276</v>
      </c>
      <c r="BC78" t="s">
        <v>218</v>
      </c>
      <c r="BD78" t="s">
        <v>220</v>
      </c>
      <c r="BE78">
        <v>8</v>
      </c>
      <c r="BF78">
        <v>7</v>
      </c>
      <c r="BG78">
        <v>10</v>
      </c>
      <c r="BH78">
        <v>9.5</v>
      </c>
      <c r="BI78">
        <v>7</v>
      </c>
      <c r="BJ78" t="s">
        <v>222</v>
      </c>
      <c r="BK78">
        <v>7</v>
      </c>
      <c r="BL78">
        <v>7</v>
      </c>
      <c r="BM78">
        <v>8</v>
      </c>
      <c r="BN78">
        <v>8</v>
      </c>
      <c r="BO78">
        <v>6</v>
      </c>
    </row>
    <row r="79" spans="1:67" x14ac:dyDescent="0.25">
      <c r="A79">
        <v>36</v>
      </c>
      <c r="B79" t="s">
        <v>384</v>
      </c>
      <c r="C79" t="s">
        <v>385</v>
      </c>
      <c r="D79">
        <v>18417</v>
      </c>
      <c r="E79" t="s">
        <v>191</v>
      </c>
      <c r="F79" t="s">
        <v>12</v>
      </c>
      <c r="G79" s="2">
        <v>30.5</v>
      </c>
      <c r="H79" s="3">
        <v>30</v>
      </c>
      <c r="I79" s="4">
        <f t="shared" si="21"/>
        <v>8</v>
      </c>
      <c r="J79">
        <f t="shared" si="16"/>
        <v>8.5</v>
      </c>
      <c r="K79" s="2">
        <v>50.5</v>
      </c>
      <c r="L79">
        <f t="shared" si="22"/>
        <v>67</v>
      </c>
      <c r="M79" s="2">
        <v>36</v>
      </c>
      <c r="N79" s="3">
        <v>36</v>
      </c>
      <c r="O79" s="4">
        <f t="shared" si="23"/>
        <v>9</v>
      </c>
      <c r="P79">
        <f t="shared" si="17"/>
        <v>9.5</v>
      </c>
      <c r="Q79" s="2">
        <v>69.5</v>
      </c>
      <c r="R79">
        <f t="shared" si="24"/>
        <v>88</v>
      </c>
      <c r="S79" s="2">
        <v>34</v>
      </c>
      <c r="T79" s="3">
        <v>26.5</v>
      </c>
      <c r="U79" s="4">
        <f t="shared" si="25"/>
        <v>8</v>
      </c>
      <c r="V79">
        <f t="shared" si="18"/>
        <v>9</v>
      </c>
      <c r="W79" s="2">
        <v>60</v>
      </c>
      <c r="X79">
        <f t="shared" si="26"/>
        <v>77</v>
      </c>
      <c r="Y79" s="2">
        <v>35</v>
      </c>
      <c r="Z79" s="3">
        <v>36.5</v>
      </c>
      <c r="AA79" s="4">
        <f t="shared" si="27"/>
        <v>9</v>
      </c>
      <c r="AB79">
        <f t="shared" si="19"/>
        <v>8</v>
      </c>
      <c r="AC79" s="2">
        <v>66</v>
      </c>
      <c r="AD79">
        <f t="shared" si="28"/>
        <v>83</v>
      </c>
      <c r="AE79" s="2">
        <v>32</v>
      </c>
      <c r="AF79" s="3">
        <v>28</v>
      </c>
      <c r="AG79" s="4">
        <f t="shared" si="29"/>
        <v>7.5</v>
      </c>
      <c r="AH79">
        <f t="shared" si="20"/>
        <v>8.5</v>
      </c>
      <c r="AI79" s="2">
        <v>67</v>
      </c>
      <c r="AJ79">
        <f t="shared" si="30"/>
        <v>83</v>
      </c>
      <c r="AK79" s="2">
        <v>18.5</v>
      </c>
      <c r="AL79" s="3">
        <v>13</v>
      </c>
      <c r="AM79" s="4">
        <v>21</v>
      </c>
      <c r="AN79" s="2">
        <v>5</v>
      </c>
      <c r="AO79" s="3">
        <v>23</v>
      </c>
      <c r="AP79" s="4">
        <v>32</v>
      </c>
      <c r="AQ79">
        <v>8</v>
      </c>
      <c r="AR79">
        <v>8</v>
      </c>
      <c r="AS79">
        <v>10</v>
      </c>
      <c r="AT79">
        <v>9.5</v>
      </c>
      <c r="AU79">
        <f t="shared" si="31"/>
        <v>5</v>
      </c>
      <c r="AV79" t="s">
        <v>230</v>
      </c>
      <c r="AW79" t="s">
        <v>231</v>
      </c>
      <c r="AX79" t="s">
        <v>232</v>
      </c>
      <c r="AY79" t="s">
        <v>240</v>
      </c>
      <c r="AZ79" t="s">
        <v>278</v>
      </c>
      <c r="BA79" t="s">
        <v>235</v>
      </c>
      <c r="BB79" t="s">
        <v>276</v>
      </c>
      <c r="BC79" t="s">
        <v>218</v>
      </c>
      <c r="BD79" t="s">
        <v>220</v>
      </c>
      <c r="BE79">
        <v>9</v>
      </c>
      <c r="BF79">
        <v>10</v>
      </c>
      <c r="BG79">
        <v>8</v>
      </c>
      <c r="BH79">
        <v>9</v>
      </c>
      <c r="BI79">
        <v>8.5</v>
      </c>
      <c r="BJ79" t="s">
        <v>222</v>
      </c>
      <c r="BK79">
        <v>8</v>
      </c>
      <c r="BL79">
        <v>9</v>
      </c>
      <c r="BM79">
        <v>8</v>
      </c>
      <c r="BN79">
        <v>7.5</v>
      </c>
      <c r="BO79">
        <v>9.5</v>
      </c>
    </row>
    <row r="80" spans="1:67" x14ac:dyDescent="0.25">
      <c r="A80">
        <v>37</v>
      </c>
      <c r="B80" t="s">
        <v>384</v>
      </c>
      <c r="C80" t="s">
        <v>385</v>
      </c>
      <c r="D80">
        <v>17407</v>
      </c>
      <c r="E80" t="s">
        <v>196</v>
      </c>
      <c r="F80" t="s">
        <v>12</v>
      </c>
      <c r="G80" s="2">
        <v>34</v>
      </c>
      <c r="H80" s="3">
        <v>30.5</v>
      </c>
      <c r="I80" s="4">
        <f t="shared" si="21"/>
        <v>8.5</v>
      </c>
      <c r="J80">
        <f t="shared" si="16"/>
        <v>9.5</v>
      </c>
      <c r="K80" s="2">
        <v>65.5</v>
      </c>
      <c r="L80">
        <f t="shared" si="22"/>
        <v>84</v>
      </c>
      <c r="M80" s="2">
        <v>22.5</v>
      </c>
      <c r="N80" s="3">
        <v>31.5</v>
      </c>
      <c r="O80" s="4">
        <f t="shared" si="23"/>
        <v>7</v>
      </c>
      <c r="P80">
        <f t="shared" si="17"/>
        <v>10</v>
      </c>
      <c r="Q80" s="2">
        <v>70</v>
      </c>
      <c r="R80">
        <f t="shared" si="24"/>
        <v>87</v>
      </c>
      <c r="S80" s="2">
        <v>11.5</v>
      </c>
      <c r="T80" s="3">
        <v>19</v>
      </c>
      <c r="U80" s="4">
        <f t="shared" si="25"/>
        <v>4</v>
      </c>
      <c r="V80">
        <f t="shared" si="18"/>
        <v>4.5</v>
      </c>
      <c r="W80" s="2">
        <v>35</v>
      </c>
      <c r="X80">
        <f t="shared" si="26"/>
        <v>44</v>
      </c>
      <c r="Y80" s="2">
        <v>27.5</v>
      </c>
      <c r="Z80" s="3">
        <v>37.5</v>
      </c>
      <c r="AA80" s="4">
        <f t="shared" si="27"/>
        <v>8.5</v>
      </c>
      <c r="AB80">
        <f t="shared" si="19"/>
        <v>8.5</v>
      </c>
      <c r="AC80" s="2">
        <v>67</v>
      </c>
      <c r="AD80">
        <f t="shared" si="28"/>
        <v>84</v>
      </c>
      <c r="AE80" s="2">
        <v>33.5</v>
      </c>
      <c r="AF80" s="3">
        <v>28</v>
      </c>
      <c r="AG80" s="4">
        <f t="shared" si="29"/>
        <v>8</v>
      </c>
      <c r="AH80">
        <f t="shared" si="20"/>
        <v>9.5</v>
      </c>
      <c r="AI80" s="2">
        <v>69</v>
      </c>
      <c r="AJ80">
        <f t="shared" si="30"/>
        <v>87</v>
      </c>
      <c r="AK80" s="2">
        <v>18.5</v>
      </c>
      <c r="AL80" s="3">
        <v>16.5</v>
      </c>
      <c r="AM80" s="4">
        <v>9</v>
      </c>
      <c r="AN80" s="2">
        <v>4.5</v>
      </c>
      <c r="AO80" s="3">
        <v>19.5</v>
      </c>
      <c r="AP80" s="4">
        <v>30</v>
      </c>
      <c r="AQ80">
        <v>8</v>
      </c>
      <c r="AR80">
        <v>8.5</v>
      </c>
      <c r="AS80">
        <v>10</v>
      </c>
      <c r="AT80">
        <v>15</v>
      </c>
      <c r="AU80">
        <f t="shared" si="31"/>
        <v>7.5</v>
      </c>
      <c r="AV80" t="s">
        <v>230</v>
      </c>
      <c r="AW80" t="s">
        <v>231</v>
      </c>
      <c r="AX80" t="s">
        <v>232</v>
      </c>
      <c r="AY80" t="s">
        <v>251</v>
      </c>
      <c r="AZ80" t="s">
        <v>278</v>
      </c>
      <c r="BA80" t="s">
        <v>235</v>
      </c>
      <c r="BB80" t="s">
        <v>276</v>
      </c>
      <c r="BC80" t="s">
        <v>218</v>
      </c>
      <c r="BD80" t="s">
        <v>220</v>
      </c>
      <c r="BE80">
        <v>9</v>
      </c>
      <c r="BF80">
        <v>10</v>
      </c>
      <c r="BG80">
        <v>10</v>
      </c>
      <c r="BH80">
        <v>10</v>
      </c>
      <c r="BI80">
        <v>3.5</v>
      </c>
      <c r="BJ80" t="s">
        <v>222</v>
      </c>
      <c r="BK80">
        <v>10</v>
      </c>
      <c r="BL80">
        <v>9.5</v>
      </c>
      <c r="BM80">
        <v>7</v>
      </c>
      <c r="BN80">
        <v>8.5</v>
      </c>
      <c r="BO80">
        <v>5.5</v>
      </c>
    </row>
    <row r="81" spans="1:67" x14ac:dyDescent="0.25">
      <c r="A81">
        <v>38</v>
      </c>
      <c r="B81" t="s">
        <v>384</v>
      </c>
      <c r="C81" t="s">
        <v>385</v>
      </c>
      <c r="D81">
        <v>17202</v>
      </c>
      <c r="E81" t="s">
        <v>201</v>
      </c>
      <c r="F81" t="s">
        <v>12</v>
      </c>
      <c r="G81" s="2">
        <v>12.5</v>
      </c>
      <c r="H81" s="3">
        <v>10</v>
      </c>
      <c r="I81" s="4">
        <f t="shared" si="21"/>
        <v>3</v>
      </c>
      <c r="J81">
        <f t="shared" si="16"/>
        <v>4.5</v>
      </c>
      <c r="K81" s="2">
        <v>27.5</v>
      </c>
      <c r="L81">
        <f t="shared" si="22"/>
        <v>35</v>
      </c>
      <c r="M81" s="2">
        <v>19.5</v>
      </c>
      <c r="N81" s="3">
        <v>21</v>
      </c>
      <c r="O81" s="4">
        <f t="shared" si="23"/>
        <v>5.5</v>
      </c>
      <c r="P81">
        <f t="shared" si="17"/>
        <v>7.5</v>
      </c>
      <c r="Q81" s="2">
        <v>33</v>
      </c>
      <c r="R81">
        <f t="shared" si="24"/>
        <v>46</v>
      </c>
      <c r="S81" s="2">
        <v>16.5</v>
      </c>
      <c r="T81" s="3">
        <v>9</v>
      </c>
      <c r="U81" s="4">
        <f t="shared" si="25"/>
        <v>3.5</v>
      </c>
      <c r="V81">
        <f t="shared" si="18"/>
        <v>5</v>
      </c>
      <c r="W81" s="2">
        <v>27.5</v>
      </c>
      <c r="X81">
        <f t="shared" si="26"/>
        <v>36</v>
      </c>
      <c r="Y81" s="2">
        <v>15.5</v>
      </c>
      <c r="Z81" s="3">
        <v>22.5</v>
      </c>
      <c r="AA81" s="4">
        <f t="shared" si="27"/>
        <v>5</v>
      </c>
      <c r="AB81">
        <f t="shared" si="19"/>
        <v>6</v>
      </c>
      <c r="AC81" s="2">
        <v>34</v>
      </c>
      <c r="AD81">
        <f t="shared" si="28"/>
        <v>45</v>
      </c>
      <c r="AE81" s="2">
        <v>13.5</v>
      </c>
      <c r="AF81" s="3">
        <v>19.5</v>
      </c>
      <c r="AG81" s="4">
        <f t="shared" si="29"/>
        <v>4.5</v>
      </c>
      <c r="AH81">
        <f t="shared" si="20"/>
        <v>6.5</v>
      </c>
      <c r="AI81" s="2">
        <v>29</v>
      </c>
      <c r="AJ81">
        <f t="shared" si="30"/>
        <v>40</v>
      </c>
      <c r="AK81" s="2">
        <v>8</v>
      </c>
      <c r="AL81" s="3">
        <v>11</v>
      </c>
      <c r="AM81" s="4">
        <v>13</v>
      </c>
      <c r="AN81" s="2">
        <v>6</v>
      </c>
      <c r="AO81" s="3">
        <v>16.5</v>
      </c>
      <c r="AP81" s="4">
        <v>25.5</v>
      </c>
      <c r="AQ81">
        <v>8</v>
      </c>
      <c r="AR81">
        <v>7.5</v>
      </c>
      <c r="AS81">
        <v>4</v>
      </c>
      <c r="AT81">
        <v>12</v>
      </c>
      <c r="AU81">
        <f t="shared" si="31"/>
        <v>6</v>
      </c>
      <c r="AV81" t="s">
        <v>230</v>
      </c>
      <c r="AW81" t="s">
        <v>231</v>
      </c>
      <c r="AX81" t="s">
        <v>232</v>
      </c>
      <c r="AY81" t="s">
        <v>244</v>
      </c>
      <c r="AZ81" t="s">
        <v>278</v>
      </c>
      <c r="BA81" t="s">
        <v>235</v>
      </c>
      <c r="BB81" t="s">
        <v>276</v>
      </c>
      <c r="BC81" t="s">
        <v>218</v>
      </c>
      <c r="BD81" t="s">
        <v>220</v>
      </c>
      <c r="BE81">
        <v>6</v>
      </c>
      <c r="BF81">
        <v>9</v>
      </c>
      <c r="BG81">
        <v>5.5</v>
      </c>
      <c r="BH81">
        <v>4</v>
      </c>
      <c r="BI81">
        <v>4.5</v>
      </c>
      <c r="BJ81" t="s">
        <v>222</v>
      </c>
      <c r="BK81">
        <v>6.5</v>
      </c>
      <c r="BL81">
        <v>6</v>
      </c>
      <c r="BM81">
        <v>6</v>
      </c>
      <c r="BN81">
        <v>5</v>
      </c>
      <c r="BO81">
        <v>5</v>
      </c>
    </row>
    <row r="82" spans="1:67" x14ac:dyDescent="0.25">
      <c r="A82">
        <v>39</v>
      </c>
      <c r="B82" t="s">
        <v>384</v>
      </c>
      <c r="C82" t="s">
        <v>385</v>
      </c>
      <c r="D82">
        <v>16233</v>
      </c>
      <c r="E82" t="s">
        <v>206</v>
      </c>
      <c r="F82" t="s">
        <v>12</v>
      </c>
      <c r="G82" s="2">
        <v>24</v>
      </c>
      <c r="H82" s="3">
        <v>24</v>
      </c>
      <c r="I82" s="4">
        <f t="shared" si="21"/>
        <v>6</v>
      </c>
      <c r="J82">
        <f t="shared" si="16"/>
        <v>7</v>
      </c>
      <c r="K82" s="2">
        <v>46</v>
      </c>
      <c r="L82">
        <f t="shared" si="22"/>
        <v>59</v>
      </c>
      <c r="M82" s="2">
        <v>24</v>
      </c>
      <c r="N82" s="3">
        <v>22</v>
      </c>
      <c r="O82" s="4">
        <f t="shared" si="23"/>
        <v>6</v>
      </c>
      <c r="P82">
        <f t="shared" si="17"/>
        <v>9</v>
      </c>
      <c r="Q82" s="2">
        <v>48.5</v>
      </c>
      <c r="R82">
        <f t="shared" si="24"/>
        <v>64</v>
      </c>
      <c r="S82" s="2">
        <v>20</v>
      </c>
      <c r="T82" s="3">
        <v>21</v>
      </c>
      <c r="U82" s="4">
        <f t="shared" si="25"/>
        <v>5.5</v>
      </c>
      <c r="V82">
        <f t="shared" si="18"/>
        <v>6.5</v>
      </c>
      <c r="W82" s="2">
        <v>47.5</v>
      </c>
      <c r="X82">
        <f t="shared" si="26"/>
        <v>60</v>
      </c>
      <c r="Y82" s="2">
        <v>25.5</v>
      </c>
      <c r="Z82" s="3">
        <v>32.5</v>
      </c>
      <c r="AA82" s="4">
        <f t="shared" si="27"/>
        <v>7.5</v>
      </c>
      <c r="AB82">
        <f t="shared" si="19"/>
        <v>9</v>
      </c>
      <c r="AC82" s="2">
        <v>55</v>
      </c>
      <c r="AD82">
        <f t="shared" si="28"/>
        <v>72</v>
      </c>
      <c r="AE82" s="2">
        <v>28</v>
      </c>
      <c r="AF82" s="3">
        <v>29</v>
      </c>
      <c r="AG82" s="4">
        <f t="shared" si="29"/>
        <v>7.5</v>
      </c>
      <c r="AH82">
        <f t="shared" si="20"/>
        <v>8</v>
      </c>
      <c r="AI82" s="2">
        <v>55</v>
      </c>
      <c r="AJ82">
        <f t="shared" si="30"/>
        <v>71</v>
      </c>
      <c r="AK82" s="2">
        <v>13</v>
      </c>
      <c r="AL82" s="3">
        <v>13</v>
      </c>
      <c r="AM82" s="4">
        <v>14</v>
      </c>
      <c r="AN82" s="2">
        <v>7</v>
      </c>
      <c r="AO82" s="3" t="s">
        <v>14</v>
      </c>
      <c r="AP82" s="4">
        <v>21.5</v>
      </c>
      <c r="AQ82">
        <v>8</v>
      </c>
      <c r="AR82">
        <v>7.5</v>
      </c>
      <c r="AS82">
        <v>6</v>
      </c>
      <c r="AT82">
        <v>10</v>
      </c>
      <c r="AU82">
        <f t="shared" si="31"/>
        <v>5</v>
      </c>
      <c r="AV82" t="s">
        <v>230</v>
      </c>
      <c r="AW82" t="s">
        <v>231</v>
      </c>
      <c r="AX82" t="s">
        <v>232</v>
      </c>
      <c r="AY82" t="s">
        <v>249</v>
      </c>
      <c r="AZ82" t="s">
        <v>278</v>
      </c>
      <c r="BA82" t="s">
        <v>235</v>
      </c>
      <c r="BB82" t="s">
        <v>276</v>
      </c>
      <c r="BC82" t="s">
        <v>218</v>
      </c>
      <c r="BD82" t="s">
        <v>220</v>
      </c>
      <c r="BE82">
        <v>7</v>
      </c>
      <c r="BF82">
        <v>10</v>
      </c>
      <c r="BG82">
        <v>10</v>
      </c>
      <c r="BH82">
        <v>7.5</v>
      </c>
      <c r="BI82">
        <v>8</v>
      </c>
      <c r="BJ82" t="s">
        <v>222</v>
      </c>
      <c r="BK82">
        <v>8.5</v>
      </c>
      <c r="BL82">
        <v>8</v>
      </c>
      <c r="BM82">
        <v>8</v>
      </c>
      <c r="BN82">
        <v>6.5</v>
      </c>
      <c r="BO82">
        <v>5</v>
      </c>
    </row>
    <row r="83" spans="1:67" x14ac:dyDescent="0.25">
      <c r="A83">
        <v>1</v>
      </c>
      <c r="B83" t="s">
        <v>384</v>
      </c>
      <c r="C83" t="s">
        <v>386</v>
      </c>
      <c r="D83">
        <v>18459</v>
      </c>
      <c r="E83" t="s">
        <v>16</v>
      </c>
      <c r="F83" t="s">
        <v>12</v>
      </c>
      <c r="G83" s="2">
        <v>20</v>
      </c>
      <c r="H83" s="3">
        <v>18</v>
      </c>
      <c r="I83" s="4">
        <f t="shared" si="21"/>
        <v>5</v>
      </c>
      <c r="J83">
        <f t="shared" si="16"/>
        <v>3.5</v>
      </c>
      <c r="K83" s="2">
        <v>27.5</v>
      </c>
      <c r="L83">
        <f t="shared" si="22"/>
        <v>36</v>
      </c>
      <c r="M83" s="2">
        <v>33</v>
      </c>
      <c r="N83" s="3">
        <v>27.5</v>
      </c>
      <c r="O83" s="4">
        <f t="shared" si="23"/>
        <v>8</v>
      </c>
      <c r="P83">
        <f t="shared" si="17"/>
        <v>10</v>
      </c>
      <c r="Q83" s="2">
        <v>53</v>
      </c>
      <c r="R83">
        <f t="shared" si="24"/>
        <v>71</v>
      </c>
      <c r="S83" s="2">
        <v>26.5</v>
      </c>
      <c r="T83" s="3">
        <v>17</v>
      </c>
      <c r="U83" s="4">
        <f t="shared" si="25"/>
        <v>5.5</v>
      </c>
      <c r="V83">
        <f t="shared" si="18"/>
        <v>5.5</v>
      </c>
      <c r="W83" s="2">
        <v>43.5</v>
      </c>
      <c r="X83">
        <f t="shared" si="26"/>
        <v>55</v>
      </c>
      <c r="Y83" s="2">
        <v>18.5</v>
      </c>
      <c r="Z83" s="3">
        <v>24</v>
      </c>
      <c r="AA83" s="4">
        <f t="shared" si="27"/>
        <v>5.5</v>
      </c>
      <c r="AB83">
        <f t="shared" si="19"/>
        <v>6.5</v>
      </c>
      <c r="AC83" s="2">
        <v>42.5</v>
      </c>
      <c r="AD83">
        <f t="shared" si="28"/>
        <v>55</v>
      </c>
      <c r="AE83" s="2">
        <v>21</v>
      </c>
      <c r="AF83" s="3">
        <v>19.5</v>
      </c>
      <c r="AG83" s="4">
        <f t="shared" si="29"/>
        <v>5.5</v>
      </c>
      <c r="AH83">
        <f t="shared" si="20"/>
        <v>5.5</v>
      </c>
      <c r="AI83" s="2">
        <v>33</v>
      </c>
      <c r="AJ83">
        <f t="shared" si="30"/>
        <v>44</v>
      </c>
      <c r="AK83" s="2">
        <v>19.5</v>
      </c>
      <c r="AL83" s="3">
        <v>14</v>
      </c>
      <c r="AM83" s="4">
        <v>16.5</v>
      </c>
      <c r="AN83" s="2">
        <v>2</v>
      </c>
      <c r="AO83" s="3">
        <v>12</v>
      </c>
      <c r="AP83" s="4">
        <v>24.5</v>
      </c>
      <c r="AQ83">
        <v>8</v>
      </c>
      <c r="AR83">
        <v>7</v>
      </c>
      <c r="AS83">
        <v>10</v>
      </c>
      <c r="AT83">
        <v>5.5</v>
      </c>
      <c r="AU83">
        <f t="shared" si="31"/>
        <v>3</v>
      </c>
      <c r="AV83" t="s">
        <v>230</v>
      </c>
      <c r="AW83" t="s">
        <v>231</v>
      </c>
      <c r="AX83" t="s">
        <v>232</v>
      </c>
      <c r="AY83" t="s">
        <v>240</v>
      </c>
      <c r="AZ83" t="s">
        <v>299</v>
      </c>
      <c r="BA83" t="s">
        <v>235</v>
      </c>
      <c r="BB83" t="s">
        <v>239</v>
      </c>
      <c r="BC83" t="s">
        <v>218</v>
      </c>
      <c r="BD83" t="s">
        <v>220</v>
      </c>
      <c r="BE83">
        <v>6</v>
      </c>
      <c r="BF83">
        <v>10</v>
      </c>
      <c r="BG83">
        <v>7.5</v>
      </c>
      <c r="BH83">
        <v>4</v>
      </c>
      <c r="BI83">
        <v>4.5</v>
      </c>
      <c r="BJ83" t="s">
        <v>222</v>
      </c>
      <c r="BK83">
        <v>4.5</v>
      </c>
      <c r="BL83">
        <v>9.5</v>
      </c>
      <c r="BM83">
        <v>5.5</v>
      </c>
      <c r="BN83">
        <v>3</v>
      </c>
      <c r="BO83">
        <v>6.5</v>
      </c>
    </row>
    <row r="84" spans="1:67" x14ac:dyDescent="0.25">
      <c r="A84">
        <v>2</v>
      </c>
      <c r="B84" t="s">
        <v>384</v>
      </c>
      <c r="C84" t="s">
        <v>386</v>
      </c>
      <c r="D84">
        <v>16583</v>
      </c>
      <c r="E84" t="s">
        <v>21</v>
      </c>
      <c r="F84" t="s">
        <v>12</v>
      </c>
      <c r="G84" s="2">
        <v>35</v>
      </c>
      <c r="H84" s="3">
        <v>34.5</v>
      </c>
      <c r="I84" s="4">
        <f t="shared" si="21"/>
        <v>9</v>
      </c>
      <c r="J84">
        <f t="shared" si="16"/>
        <v>9</v>
      </c>
      <c r="K84" s="2">
        <v>62.5</v>
      </c>
      <c r="L84">
        <f t="shared" si="22"/>
        <v>81</v>
      </c>
      <c r="M84" s="2">
        <v>34</v>
      </c>
      <c r="N84" s="3">
        <v>37</v>
      </c>
      <c r="O84" s="4">
        <f t="shared" si="23"/>
        <v>9</v>
      </c>
      <c r="P84">
        <f t="shared" si="17"/>
        <v>10</v>
      </c>
      <c r="Q84" s="2">
        <v>71</v>
      </c>
      <c r="R84">
        <f t="shared" si="24"/>
        <v>90</v>
      </c>
      <c r="S84" s="2">
        <v>34</v>
      </c>
      <c r="T84" s="3">
        <v>37.5</v>
      </c>
      <c r="U84" s="4">
        <f t="shared" si="25"/>
        <v>9</v>
      </c>
      <c r="V84">
        <f t="shared" si="18"/>
        <v>9.5</v>
      </c>
      <c r="W84" s="2">
        <v>77</v>
      </c>
      <c r="X84">
        <f t="shared" si="26"/>
        <v>96</v>
      </c>
      <c r="Y84" s="2">
        <v>33</v>
      </c>
      <c r="Z84" s="3">
        <v>39.5</v>
      </c>
      <c r="AA84" s="4">
        <f t="shared" si="27"/>
        <v>9.5</v>
      </c>
      <c r="AB84">
        <f t="shared" si="19"/>
        <v>9.5</v>
      </c>
      <c r="AC84" s="2">
        <v>68</v>
      </c>
      <c r="AD84">
        <f t="shared" si="28"/>
        <v>87</v>
      </c>
      <c r="AE84" s="2">
        <v>39</v>
      </c>
      <c r="AF84" s="3">
        <v>36.5</v>
      </c>
      <c r="AG84" s="4">
        <f t="shared" si="29"/>
        <v>9.5</v>
      </c>
      <c r="AH84">
        <f t="shared" si="20"/>
        <v>9</v>
      </c>
      <c r="AI84" s="2">
        <v>70</v>
      </c>
      <c r="AJ84">
        <f t="shared" si="30"/>
        <v>89</v>
      </c>
      <c r="AK84" s="2">
        <v>21</v>
      </c>
      <c r="AL84" s="3">
        <v>21.5</v>
      </c>
      <c r="AM84" s="4">
        <v>24</v>
      </c>
      <c r="AN84" s="2">
        <v>6</v>
      </c>
      <c r="AO84" s="3">
        <v>15</v>
      </c>
      <c r="AP84" s="4">
        <v>35.5</v>
      </c>
      <c r="AQ84">
        <v>8</v>
      </c>
      <c r="AR84">
        <v>8</v>
      </c>
      <c r="AS84">
        <v>10</v>
      </c>
      <c r="AT84">
        <v>8</v>
      </c>
      <c r="AU84">
        <f t="shared" si="31"/>
        <v>4</v>
      </c>
      <c r="AV84" t="s">
        <v>230</v>
      </c>
      <c r="AW84" t="s">
        <v>231</v>
      </c>
      <c r="AX84" t="s">
        <v>232</v>
      </c>
      <c r="AY84" t="s">
        <v>251</v>
      </c>
      <c r="AZ84" t="s">
        <v>300</v>
      </c>
      <c r="BA84" t="s">
        <v>301</v>
      </c>
      <c r="BB84" t="s">
        <v>239</v>
      </c>
      <c r="BC84" t="s">
        <v>218</v>
      </c>
      <c r="BD84" t="s">
        <v>220</v>
      </c>
      <c r="BE84">
        <v>10</v>
      </c>
      <c r="BF84">
        <v>10</v>
      </c>
      <c r="BG84">
        <v>9.5</v>
      </c>
      <c r="BH84">
        <v>8.5</v>
      </c>
      <c r="BI84">
        <v>9.5</v>
      </c>
      <c r="BJ84" t="s">
        <v>222</v>
      </c>
      <c r="BK84">
        <v>8</v>
      </c>
      <c r="BL84">
        <v>9.5</v>
      </c>
      <c r="BM84">
        <v>9</v>
      </c>
      <c r="BN84">
        <v>9</v>
      </c>
      <c r="BO84">
        <v>9</v>
      </c>
    </row>
    <row r="85" spans="1:67" x14ac:dyDescent="0.25">
      <c r="A85">
        <v>3</v>
      </c>
      <c r="B85" t="s">
        <v>384</v>
      </c>
      <c r="C85" t="s">
        <v>386</v>
      </c>
      <c r="D85">
        <v>16584</v>
      </c>
      <c r="E85" t="s">
        <v>26</v>
      </c>
      <c r="F85" t="s">
        <v>12</v>
      </c>
      <c r="G85" s="2">
        <v>30.5</v>
      </c>
      <c r="H85" s="3">
        <v>26</v>
      </c>
      <c r="I85" s="4">
        <f t="shared" si="21"/>
        <v>7.5</v>
      </c>
      <c r="J85">
        <f t="shared" si="16"/>
        <v>8.5</v>
      </c>
      <c r="K85" s="2">
        <v>49</v>
      </c>
      <c r="L85">
        <f t="shared" si="22"/>
        <v>65</v>
      </c>
      <c r="M85" s="2">
        <v>27.5</v>
      </c>
      <c r="N85" s="3">
        <v>34.5</v>
      </c>
      <c r="O85" s="4">
        <f t="shared" si="23"/>
        <v>8</v>
      </c>
      <c r="P85">
        <f t="shared" si="17"/>
        <v>9.5</v>
      </c>
      <c r="Q85" s="2">
        <v>58.5</v>
      </c>
      <c r="R85">
        <f t="shared" si="24"/>
        <v>76</v>
      </c>
      <c r="S85" s="2">
        <v>28.5</v>
      </c>
      <c r="T85" s="3">
        <v>27</v>
      </c>
      <c r="U85" s="4">
        <f t="shared" si="25"/>
        <v>7</v>
      </c>
      <c r="V85">
        <f t="shared" si="18"/>
        <v>8</v>
      </c>
      <c r="W85" s="2">
        <v>56</v>
      </c>
      <c r="X85">
        <f t="shared" si="26"/>
        <v>71</v>
      </c>
      <c r="Y85" s="2">
        <v>28</v>
      </c>
      <c r="Z85" s="3">
        <v>36.5</v>
      </c>
      <c r="AA85" s="4">
        <f t="shared" si="27"/>
        <v>8.5</v>
      </c>
      <c r="AB85">
        <f t="shared" si="19"/>
        <v>7.5</v>
      </c>
      <c r="AC85" s="2">
        <v>55.5</v>
      </c>
      <c r="AD85">
        <f t="shared" si="28"/>
        <v>72</v>
      </c>
      <c r="AE85" s="2">
        <v>28</v>
      </c>
      <c r="AF85" s="3">
        <v>26.5</v>
      </c>
      <c r="AG85" s="4">
        <f t="shared" si="29"/>
        <v>7</v>
      </c>
      <c r="AH85">
        <f t="shared" si="20"/>
        <v>8.5</v>
      </c>
      <c r="AI85" s="2">
        <v>72.5</v>
      </c>
      <c r="AJ85">
        <f t="shared" si="30"/>
        <v>88</v>
      </c>
      <c r="AK85" s="2">
        <v>20</v>
      </c>
      <c r="AL85" s="3">
        <v>17</v>
      </c>
      <c r="AM85" s="4">
        <v>19.5</v>
      </c>
      <c r="AN85" s="2">
        <v>6</v>
      </c>
      <c r="AO85" s="3">
        <v>19.5</v>
      </c>
      <c r="AP85" s="4">
        <v>30.5</v>
      </c>
      <c r="AQ85">
        <v>8</v>
      </c>
      <c r="AR85">
        <v>7</v>
      </c>
      <c r="AS85">
        <v>10</v>
      </c>
      <c r="AT85">
        <v>6.5</v>
      </c>
      <c r="AU85">
        <f t="shared" si="31"/>
        <v>3.5</v>
      </c>
      <c r="AV85" t="s">
        <v>230</v>
      </c>
      <c r="AW85" t="s">
        <v>231</v>
      </c>
      <c r="AX85" t="s">
        <v>232</v>
      </c>
      <c r="AY85" t="s">
        <v>251</v>
      </c>
      <c r="AZ85" t="s">
        <v>300</v>
      </c>
      <c r="BA85" t="s">
        <v>235</v>
      </c>
      <c r="BB85" t="s">
        <v>239</v>
      </c>
      <c r="BC85" t="s">
        <v>218</v>
      </c>
      <c r="BD85" t="s">
        <v>220</v>
      </c>
      <c r="BE85">
        <v>9</v>
      </c>
      <c r="BF85">
        <v>10</v>
      </c>
      <c r="BG85">
        <v>8</v>
      </c>
      <c r="BH85">
        <v>8.5</v>
      </c>
      <c r="BI85">
        <v>8</v>
      </c>
      <c r="BJ85" t="s">
        <v>222</v>
      </c>
      <c r="BK85">
        <v>7.5</v>
      </c>
      <c r="BL85">
        <v>9</v>
      </c>
      <c r="BM85">
        <v>7</v>
      </c>
      <c r="BN85">
        <v>8</v>
      </c>
      <c r="BO85">
        <v>7.5</v>
      </c>
    </row>
    <row r="86" spans="1:67" x14ac:dyDescent="0.25">
      <c r="A86">
        <v>4</v>
      </c>
      <c r="B86" t="s">
        <v>384</v>
      </c>
      <c r="C86" t="s">
        <v>386</v>
      </c>
      <c r="D86">
        <v>16148</v>
      </c>
      <c r="E86" t="s">
        <v>31</v>
      </c>
      <c r="F86" t="s">
        <v>12</v>
      </c>
      <c r="G86" s="2">
        <v>30</v>
      </c>
      <c r="H86" s="3">
        <v>25</v>
      </c>
      <c r="I86" s="4">
        <f t="shared" si="21"/>
        <v>7</v>
      </c>
      <c r="J86">
        <f t="shared" si="16"/>
        <v>3.5</v>
      </c>
      <c r="K86" s="2">
        <v>54.5</v>
      </c>
      <c r="L86">
        <f t="shared" si="22"/>
        <v>65</v>
      </c>
      <c r="M86" s="2">
        <v>35.5</v>
      </c>
      <c r="N86" s="3">
        <v>34.5</v>
      </c>
      <c r="O86" s="4">
        <f t="shared" si="23"/>
        <v>9</v>
      </c>
      <c r="P86">
        <f t="shared" si="17"/>
        <v>5</v>
      </c>
      <c r="Q86" s="2">
        <v>68.5</v>
      </c>
      <c r="R86">
        <f t="shared" si="24"/>
        <v>83</v>
      </c>
      <c r="S86" s="2" t="s">
        <v>32</v>
      </c>
      <c r="T86" s="3">
        <v>28</v>
      </c>
      <c r="U86" s="4">
        <f t="shared" si="25"/>
        <v>3.5</v>
      </c>
      <c r="V86">
        <f t="shared" si="18"/>
        <v>3.5</v>
      </c>
      <c r="W86" s="2">
        <v>56.5</v>
      </c>
      <c r="X86">
        <f t="shared" si="26"/>
        <v>64</v>
      </c>
      <c r="Y86" s="2" t="s">
        <v>32</v>
      </c>
      <c r="Z86" s="3">
        <v>27.5</v>
      </c>
      <c r="AA86" s="4">
        <f t="shared" si="27"/>
        <v>3.5</v>
      </c>
      <c r="AB86">
        <f t="shared" si="19"/>
        <v>4</v>
      </c>
      <c r="AC86" s="2">
        <v>54</v>
      </c>
      <c r="AD86">
        <f t="shared" si="28"/>
        <v>62</v>
      </c>
      <c r="AE86" s="2">
        <v>33.5</v>
      </c>
      <c r="AF86" s="3">
        <v>30</v>
      </c>
      <c r="AG86" s="4">
        <f t="shared" si="29"/>
        <v>8</v>
      </c>
      <c r="AH86">
        <f t="shared" si="20"/>
        <v>4</v>
      </c>
      <c r="AI86" s="2">
        <v>54</v>
      </c>
      <c r="AJ86">
        <f t="shared" si="30"/>
        <v>66</v>
      </c>
      <c r="AK86" s="2">
        <v>21.5</v>
      </c>
      <c r="AL86" s="3" t="s">
        <v>32</v>
      </c>
      <c r="AM86" s="4">
        <v>17.5</v>
      </c>
      <c r="AN86" s="2">
        <v>6</v>
      </c>
      <c r="AO86" s="3">
        <v>20</v>
      </c>
      <c r="AP86" s="4">
        <v>29.5</v>
      </c>
      <c r="AQ86">
        <v>9</v>
      </c>
      <c r="AR86">
        <v>8</v>
      </c>
      <c r="AS86">
        <v>10</v>
      </c>
      <c r="AT86">
        <v>3</v>
      </c>
      <c r="AU86">
        <f t="shared" si="31"/>
        <v>1.5</v>
      </c>
      <c r="AV86" t="s">
        <v>230</v>
      </c>
      <c r="AW86" t="s">
        <v>231</v>
      </c>
      <c r="AX86" t="s">
        <v>232</v>
      </c>
      <c r="AY86" t="s">
        <v>284</v>
      </c>
      <c r="AZ86" t="s">
        <v>302</v>
      </c>
      <c r="BA86" t="s">
        <v>235</v>
      </c>
      <c r="BB86" t="s">
        <v>239</v>
      </c>
      <c r="BC86" t="s">
        <v>218</v>
      </c>
      <c r="BD86" t="s">
        <v>220</v>
      </c>
      <c r="BE86" t="s">
        <v>14</v>
      </c>
      <c r="BF86" t="s">
        <v>14</v>
      </c>
      <c r="BG86" t="s">
        <v>32</v>
      </c>
      <c r="BH86" t="s">
        <v>14</v>
      </c>
      <c r="BI86" t="s">
        <v>32</v>
      </c>
      <c r="BJ86" t="s">
        <v>222</v>
      </c>
      <c r="BK86">
        <v>8</v>
      </c>
      <c r="BL86">
        <v>10</v>
      </c>
      <c r="BM86">
        <v>7.5</v>
      </c>
      <c r="BN86">
        <v>7</v>
      </c>
      <c r="BO86">
        <v>7</v>
      </c>
    </row>
    <row r="87" spans="1:67" x14ac:dyDescent="0.25">
      <c r="A87">
        <v>5</v>
      </c>
      <c r="B87" t="s">
        <v>384</v>
      </c>
      <c r="C87" t="s">
        <v>386</v>
      </c>
      <c r="D87">
        <v>16598</v>
      </c>
      <c r="E87" t="s">
        <v>37</v>
      </c>
      <c r="F87" t="s">
        <v>12</v>
      </c>
      <c r="G87" s="2">
        <v>13.5</v>
      </c>
      <c r="H87" s="3">
        <v>9</v>
      </c>
      <c r="I87" s="4">
        <f t="shared" si="21"/>
        <v>3</v>
      </c>
      <c r="J87">
        <f t="shared" si="16"/>
        <v>6.5</v>
      </c>
      <c r="K87" s="2">
        <v>17</v>
      </c>
      <c r="L87">
        <f t="shared" si="22"/>
        <v>27</v>
      </c>
      <c r="M87" s="2">
        <v>16</v>
      </c>
      <c r="N87" s="3">
        <v>18</v>
      </c>
      <c r="O87" s="4">
        <f t="shared" si="23"/>
        <v>4.5</v>
      </c>
      <c r="P87">
        <f t="shared" si="17"/>
        <v>6</v>
      </c>
      <c r="Q87" s="2">
        <v>22.5</v>
      </c>
      <c r="R87">
        <f t="shared" si="24"/>
        <v>33</v>
      </c>
      <c r="S87" s="2">
        <v>10</v>
      </c>
      <c r="T87" s="3">
        <v>5.5</v>
      </c>
      <c r="U87" s="4">
        <f t="shared" si="25"/>
        <v>2</v>
      </c>
      <c r="V87">
        <f t="shared" si="18"/>
        <v>2.5</v>
      </c>
      <c r="W87" s="2">
        <v>26.5</v>
      </c>
      <c r="X87">
        <f t="shared" si="26"/>
        <v>31</v>
      </c>
      <c r="Y87" s="2">
        <v>11.5</v>
      </c>
      <c r="Z87" s="3">
        <v>18.5</v>
      </c>
      <c r="AA87" s="4">
        <f t="shared" si="27"/>
        <v>4</v>
      </c>
      <c r="AB87">
        <f t="shared" si="19"/>
        <v>6</v>
      </c>
      <c r="AC87" s="2">
        <v>26</v>
      </c>
      <c r="AD87">
        <f t="shared" si="28"/>
        <v>36</v>
      </c>
      <c r="AE87" s="2">
        <v>6</v>
      </c>
      <c r="AF87" s="3">
        <v>11.5</v>
      </c>
      <c r="AG87" s="4">
        <f t="shared" si="29"/>
        <v>2.5</v>
      </c>
      <c r="AH87">
        <f t="shared" si="20"/>
        <v>4</v>
      </c>
      <c r="AI87" s="2">
        <v>12</v>
      </c>
      <c r="AJ87">
        <f t="shared" si="30"/>
        <v>19</v>
      </c>
      <c r="AK87" s="2">
        <v>3</v>
      </c>
      <c r="AL87" s="3">
        <v>7</v>
      </c>
      <c r="AM87" s="4">
        <v>7.5</v>
      </c>
      <c r="AN87" s="2">
        <v>3</v>
      </c>
      <c r="AO87" s="3">
        <v>14</v>
      </c>
      <c r="AP87" s="4">
        <v>21</v>
      </c>
      <c r="AQ87">
        <v>8</v>
      </c>
      <c r="AR87">
        <v>2.5</v>
      </c>
      <c r="AS87">
        <v>10</v>
      </c>
      <c r="AT87">
        <v>1</v>
      </c>
      <c r="AU87">
        <f t="shared" si="31"/>
        <v>0.5</v>
      </c>
      <c r="AV87" t="s">
        <v>230</v>
      </c>
      <c r="AW87" t="s">
        <v>231</v>
      </c>
      <c r="AX87" t="s">
        <v>232</v>
      </c>
      <c r="AY87" t="s">
        <v>253</v>
      </c>
      <c r="BA87" t="s">
        <v>235</v>
      </c>
      <c r="BB87" t="s">
        <v>239</v>
      </c>
      <c r="BC87" t="s">
        <v>218</v>
      </c>
      <c r="BD87" t="s">
        <v>220</v>
      </c>
      <c r="BE87">
        <v>4</v>
      </c>
      <c r="BF87">
        <v>8</v>
      </c>
      <c r="BG87">
        <v>6</v>
      </c>
      <c r="BH87">
        <v>7.5</v>
      </c>
      <c r="BI87">
        <v>1</v>
      </c>
      <c r="BJ87" t="s">
        <v>222</v>
      </c>
      <c r="BK87">
        <v>4</v>
      </c>
      <c r="BL87">
        <v>4</v>
      </c>
      <c r="BM87">
        <v>6</v>
      </c>
      <c r="BN87">
        <v>5</v>
      </c>
      <c r="BO87">
        <v>3.5</v>
      </c>
    </row>
    <row r="88" spans="1:67" x14ac:dyDescent="0.25">
      <c r="A88">
        <v>6</v>
      </c>
      <c r="B88" t="s">
        <v>384</v>
      </c>
      <c r="C88" t="s">
        <v>386</v>
      </c>
      <c r="D88">
        <v>16356</v>
      </c>
      <c r="E88" t="s">
        <v>42</v>
      </c>
      <c r="F88" t="s">
        <v>12</v>
      </c>
      <c r="G88" s="2">
        <v>30.5</v>
      </c>
      <c r="H88" s="3">
        <v>25</v>
      </c>
      <c r="I88" s="4">
        <f t="shared" si="21"/>
        <v>7</v>
      </c>
      <c r="J88">
        <f t="shared" si="16"/>
        <v>7</v>
      </c>
      <c r="K88" s="2">
        <v>53.5</v>
      </c>
      <c r="L88">
        <f t="shared" si="22"/>
        <v>68</v>
      </c>
      <c r="M88" s="2">
        <v>29.5</v>
      </c>
      <c r="N88" s="3">
        <v>38</v>
      </c>
      <c r="O88" s="4">
        <f t="shared" si="23"/>
        <v>8.5</v>
      </c>
      <c r="P88">
        <f t="shared" si="17"/>
        <v>9</v>
      </c>
      <c r="Q88" s="2">
        <v>62.5</v>
      </c>
      <c r="R88">
        <f t="shared" si="24"/>
        <v>80</v>
      </c>
      <c r="S88" s="2">
        <v>27.5</v>
      </c>
      <c r="T88" s="3">
        <v>33.5</v>
      </c>
      <c r="U88" s="4">
        <f t="shared" si="25"/>
        <v>8</v>
      </c>
      <c r="V88">
        <f t="shared" si="18"/>
        <v>3</v>
      </c>
      <c r="W88" s="2">
        <v>46.5</v>
      </c>
      <c r="X88">
        <f t="shared" si="26"/>
        <v>58</v>
      </c>
      <c r="Y88" s="2">
        <v>23.5</v>
      </c>
      <c r="Z88" s="3">
        <v>32</v>
      </c>
      <c r="AA88" s="4">
        <f t="shared" si="27"/>
        <v>7</v>
      </c>
      <c r="AB88">
        <f t="shared" si="19"/>
        <v>9</v>
      </c>
      <c r="AC88" s="2">
        <v>52.5</v>
      </c>
      <c r="AD88">
        <f t="shared" si="28"/>
        <v>69</v>
      </c>
      <c r="AE88" s="2">
        <v>31</v>
      </c>
      <c r="AF88" s="3">
        <v>32.5</v>
      </c>
      <c r="AG88" s="4">
        <f t="shared" si="29"/>
        <v>8</v>
      </c>
      <c r="AH88">
        <f t="shared" si="20"/>
        <v>6.5</v>
      </c>
      <c r="AI88" s="2">
        <v>40</v>
      </c>
      <c r="AJ88">
        <f t="shared" si="30"/>
        <v>55</v>
      </c>
      <c r="AK88" s="2">
        <v>18.5</v>
      </c>
      <c r="AL88" s="3">
        <v>18</v>
      </c>
      <c r="AM88" s="4">
        <v>20</v>
      </c>
      <c r="AN88" s="2">
        <v>3</v>
      </c>
      <c r="AO88" s="3">
        <v>20</v>
      </c>
      <c r="AP88" s="4">
        <v>31.5</v>
      </c>
      <c r="AQ88">
        <v>8</v>
      </c>
      <c r="AR88">
        <v>8</v>
      </c>
      <c r="AS88">
        <v>10</v>
      </c>
      <c r="AT88">
        <v>6</v>
      </c>
      <c r="AU88">
        <f t="shared" si="31"/>
        <v>3</v>
      </c>
      <c r="AV88" t="s">
        <v>230</v>
      </c>
      <c r="AW88" t="s">
        <v>231</v>
      </c>
      <c r="AX88" t="s">
        <v>232</v>
      </c>
      <c r="AY88" t="s">
        <v>242</v>
      </c>
      <c r="BA88" t="s">
        <v>235</v>
      </c>
      <c r="BB88" t="s">
        <v>239</v>
      </c>
      <c r="BC88" t="s">
        <v>218</v>
      </c>
      <c r="BD88" t="s">
        <v>220</v>
      </c>
      <c r="BE88">
        <v>7</v>
      </c>
      <c r="BF88">
        <v>10</v>
      </c>
      <c r="BG88">
        <v>10</v>
      </c>
      <c r="BH88">
        <v>7</v>
      </c>
      <c r="BI88">
        <v>6</v>
      </c>
      <c r="BJ88" t="s">
        <v>222</v>
      </c>
      <c r="BK88">
        <v>6</v>
      </c>
      <c r="BL88">
        <v>7.5</v>
      </c>
      <c r="BM88">
        <v>8</v>
      </c>
      <c r="BN88">
        <v>6.5</v>
      </c>
      <c r="BO88" t="s">
        <v>32</v>
      </c>
    </row>
    <row r="89" spans="1:67" x14ac:dyDescent="0.25">
      <c r="A89">
        <v>7</v>
      </c>
      <c r="B89" t="s">
        <v>384</v>
      </c>
      <c r="C89" t="s">
        <v>386</v>
      </c>
      <c r="D89">
        <v>16162</v>
      </c>
      <c r="E89" t="s">
        <v>47</v>
      </c>
      <c r="F89" t="s">
        <v>12</v>
      </c>
      <c r="G89" s="2">
        <v>10</v>
      </c>
      <c r="H89" s="3">
        <v>9.5</v>
      </c>
      <c r="I89" s="4">
        <f t="shared" si="21"/>
        <v>2.5</v>
      </c>
      <c r="J89">
        <f t="shared" si="16"/>
        <v>3.5</v>
      </c>
      <c r="K89" s="2">
        <v>19.5</v>
      </c>
      <c r="L89">
        <f t="shared" si="22"/>
        <v>26</v>
      </c>
      <c r="M89" s="2">
        <v>23.5</v>
      </c>
      <c r="N89" s="3">
        <v>13.5</v>
      </c>
      <c r="O89" s="4">
        <f t="shared" si="23"/>
        <v>5</v>
      </c>
      <c r="P89">
        <f t="shared" si="17"/>
        <v>9</v>
      </c>
      <c r="Q89" s="2">
        <v>33</v>
      </c>
      <c r="R89">
        <f t="shared" si="24"/>
        <v>47</v>
      </c>
      <c r="S89" s="2">
        <v>8.5</v>
      </c>
      <c r="T89" s="3">
        <v>5</v>
      </c>
      <c r="U89" s="4">
        <f t="shared" si="25"/>
        <v>2</v>
      </c>
      <c r="V89">
        <f t="shared" si="18"/>
        <v>3.5</v>
      </c>
      <c r="W89" s="2">
        <v>31</v>
      </c>
      <c r="X89">
        <f t="shared" si="26"/>
        <v>37</v>
      </c>
      <c r="Y89" s="2">
        <v>12</v>
      </c>
      <c r="Z89" s="3">
        <v>19.5</v>
      </c>
      <c r="AA89" s="4">
        <f t="shared" si="27"/>
        <v>4</v>
      </c>
      <c r="AB89">
        <f t="shared" si="19"/>
        <v>7.5</v>
      </c>
      <c r="AC89" s="2">
        <v>23.5</v>
      </c>
      <c r="AD89">
        <f t="shared" si="28"/>
        <v>35</v>
      </c>
      <c r="AE89" s="2">
        <v>7</v>
      </c>
      <c r="AF89" s="3">
        <v>10</v>
      </c>
      <c r="AG89" s="4">
        <f t="shared" si="29"/>
        <v>2.5</v>
      </c>
      <c r="AH89">
        <f t="shared" si="20"/>
        <v>5</v>
      </c>
      <c r="AI89" s="2">
        <v>12</v>
      </c>
      <c r="AJ89">
        <f t="shared" si="30"/>
        <v>20</v>
      </c>
      <c r="AK89" s="2">
        <v>6</v>
      </c>
      <c r="AL89" s="3">
        <v>5</v>
      </c>
      <c r="AM89" s="4">
        <v>8</v>
      </c>
      <c r="AN89" s="2">
        <v>4</v>
      </c>
      <c r="AO89" s="3">
        <v>12</v>
      </c>
      <c r="AP89" s="4">
        <v>17</v>
      </c>
      <c r="AQ89">
        <v>8</v>
      </c>
      <c r="AR89">
        <v>6</v>
      </c>
      <c r="AS89">
        <v>9.5</v>
      </c>
      <c r="AT89">
        <v>2</v>
      </c>
      <c r="AU89">
        <f t="shared" si="31"/>
        <v>1</v>
      </c>
      <c r="AV89" t="s">
        <v>230</v>
      </c>
      <c r="AW89" t="s">
        <v>231</v>
      </c>
      <c r="AX89" t="s">
        <v>232</v>
      </c>
      <c r="AY89" t="s">
        <v>242</v>
      </c>
      <c r="BA89" t="s">
        <v>235</v>
      </c>
      <c r="BB89" t="s">
        <v>239</v>
      </c>
      <c r="BC89" t="s">
        <v>218</v>
      </c>
      <c r="BD89" t="s">
        <v>220</v>
      </c>
      <c r="BE89">
        <v>5.5</v>
      </c>
      <c r="BF89">
        <v>9</v>
      </c>
      <c r="BG89">
        <v>8</v>
      </c>
      <c r="BH89">
        <v>5</v>
      </c>
      <c r="BI89">
        <v>2.5</v>
      </c>
      <c r="BJ89" t="s">
        <v>222</v>
      </c>
      <c r="BK89">
        <v>4.5</v>
      </c>
      <c r="BL89">
        <v>8.5</v>
      </c>
      <c r="BM89">
        <v>7</v>
      </c>
      <c r="BN89">
        <v>1.5</v>
      </c>
      <c r="BO89">
        <v>4</v>
      </c>
    </row>
    <row r="90" spans="1:67" x14ac:dyDescent="0.25">
      <c r="A90">
        <v>8</v>
      </c>
      <c r="B90" t="s">
        <v>384</v>
      </c>
      <c r="C90" t="s">
        <v>386</v>
      </c>
      <c r="D90">
        <v>17209</v>
      </c>
      <c r="E90" t="s">
        <v>52</v>
      </c>
      <c r="F90" t="s">
        <v>12</v>
      </c>
      <c r="G90" s="2">
        <v>15</v>
      </c>
      <c r="H90" s="3">
        <v>10.5</v>
      </c>
      <c r="I90" s="4">
        <f t="shared" si="21"/>
        <v>3.5</v>
      </c>
      <c r="J90">
        <f t="shared" si="16"/>
        <v>3.5</v>
      </c>
      <c r="K90" s="2">
        <v>31.5</v>
      </c>
      <c r="L90">
        <f t="shared" si="22"/>
        <v>39</v>
      </c>
      <c r="M90" s="2" t="s">
        <v>14</v>
      </c>
      <c r="N90" s="3">
        <v>26.5</v>
      </c>
      <c r="O90" s="4">
        <f t="shared" si="23"/>
        <v>3.5</v>
      </c>
      <c r="P90">
        <f t="shared" si="17"/>
        <v>9</v>
      </c>
      <c r="Q90" s="2">
        <v>38.5</v>
      </c>
      <c r="R90">
        <f t="shared" si="24"/>
        <v>51</v>
      </c>
      <c r="S90" s="2" t="s">
        <v>32</v>
      </c>
      <c r="T90" s="3">
        <v>8</v>
      </c>
      <c r="U90" s="4">
        <f t="shared" si="25"/>
        <v>1</v>
      </c>
      <c r="V90">
        <f t="shared" si="18"/>
        <v>3</v>
      </c>
      <c r="W90" s="2">
        <v>32</v>
      </c>
      <c r="X90">
        <f t="shared" si="26"/>
        <v>36</v>
      </c>
      <c r="Y90" s="2">
        <v>18</v>
      </c>
      <c r="Z90" s="3">
        <v>14</v>
      </c>
      <c r="AA90" s="4">
        <f t="shared" si="27"/>
        <v>4</v>
      </c>
      <c r="AB90">
        <f t="shared" si="19"/>
        <v>5.5</v>
      </c>
      <c r="AC90" s="2">
        <v>39.5</v>
      </c>
      <c r="AD90">
        <f t="shared" si="28"/>
        <v>49</v>
      </c>
      <c r="AE90" s="2">
        <v>12.5</v>
      </c>
      <c r="AF90" s="3">
        <v>11</v>
      </c>
      <c r="AG90" s="4">
        <f t="shared" si="29"/>
        <v>3</v>
      </c>
      <c r="AH90">
        <f t="shared" si="20"/>
        <v>6</v>
      </c>
      <c r="AI90" s="2">
        <v>22.5</v>
      </c>
      <c r="AJ90">
        <f t="shared" si="30"/>
        <v>32</v>
      </c>
      <c r="AK90" s="2">
        <v>15.5</v>
      </c>
      <c r="AL90" s="3">
        <v>15.5</v>
      </c>
      <c r="AM90" s="4">
        <v>15.5</v>
      </c>
      <c r="AN90" s="2">
        <v>6</v>
      </c>
      <c r="AO90" s="3">
        <v>14</v>
      </c>
      <c r="AP90" s="4">
        <v>19.5</v>
      </c>
      <c r="AQ90">
        <v>8</v>
      </c>
      <c r="AR90">
        <v>6</v>
      </c>
      <c r="AS90">
        <v>10</v>
      </c>
      <c r="AT90">
        <v>5</v>
      </c>
      <c r="AU90">
        <f t="shared" si="31"/>
        <v>2.5</v>
      </c>
      <c r="AV90" t="s">
        <v>230</v>
      </c>
      <c r="AW90" t="s">
        <v>231</v>
      </c>
      <c r="AX90" t="s">
        <v>232</v>
      </c>
      <c r="AY90" t="s">
        <v>253</v>
      </c>
      <c r="BA90" t="s">
        <v>235</v>
      </c>
      <c r="BB90" t="s">
        <v>239</v>
      </c>
      <c r="BC90" t="s">
        <v>218</v>
      </c>
      <c r="BD90" t="s">
        <v>220</v>
      </c>
      <c r="BE90">
        <v>5</v>
      </c>
      <c r="BF90">
        <v>10</v>
      </c>
      <c r="BG90">
        <v>6.5</v>
      </c>
      <c r="BH90">
        <v>4</v>
      </c>
      <c r="BI90">
        <v>2.5</v>
      </c>
      <c r="BJ90" t="s">
        <v>222</v>
      </c>
      <c r="BK90">
        <v>7</v>
      </c>
      <c r="BL90">
        <v>7.5</v>
      </c>
      <c r="BM90">
        <v>4</v>
      </c>
      <c r="BN90">
        <v>3</v>
      </c>
      <c r="BO90">
        <v>3</v>
      </c>
    </row>
    <row r="91" spans="1:67" x14ac:dyDescent="0.25">
      <c r="A91">
        <v>9</v>
      </c>
      <c r="B91" t="s">
        <v>384</v>
      </c>
      <c r="C91" t="s">
        <v>386</v>
      </c>
      <c r="D91">
        <v>17707</v>
      </c>
      <c r="E91" t="s">
        <v>57</v>
      </c>
      <c r="F91" t="s">
        <v>12</v>
      </c>
      <c r="G91" s="2">
        <v>29.5</v>
      </c>
      <c r="H91" s="3">
        <v>34.5</v>
      </c>
      <c r="I91" s="4">
        <f t="shared" si="21"/>
        <v>8</v>
      </c>
      <c r="J91">
        <f t="shared" si="16"/>
        <v>9.5</v>
      </c>
      <c r="K91" s="2">
        <v>70</v>
      </c>
      <c r="L91">
        <f t="shared" si="22"/>
        <v>88</v>
      </c>
      <c r="M91" s="2">
        <v>38.5</v>
      </c>
      <c r="N91" s="3">
        <v>39.5</v>
      </c>
      <c r="O91" s="4">
        <f t="shared" si="23"/>
        <v>10</v>
      </c>
      <c r="P91">
        <f t="shared" si="17"/>
        <v>9.5</v>
      </c>
      <c r="Q91" s="2">
        <v>74.5</v>
      </c>
      <c r="R91">
        <f t="shared" si="24"/>
        <v>94</v>
      </c>
      <c r="S91" s="2">
        <v>32</v>
      </c>
      <c r="T91" s="3">
        <v>36.5</v>
      </c>
      <c r="U91" s="4">
        <f t="shared" si="25"/>
        <v>9</v>
      </c>
      <c r="V91">
        <f t="shared" si="18"/>
        <v>7.5</v>
      </c>
      <c r="W91" s="2">
        <v>64</v>
      </c>
      <c r="X91">
        <f t="shared" si="26"/>
        <v>81</v>
      </c>
      <c r="Y91" s="2">
        <v>38.5</v>
      </c>
      <c r="Z91" s="3">
        <v>39.5</v>
      </c>
      <c r="AA91" s="4">
        <f t="shared" si="27"/>
        <v>10</v>
      </c>
      <c r="AB91">
        <f t="shared" si="19"/>
        <v>9.5</v>
      </c>
      <c r="AC91" s="2">
        <v>72.5</v>
      </c>
      <c r="AD91">
        <f t="shared" si="28"/>
        <v>92</v>
      </c>
      <c r="AE91" s="2">
        <v>40</v>
      </c>
      <c r="AF91" s="3">
        <v>39.5</v>
      </c>
      <c r="AG91" s="4">
        <f t="shared" si="29"/>
        <v>10</v>
      </c>
      <c r="AH91">
        <f t="shared" si="20"/>
        <v>10</v>
      </c>
      <c r="AI91" s="2">
        <v>73</v>
      </c>
      <c r="AJ91">
        <f t="shared" si="30"/>
        <v>93</v>
      </c>
      <c r="AK91" s="2">
        <v>21.5</v>
      </c>
      <c r="AL91" s="3">
        <v>21.5</v>
      </c>
      <c r="AM91" s="4">
        <v>23</v>
      </c>
      <c r="AN91" s="2">
        <v>6</v>
      </c>
      <c r="AO91" s="3">
        <v>21</v>
      </c>
      <c r="AP91" s="4">
        <v>36</v>
      </c>
      <c r="AQ91">
        <v>8</v>
      </c>
      <c r="AR91">
        <v>8.5</v>
      </c>
      <c r="AS91">
        <v>10</v>
      </c>
      <c r="AT91">
        <v>8.5</v>
      </c>
      <c r="AU91">
        <f t="shared" si="31"/>
        <v>4.5</v>
      </c>
      <c r="AV91" t="s">
        <v>230</v>
      </c>
      <c r="AW91" t="s">
        <v>231</v>
      </c>
      <c r="AX91" t="s">
        <v>232</v>
      </c>
      <c r="AY91" t="s">
        <v>303</v>
      </c>
      <c r="AZ91" t="s">
        <v>304</v>
      </c>
      <c r="BA91" t="s">
        <v>235</v>
      </c>
      <c r="BB91" t="s">
        <v>239</v>
      </c>
      <c r="BC91" t="s">
        <v>218</v>
      </c>
      <c r="BD91" t="s">
        <v>220</v>
      </c>
      <c r="BE91">
        <v>10</v>
      </c>
      <c r="BF91">
        <v>10</v>
      </c>
      <c r="BG91">
        <v>10</v>
      </c>
      <c r="BH91">
        <v>10</v>
      </c>
      <c r="BI91">
        <v>6.5</v>
      </c>
      <c r="BJ91" t="s">
        <v>222</v>
      </c>
      <c r="BK91">
        <v>10</v>
      </c>
      <c r="BL91">
        <v>9</v>
      </c>
      <c r="BM91">
        <v>8.5</v>
      </c>
      <c r="BN91">
        <v>9</v>
      </c>
      <c r="BO91">
        <v>8</v>
      </c>
    </row>
    <row r="92" spans="1:67" x14ac:dyDescent="0.25">
      <c r="A92">
        <v>10</v>
      </c>
      <c r="B92" t="s">
        <v>384</v>
      </c>
      <c r="C92" t="s">
        <v>386</v>
      </c>
      <c r="D92">
        <v>16159</v>
      </c>
      <c r="E92" t="s">
        <v>62</v>
      </c>
      <c r="F92" t="s">
        <v>12</v>
      </c>
      <c r="G92" s="2">
        <v>23.5</v>
      </c>
      <c r="H92" s="3">
        <v>27</v>
      </c>
      <c r="I92" s="4">
        <f t="shared" si="21"/>
        <v>6.5</v>
      </c>
      <c r="J92">
        <f t="shared" si="16"/>
        <v>7</v>
      </c>
      <c r="K92" s="2">
        <v>48.5</v>
      </c>
      <c r="L92">
        <f t="shared" si="22"/>
        <v>62</v>
      </c>
      <c r="M92" s="2" t="s">
        <v>14</v>
      </c>
      <c r="N92" s="3">
        <v>38</v>
      </c>
      <c r="O92" s="4">
        <f t="shared" si="23"/>
        <v>5</v>
      </c>
      <c r="P92">
        <f t="shared" si="17"/>
        <v>9.5</v>
      </c>
      <c r="Q92" s="2">
        <v>71</v>
      </c>
      <c r="R92">
        <f t="shared" si="24"/>
        <v>86</v>
      </c>
      <c r="S92" s="2">
        <v>36</v>
      </c>
      <c r="T92" s="3">
        <v>37.5</v>
      </c>
      <c r="U92" s="4">
        <f t="shared" si="25"/>
        <v>9.5</v>
      </c>
      <c r="V92">
        <f t="shared" si="18"/>
        <v>7.5</v>
      </c>
      <c r="W92" s="2">
        <v>75.5</v>
      </c>
      <c r="X92">
        <f t="shared" si="26"/>
        <v>93</v>
      </c>
      <c r="Y92" s="2">
        <v>38</v>
      </c>
      <c r="Z92" s="3">
        <v>39</v>
      </c>
      <c r="AA92" s="4">
        <f t="shared" si="27"/>
        <v>10</v>
      </c>
      <c r="AB92">
        <f t="shared" si="19"/>
        <v>9.5</v>
      </c>
      <c r="AC92" s="2">
        <v>72.5</v>
      </c>
      <c r="AD92">
        <f t="shared" si="28"/>
        <v>92</v>
      </c>
      <c r="AE92" s="2">
        <v>36</v>
      </c>
      <c r="AF92" s="3">
        <v>35.5</v>
      </c>
      <c r="AG92" s="4">
        <f t="shared" si="29"/>
        <v>9</v>
      </c>
      <c r="AH92">
        <f t="shared" si="20"/>
        <v>9.5</v>
      </c>
      <c r="AI92" s="2">
        <v>76</v>
      </c>
      <c r="AJ92">
        <f t="shared" si="30"/>
        <v>95</v>
      </c>
      <c r="AK92" s="2">
        <v>23.5</v>
      </c>
      <c r="AL92" s="3">
        <v>20</v>
      </c>
      <c r="AM92" s="4">
        <v>21</v>
      </c>
      <c r="AN92" s="2">
        <v>5</v>
      </c>
      <c r="AO92" s="3">
        <v>14</v>
      </c>
      <c r="AP92" s="4">
        <v>29</v>
      </c>
      <c r="AQ92">
        <v>8</v>
      </c>
      <c r="AR92">
        <v>7.5</v>
      </c>
      <c r="AS92">
        <v>10</v>
      </c>
      <c r="AT92">
        <v>6</v>
      </c>
      <c r="AU92">
        <f t="shared" si="31"/>
        <v>3</v>
      </c>
      <c r="AV92" t="s">
        <v>230</v>
      </c>
      <c r="AW92" t="s">
        <v>231</v>
      </c>
      <c r="AX92" t="s">
        <v>232</v>
      </c>
      <c r="AY92" t="s">
        <v>260</v>
      </c>
      <c r="AZ92" t="s">
        <v>305</v>
      </c>
      <c r="BA92" t="s">
        <v>235</v>
      </c>
      <c r="BB92" t="s">
        <v>239</v>
      </c>
      <c r="BC92" t="s">
        <v>218</v>
      </c>
      <c r="BD92" t="s">
        <v>220</v>
      </c>
      <c r="BE92">
        <v>10</v>
      </c>
      <c r="BF92">
        <v>9.5</v>
      </c>
      <c r="BG92">
        <v>10</v>
      </c>
      <c r="BH92">
        <v>7</v>
      </c>
      <c r="BI92">
        <v>6</v>
      </c>
      <c r="BJ92" t="s">
        <v>222</v>
      </c>
      <c r="BK92">
        <v>8.5</v>
      </c>
      <c r="BL92">
        <v>9.5</v>
      </c>
      <c r="BM92">
        <v>8.5</v>
      </c>
      <c r="BN92">
        <v>6.5</v>
      </c>
      <c r="BO92">
        <v>8.5</v>
      </c>
    </row>
    <row r="93" spans="1:67" x14ac:dyDescent="0.25">
      <c r="A93">
        <v>11</v>
      </c>
      <c r="B93" t="s">
        <v>384</v>
      </c>
      <c r="C93" t="s">
        <v>386</v>
      </c>
      <c r="D93">
        <v>17218</v>
      </c>
      <c r="E93" t="s">
        <v>67</v>
      </c>
      <c r="F93" t="s">
        <v>12</v>
      </c>
      <c r="G93" s="2">
        <v>13.5</v>
      </c>
      <c r="H93" s="3">
        <v>6.5</v>
      </c>
      <c r="I93" s="4">
        <f t="shared" si="21"/>
        <v>2.5</v>
      </c>
      <c r="J93">
        <f t="shared" si="16"/>
        <v>5</v>
      </c>
      <c r="K93" s="2">
        <v>27.5</v>
      </c>
      <c r="L93">
        <f t="shared" si="22"/>
        <v>35</v>
      </c>
      <c r="M93" s="2">
        <v>25</v>
      </c>
      <c r="N93" s="3">
        <v>27.5</v>
      </c>
      <c r="O93" s="4">
        <f t="shared" si="23"/>
        <v>7</v>
      </c>
      <c r="P93">
        <f t="shared" si="17"/>
        <v>9.5</v>
      </c>
      <c r="Q93" s="2">
        <v>40.5</v>
      </c>
      <c r="R93">
        <f t="shared" si="24"/>
        <v>57</v>
      </c>
      <c r="S93" s="2">
        <v>10</v>
      </c>
      <c r="T93" s="3">
        <v>4.5</v>
      </c>
      <c r="U93" s="4">
        <f t="shared" si="25"/>
        <v>2</v>
      </c>
      <c r="V93">
        <f t="shared" si="18"/>
        <v>3</v>
      </c>
      <c r="W93" s="2">
        <v>22.5</v>
      </c>
      <c r="X93">
        <f t="shared" si="26"/>
        <v>28</v>
      </c>
      <c r="Y93" s="2">
        <v>21</v>
      </c>
      <c r="Z93" s="3">
        <v>22</v>
      </c>
      <c r="AA93" s="4">
        <f t="shared" si="27"/>
        <v>5.5</v>
      </c>
      <c r="AB93">
        <f t="shared" si="19"/>
        <v>3.5</v>
      </c>
      <c r="AC93" s="2">
        <v>38.5</v>
      </c>
      <c r="AD93">
        <f t="shared" si="28"/>
        <v>48</v>
      </c>
      <c r="AE93" s="2">
        <v>10.5</v>
      </c>
      <c r="AF93" s="3">
        <v>18</v>
      </c>
      <c r="AG93" s="4">
        <f t="shared" si="29"/>
        <v>4</v>
      </c>
      <c r="AH93">
        <f t="shared" si="20"/>
        <v>5</v>
      </c>
      <c r="AI93" s="2">
        <v>17</v>
      </c>
      <c r="AJ93">
        <f t="shared" si="30"/>
        <v>26</v>
      </c>
      <c r="AK93" s="2">
        <v>19.5</v>
      </c>
      <c r="AL93" s="3">
        <v>15.5</v>
      </c>
      <c r="AM93" s="4">
        <v>17</v>
      </c>
      <c r="AN93" s="2">
        <v>9</v>
      </c>
      <c r="AO93" s="3">
        <v>12</v>
      </c>
      <c r="AP93" s="4">
        <v>20.5</v>
      </c>
      <c r="AQ93">
        <v>8</v>
      </c>
      <c r="AR93">
        <v>6</v>
      </c>
      <c r="AS93">
        <v>10</v>
      </c>
      <c r="AT93">
        <v>6</v>
      </c>
      <c r="AU93">
        <f t="shared" si="31"/>
        <v>3</v>
      </c>
      <c r="AV93" t="s">
        <v>230</v>
      </c>
      <c r="AW93" t="s">
        <v>231</v>
      </c>
      <c r="AX93" t="s">
        <v>232</v>
      </c>
      <c r="AY93" t="s">
        <v>233</v>
      </c>
      <c r="BA93" t="s">
        <v>235</v>
      </c>
      <c r="BB93" t="s">
        <v>239</v>
      </c>
      <c r="BC93" t="s">
        <v>218</v>
      </c>
      <c r="BD93" t="s">
        <v>220</v>
      </c>
      <c r="BE93">
        <v>5</v>
      </c>
      <c r="BF93">
        <v>10</v>
      </c>
      <c r="BG93">
        <v>2</v>
      </c>
      <c r="BH93">
        <v>6.5</v>
      </c>
      <c r="BI93">
        <v>2</v>
      </c>
      <c r="BJ93" t="s">
        <v>222</v>
      </c>
      <c r="BK93">
        <v>5</v>
      </c>
      <c r="BL93">
        <v>9</v>
      </c>
      <c r="BM93">
        <v>5</v>
      </c>
      <c r="BN93">
        <v>3.5</v>
      </c>
      <c r="BO93">
        <v>4</v>
      </c>
    </row>
    <row r="94" spans="1:67" x14ac:dyDescent="0.25">
      <c r="A94">
        <v>12</v>
      </c>
      <c r="B94" t="s">
        <v>384</v>
      </c>
      <c r="C94" t="s">
        <v>386</v>
      </c>
      <c r="D94">
        <v>16353</v>
      </c>
      <c r="E94" t="s">
        <v>72</v>
      </c>
      <c r="F94" t="s">
        <v>12</v>
      </c>
      <c r="G94" s="2">
        <v>14</v>
      </c>
      <c r="H94" s="3">
        <v>15</v>
      </c>
      <c r="I94" s="4">
        <f t="shared" si="21"/>
        <v>4</v>
      </c>
      <c r="J94">
        <f t="shared" si="16"/>
        <v>4.5</v>
      </c>
      <c r="K94" s="2">
        <v>29.5</v>
      </c>
      <c r="L94">
        <f t="shared" si="22"/>
        <v>38</v>
      </c>
      <c r="M94" s="2">
        <v>29.5</v>
      </c>
      <c r="N94" s="3">
        <v>32</v>
      </c>
      <c r="O94" s="4">
        <f t="shared" si="23"/>
        <v>8</v>
      </c>
      <c r="P94">
        <f t="shared" si="17"/>
        <v>10</v>
      </c>
      <c r="Q94" s="2">
        <v>45</v>
      </c>
      <c r="R94">
        <f t="shared" si="24"/>
        <v>63</v>
      </c>
      <c r="S94" s="2">
        <v>4.5</v>
      </c>
      <c r="T94" s="3">
        <v>12</v>
      </c>
      <c r="U94" s="4">
        <f t="shared" si="25"/>
        <v>2.5</v>
      </c>
      <c r="V94">
        <f t="shared" si="18"/>
        <v>3.5</v>
      </c>
      <c r="W94" s="2">
        <v>17</v>
      </c>
      <c r="X94">
        <f t="shared" si="26"/>
        <v>23</v>
      </c>
      <c r="Y94" s="2">
        <v>15.5</v>
      </c>
      <c r="Z94" s="3">
        <v>19</v>
      </c>
      <c r="AA94" s="4">
        <f t="shared" si="27"/>
        <v>4.5</v>
      </c>
      <c r="AB94">
        <f t="shared" si="19"/>
        <v>5.5</v>
      </c>
      <c r="AC94" s="2">
        <v>30.5</v>
      </c>
      <c r="AD94">
        <f t="shared" si="28"/>
        <v>41</v>
      </c>
      <c r="AE94" s="2">
        <v>13.5</v>
      </c>
      <c r="AF94" s="3">
        <v>13</v>
      </c>
      <c r="AG94" s="4">
        <f t="shared" si="29"/>
        <v>3.5</v>
      </c>
      <c r="AH94">
        <f t="shared" si="20"/>
        <v>3.5</v>
      </c>
      <c r="AI94" s="2">
        <v>15.5</v>
      </c>
      <c r="AJ94">
        <f t="shared" si="30"/>
        <v>23</v>
      </c>
      <c r="AK94" s="2">
        <v>7.5</v>
      </c>
      <c r="AL94" s="3">
        <v>2.5</v>
      </c>
      <c r="AM94" s="4">
        <v>8</v>
      </c>
      <c r="AN94" s="2">
        <v>9</v>
      </c>
      <c r="AO94" s="3">
        <v>13</v>
      </c>
      <c r="AP94" s="4">
        <v>18</v>
      </c>
      <c r="AQ94">
        <v>8</v>
      </c>
      <c r="AR94">
        <v>3</v>
      </c>
      <c r="AS94">
        <v>10</v>
      </c>
      <c r="AT94">
        <v>3</v>
      </c>
      <c r="AU94">
        <f t="shared" si="31"/>
        <v>1.5</v>
      </c>
      <c r="AV94" t="s">
        <v>230</v>
      </c>
      <c r="AW94" t="s">
        <v>231</v>
      </c>
      <c r="AX94" t="s">
        <v>232</v>
      </c>
      <c r="AY94" t="s">
        <v>244</v>
      </c>
      <c r="BA94" t="s">
        <v>235</v>
      </c>
      <c r="BB94" t="s">
        <v>239</v>
      </c>
      <c r="BC94" t="s">
        <v>218</v>
      </c>
      <c r="BD94" t="s">
        <v>220</v>
      </c>
      <c r="BE94">
        <v>2.5</v>
      </c>
      <c r="BF94">
        <v>10</v>
      </c>
      <c r="BG94">
        <v>5.5</v>
      </c>
      <c r="BH94">
        <v>5</v>
      </c>
      <c r="BI94">
        <v>2.5</v>
      </c>
      <c r="BJ94" t="s">
        <v>222</v>
      </c>
      <c r="BK94">
        <v>4</v>
      </c>
      <c r="BL94">
        <v>9.5</v>
      </c>
      <c r="BM94">
        <v>5</v>
      </c>
      <c r="BN94">
        <v>4</v>
      </c>
      <c r="BO94">
        <v>4.5</v>
      </c>
    </row>
    <row r="95" spans="1:67" x14ac:dyDescent="0.25">
      <c r="A95">
        <v>13</v>
      </c>
      <c r="B95" t="s">
        <v>384</v>
      </c>
      <c r="C95" t="s">
        <v>386</v>
      </c>
      <c r="D95">
        <v>17072</v>
      </c>
      <c r="E95" t="s">
        <v>77</v>
      </c>
      <c r="F95" t="s">
        <v>12</v>
      </c>
      <c r="G95" s="2">
        <v>26</v>
      </c>
      <c r="H95" s="3">
        <v>25.5</v>
      </c>
      <c r="I95" s="4">
        <f t="shared" si="21"/>
        <v>6.5</v>
      </c>
      <c r="J95">
        <f t="shared" si="16"/>
        <v>8</v>
      </c>
      <c r="K95" s="2">
        <v>54</v>
      </c>
      <c r="L95">
        <f t="shared" si="22"/>
        <v>69</v>
      </c>
      <c r="M95" s="2">
        <v>30.5</v>
      </c>
      <c r="N95" s="3">
        <v>36.5</v>
      </c>
      <c r="O95" s="4">
        <f t="shared" si="23"/>
        <v>8.5</v>
      </c>
      <c r="P95">
        <f t="shared" si="17"/>
        <v>9</v>
      </c>
      <c r="Q95" s="2">
        <v>44</v>
      </c>
      <c r="R95">
        <f t="shared" si="24"/>
        <v>62</v>
      </c>
      <c r="S95" s="2">
        <v>22.5</v>
      </c>
      <c r="T95" s="3">
        <v>26</v>
      </c>
      <c r="U95" s="4">
        <f t="shared" si="25"/>
        <v>6.5</v>
      </c>
      <c r="V95">
        <f t="shared" si="18"/>
        <v>3.5</v>
      </c>
      <c r="W95" s="2">
        <v>47.5</v>
      </c>
      <c r="X95">
        <f t="shared" si="26"/>
        <v>58</v>
      </c>
      <c r="Y95" s="2">
        <v>23.5</v>
      </c>
      <c r="Z95" s="3">
        <v>31.5</v>
      </c>
      <c r="AA95" s="4">
        <f t="shared" si="27"/>
        <v>7</v>
      </c>
      <c r="AB95">
        <f t="shared" si="19"/>
        <v>5.5</v>
      </c>
      <c r="AC95" s="2">
        <v>54.5</v>
      </c>
      <c r="AD95">
        <f t="shared" si="28"/>
        <v>67</v>
      </c>
      <c r="AE95" s="2">
        <v>20.5</v>
      </c>
      <c r="AF95" s="3">
        <v>26</v>
      </c>
      <c r="AG95" s="4">
        <f t="shared" si="29"/>
        <v>6</v>
      </c>
      <c r="AH95">
        <f t="shared" si="20"/>
        <v>8.5</v>
      </c>
      <c r="AI95" s="2">
        <v>34</v>
      </c>
      <c r="AJ95">
        <f t="shared" si="30"/>
        <v>49</v>
      </c>
      <c r="AK95" s="2">
        <v>23</v>
      </c>
      <c r="AL95" s="3">
        <v>21</v>
      </c>
      <c r="AM95" s="4">
        <v>26</v>
      </c>
      <c r="AN95" s="2">
        <v>9</v>
      </c>
      <c r="AO95" s="3">
        <v>18</v>
      </c>
      <c r="AP95" s="4">
        <v>32</v>
      </c>
      <c r="AQ95">
        <v>8</v>
      </c>
      <c r="AR95">
        <v>7</v>
      </c>
      <c r="AS95">
        <v>10</v>
      </c>
      <c r="AT95">
        <v>6</v>
      </c>
      <c r="AU95">
        <f t="shared" si="31"/>
        <v>3</v>
      </c>
      <c r="AV95" t="s">
        <v>230</v>
      </c>
      <c r="AW95" t="s">
        <v>231</v>
      </c>
      <c r="AX95" t="s">
        <v>232</v>
      </c>
      <c r="AY95" t="s">
        <v>233</v>
      </c>
      <c r="AZ95" t="s">
        <v>306</v>
      </c>
      <c r="BA95" t="s">
        <v>235</v>
      </c>
      <c r="BB95" t="s">
        <v>239</v>
      </c>
      <c r="BC95" t="s">
        <v>218</v>
      </c>
      <c r="BD95" t="s">
        <v>220</v>
      </c>
      <c r="BE95">
        <v>7</v>
      </c>
      <c r="BF95">
        <v>10</v>
      </c>
      <c r="BG95">
        <v>5</v>
      </c>
      <c r="BH95">
        <v>8.5</v>
      </c>
      <c r="BI95">
        <v>1.5</v>
      </c>
      <c r="BJ95" t="s">
        <v>222</v>
      </c>
      <c r="BK95">
        <v>10</v>
      </c>
      <c r="BL95">
        <v>8</v>
      </c>
      <c r="BM95">
        <v>6</v>
      </c>
      <c r="BN95">
        <v>7</v>
      </c>
      <c r="BO95">
        <v>5.5</v>
      </c>
    </row>
    <row r="96" spans="1:67" x14ac:dyDescent="0.25">
      <c r="A96">
        <v>14</v>
      </c>
      <c r="B96" t="s">
        <v>384</v>
      </c>
      <c r="C96" t="s">
        <v>386</v>
      </c>
      <c r="D96">
        <v>16161</v>
      </c>
      <c r="E96" t="s">
        <v>82</v>
      </c>
      <c r="F96" t="s">
        <v>12</v>
      </c>
      <c r="G96" s="2">
        <v>22</v>
      </c>
      <c r="H96" s="3">
        <v>23</v>
      </c>
      <c r="I96" s="4">
        <f t="shared" si="21"/>
        <v>6</v>
      </c>
      <c r="J96">
        <f t="shared" si="16"/>
        <v>8</v>
      </c>
      <c r="K96" s="2">
        <v>48</v>
      </c>
      <c r="L96">
        <f t="shared" si="22"/>
        <v>62</v>
      </c>
      <c r="M96" s="2">
        <v>35</v>
      </c>
      <c r="N96" s="3">
        <v>36</v>
      </c>
      <c r="O96" s="4">
        <f t="shared" si="23"/>
        <v>9</v>
      </c>
      <c r="P96">
        <f t="shared" si="17"/>
        <v>10</v>
      </c>
      <c r="Q96" s="2">
        <v>62</v>
      </c>
      <c r="R96">
        <f t="shared" si="24"/>
        <v>81</v>
      </c>
      <c r="S96" s="2">
        <v>25.5</v>
      </c>
      <c r="T96" s="3">
        <v>23.5</v>
      </c>
      <c r="U96" s="4">
        <f t="shared" si="25"/>
        <v>6.5</v>
      </c>
      <c r="V96">
        <f t="shared" si="18"/>
        <v>5.5</v>
      </c>
      <c r="W96" s="2">
        <v>53</v>
      </c>
      <c r="X96">
        <f t="shared" si="26"/>
        <v>65</v>
      </c>
      <c r="Y96" s="2">
        <v>20.5</v>
      </c>
      <c r="Z96" s="3">
        <v>34</v>
      </c>
      <c r="AA96" s="4">
        <f t="shared" si="27"/>
        <v>7</v>
      </c>
      <c r="AB96">
        <f t="shared" si="19"/>
        <v>8</v>
      </c>
      <c r="AC96" s="2">
        <v>52</v>
      </c>
      <c r="AD96">
        <f t="shared" si="28"/>
        <v>67</v>
      </c>
      <c r="AE96" s="2">
        <v>20</v>
      </c>
      <c r="AF96" s="3">
        <v>30</v>
      </c>
      <c r="AG96" s="4">
        <f t="shared" si="29"/>
        <v>6.5</v>
      </c>
      <c r="AH96">
        <f t="shared" si="20"/>
        <v>6.5</v>
      </c>
      <c r="AI96" s="2">
        <v>56.5</v>
      </c>
      <c r="AJ96">
        <f t="shared" si="30"/>
        <v>70</v>
      </c>
      <c r="AK96" s="2">
        <v>11</v>
      </c>
      <c r="AL96" s="3">
        <v>6</v>
      </c>
      <c r="AM96" s="4">
        <v>12</v>
      </c>
      <c r="AN96" s="2">
        <v>6</v>
      </c>
      <c r="AO96" s="3">
        <v>20</v>
      </c>
      <c r="AP96" s="4">
        <v>25.5</v>
      </c>
      <c r="AQ96">
        <v>8</v>
      </c>
      <c r="AR96">
        <v>7.5</v>
      </c>
      <c r="AS96">
        <v>10</v>
      </c>
      <c r="AT96">
        <v>5</v>
      </c>
      <c r="AU96">
        <f t="shared" si="31"/>
        <v>2.5</v>
      </c>
      <c r="AV96" t="s">
        <v>230</v>
      </c>
      <c r="AW96" t="s">
        <v>231</v>
      </c>
      <c r="AX96" t="s">
        <v>232</v>
      </c>
      <c r="AY96" t="s">
        <v>233</v>
      </c>
      <c r="AZ96" t="s">
        <v>307</v>
      </c>
      <c r="BA96" t="s">
        <v>235</v>
      </c>
      <c r="BB96" t="s">
        <v>239</v>
      </c>
      <c r="BC96" t="s">
        <v>218</v>
      </c>
      <c r="BD96" t="s">
        <v>220</v>
      </c>
      <c r="BE96">
        <v>8</v>
      </c>
      <c r="BF96">
        <v>10</v>
      </c>
      <c r="BG96">
        <v>8.5</v>
      </c>
      <c r="BH96">
        <v>8</v>
      </c>
      <c r="BI96">
        <v>4.5</v>
      </c>
      <c r="BJ96" t="s">
        <v>222</v>
      </c>
      <c r="BK96">
        <v>5</v>
      </c>
      <c r="BL96">
        <v>9.5</v>
      </c>
      <c r="BM96">
        <v>7</v>
      </c>
      <c r="BN96">
        <v>7.5</v>
      </c>
      <c r="BO96">
        <v>6</v>
      </c>
    </row>
    <row r="97" spans="1:67" x14ac:dyDescent="0.25">
      <c r="A97">
        <v>15</v>
      </c>
      <c r="B97" t="s">
        <v>384</v>
      </c>
      <c r="C97" t="s">
        <v>386</v>
      </c>
      <c r="D97">
        <v>17598</v>
      </c>
      <c r="E97" t="s">
        <v>87</v>
      </c>
      <c r="F97" t="s">
        <v>12</v>
      </c>
      <c r="G97" s="2">
        <v>26</v>
      </c>
      <c r="H97" s="3">
        <v>28.5</v>
      </c>
      <c r="I97" s="4">
        <f t="shared" si="21"/>
        <v>7</v>
      </c>
      <c r="J97">
        <f t="shared" si="16"/>
        <v>8</v>
      </c>
      <c r="K97" s="2">
        <v>51</v>
      </c>
      <c r="L97">
        <f t="shared" si="22"/>
        <v>66</v>
      </c>
      <c r="M97" s="2" t="s">
        <v>14</v>
      </c>
      <c r="N97" s="3">
        <v>34</v>
      </c>
      <c r="O97" s="4">
        <f t="shared" si="23"/>
        <v>4.5</v>
      </c>
      <c r="P97">
        <f t="shared" si="17"/>
        <v>9.5</v>
      </c>
      <c r="Q97" s="2">
        <v>49</v>
      </c>
      <c r="R97">
        <f t="shared" si="24"/>
        <v>63</v>
      </c>
      <c r="S97" s="2" t="s">
        <v>32</v>
      </c>
      <c r="T97" s="3">
        <v>30.5</v>
      </c>
      <c r="U97" s="4">
        <f t="shared" si="25"/>
        <v>4</v>
      </c>
      <c r="V97">
        <f t="shared" si="18"/>
        <v>3.5</v>
      </c>
      <c r="W97" s="2">
        <v>67.5</v>
      </c>
      <c r="X97">
        <f t="shared" si="26"/>
        <v>75</v>
      </c>
      <c r="Y97" s="2">
        <v>25.5</v>
      </c>
      <c r="Z97" s="3" t="s">
        <v>32</v>
      </c>
      <c r="AA97" s="4">
        <f t="shared" si="27"/>
        <v>3.5</v>
      </c>
      <c r="AB97">
        <f t="shared" si="19"/>
        <v>5</v>
      </c>
      <c r="AC97" s="2">
        <v>48</v>
      </c>
      <c r="AD97">
        <f t="shared" si="28"/>
        <v>57</v>
      </c>
      <c r="AE97" s="2">
        <v>29</v>
      </c>
      <c r="AF97" s="3">
        <v>22</v>
      </c>
      <c r="AG97" s="4">
        <f t="shared" si="29"/>
        <v>6.5</v>
      </c>
      <c r="AH97">
        <f t="shared" si="20"/>
        <v>4</v>
      </c>
      <c r="AI97" s="2">
        <v>46</v>
      </c>
      <c r="AJ97">
        <f t="shared" si="30"/>
        <v>57</v>
      </c>
      <c r="AK97" s="2">
        <v>20.5</v>
      </c>
      <c r="AL97" s="3">
        <v>20</v>
      </c>
      <c r="AM97" s="4">
        <v>26</v>
      </c>
      <c r="AN97" s="2">
        <v>8</v>
      </c>
      <c r="AO97" s="3">
        <v>16</v>
      </c>
      <c r="AP97" s="4">
        <v>28.5</v>
      </c>
      <c r="AQ97">
        <v>8</v>
      </c>
      <c r="AR97">
        <v>8</v>
      </c>
      <c r="AS97">
        <v>10</v>
      </c>
      <c r="AT97">
        <v>6</v>
      </c>
      <c r="AU97">
        <f t="shared" si="31"/>
        <v>3</v>
      </c>
      <c r="AV97" t="s">
        <v>230</v>
      </c>
      <c r="AW97" t="s">
        <v>231</v>
      </c>
      <c r="AX97" t="s">
        <v>232</v>
      </c>
      <c r="AY97" t="s">
        <v>285</v>
      </c>
      <c r="AZ97" t="s">
        <v>308</v>
      </c>
      <c r="BA97" t="s">
        <v>235</v>
      </c>
      <c r="BB97" t="s">
        <v>239</v>
      </c>
      <c r="BC97" t="s">
        <v>218</v>
      </c>
      <c r="BD97" t="s">
        <v>220</v>
      </c>
      <c r="BE97">
        <v>8</v>
      </c>
      <c r="BF97">
        <v>10</v>
      </c>
      <c r="BG97">
        <v>9.5</v>
      </c>
      <c r="BH97">
        <v>8</v>
      </c>
      <c r="BI97">
        <v>6.5</v>
      </c>
      <c r="BJ97" t="s">
        <v>222</v>
      </c>
      <c r="BK97" t="s">
        <v>14</v>
      </c>
      <c r="BL97">
        <v>9</v>
      </c>
      <c r="BM97" t="s">
        <v>32</v>
      </c>
      <c r="BN97">
        <v>7.5</v>
      </c>
      <c r="BO97" t="s">
        <v>32</v>
      </c>
    </row>
    <row r="98" spans="1:67" x14ac:dyDescent="0.25">
      <c r="A98">
        <v>16</v>
      </c>
      <c r="B98" t="s">
        <v>384</v>
      </c>
      <c r="C98" t="s">
        <v>386</v>
      </c>
      <c r="D98">
        <v>16192</v>
      </c>
      <c r="E98" t="s">
        <v>92</v>
      </c>
      <c r="F98" t="s">
        <v>12</v>
      </c>
      <c r="G98" s="2">
        <v>28.5</v>
      </c>
      <c r="H98" s="3">
        <v>27.5</v>
      </c>
      <c r="I98" s="4">
        <f t="shared" si="21"/>
        <v>7</v>
      </c>
      <c r="J98">
        <f t="shared" si="16"/>
        <v>8.5</v>
      </c>
      <c r="K98" s="2">
        <v>60</v>
      </c>
      <c r="L98">
        <f t="shared" si="22"/>
        <v>76</v>
      </c>
      <c r="M98" s="2" t="s">
        <v>14</v>
      </c>
      <c r="N98" s="3">
        <v>32</v>
      </c>
      <c r="O98" s="4">
        <f t="shared" si="23"/>
        <v>4</v>
      </c>
      <c r="P98">
        <f t="shared" si="17"/>
        <v>5</v>
      </c>
      <c r="Q98" s="2">
        <v>68.5</v>
      </c>
      <c r="R98">
        <f t="shared" si="24"/>
        <v>78</v>
      </c>
      <c r="S98" s="2" t="s">
        <v>32</v>
      </c>
      <c r="T98" s="3">
        <v>21.5</v>
      </c>
      <c r="U98" s="4">
        <f t="shared" si="25"/>
        <v>3</v>
      </c>
      <c r="V98">
        <f t="shared" si="18"/>
        <v>6</v>
      </c>
      <c r="W98" s="2">
        <v>56</v>
      </c>
      <c r="X98">
        <f t="shared" si="26"/>
        <v>65</v>
      </c>
      <c r="Y98" s="2" t="s">
        <v>32</v>
      </c>
      <c r="Z98" s="3">
        <v>40</v>
      </c>
      <c r="AA98" s="4">
        <f t="shared" si="27"/>
        <v>5</v>
      </c>
      <c r="AB98">
        <f t="shared" si="19"/>
        <v>8.5</v>
      </c>
      <c r="AC98" s="2">
        <v>68.5</v>
      </c>
      <c r="AD98">
        <f t="shared" si="28"/>
        <v>82</v>
      </c>
      <c r="AE98" s="2">
        <v>29</v>
      </c>
      <c r="AF98" s="3">
        <v>31</v>
      </c>
      <c r="AG98" s="4">
        <f t="shared" si="29"/>
        <v>7.5</v>
      </c>
      <c r="AH98">
        <f t="shared" si="20"/>
        <v>7</v>
      </c>
      <c r="AI98" s="2">
        <v>71</v>
      </c>
      <c r="AJ98">
        <f t="shared" si="30"/>
        <v>86</v>
      </c>
      <c r="AK98" s="2">
        <v>18</v>
      </c>
      <c r="AL98" s="3">
        <v>15</v>
      </c>
      <c r="AM98" s="4">
        <v>17</v>
      </c>
      <c r="AN98" s="2">
        <v>4</v>
      </c>
      <c r="AO98" s="3">
        <v>19</v>
      </c>
      <c r="AP98" s="4">
        <v>33</v>
      </c>
      <c r="AQ98">
        <v>8</v>
      </c>
      <c r="AR98">
        <v>7</v>
      </c>
      <c r="AS98">
        <v>9</v>
      </c>
      <c r="AT98">
        <v>5</v>
      </c>
      <c r="AU98">
        <f t="shared" si="31"/>
        <v>2.5</v>
      </c>
      <c r="AV98" t="s">
        <v>230</v>
      </c>
      <c r="AW98" t="s">
        <v>231</v>
      </c>
      <c r="AX98" t="s">
        <v>232</v>
      </c>
      <c r="AY98" t="s">
        <v>266</v>
      </c>
      <c r="BA98" t="s">
        <v>235</v>
      </c>
      <c r="BB98" t="s">
        <v>239</v>
      </c>
      <c r="BC98" t="s">
        <v>218</v>
      </c>
      <c r="BD98" t="s">
        <v>220</v>
      </c>
      <c r="BE98">
        <v>7</v>
      </c>
      <c r="BF98">
        <v>10</v>
      </c>
      <c r="BG98">
        <v>8.5</v>
      </c>
      <c r="BH98">
        <v>8</v>
      </c>
      <c r="BI98">
        <v>5.5</v>
      </c>
      <c r="BJ98" t="s">
        <v>222</v>
      </c>
      <c r="BK98">
        <v>7</v>
      </c>
      <c r="BL98" t="s">
        <v>14</v>
      </c>
      <c r="BM98">
        <v>8</v>
      </c>
      <c r="BN98">
        <v>8.5</v>
      </c>
      <c r="BO98">
        <v>6.5</v>
      </c>
    </row>
    <row r="99" spans="1:67" x14ac:dyDescent="0.25">
      <c r="A99">
        <v>17</v>
      </c>
      <c r="B99" t="s">
        <v>384</v>
      </c>
      <c r="C99" t="s">
        <v>386</v>
      </c>
      <c r="D99">
        <v>16202</v>
      </c>
      <c r="E99" t="s">
        <v>97</v>
      </c>
      <c r="F99" t="s">
        <v>12</v>
      </c>
      <c r="G99" s="2">
        <v>12.5</v>
      </c>
      <c r="H99" s="3">
        <v>12.5</v>
      </c>
      <c r="I99" s="4">
        <f t="shared" si="21"/>
        <v>3.5</v>
      </c>
      <c r="J99">
        <f t="shared" si="16"/>
        <v>3.5</v>
      </c>
      <c r="K99" s="2">
        <v>30</v>
      </c>
      <c r="L99">
        <f t="shared" si="22"/>
        <v>37</v>
      </c>
      <c r="M99" s="2" t="s">
        <v>14</v>
      </c>
      <c r="N99" s="3">
        <v>30</v>
      </c>
      <c r="O99" s="4">
        <f t="shared" si="23"/>
        <v>4</v>
      </c>
      <c r="P99">
        <f t="shared" si="17"/>
        <v>8</v>
      </c>
      <c r="Q99" s="2">
        <v>36</v>
      </c>
      <c r="R99">
        <f t="shared" si="24"/>
        <v>48</v>
      </c>
      <c r="S99" s="2" t="s">
        <v>32</v>
      </c>
      <c r="T99" s="3">
        <v>13.5</v>
      </c>
      <c r="U99" s="4">
        <f t="shared" si="25"/>
        <v>2</v>
      </c>
      <c r="V99">
        <f t="shared" si="18"/>
        <v>2.5</v>
      </c>
      <c r="W99" s="2">
        <v>28</v>
      </c>
      <c r="X99">
        <f t="shared" si="26"/>
        <v>33</v>
      </c>
      <c r="Y99" s="2">
        <v>17.5</v>
      </c>
      <c r="Z99" s="3">
        <v>28</v>
      </c>
      <c r="AA99" s="4">
        <f t="shared" si="27"/>
        <v>6</v>
      </c>
      <c r="AB99">
        <f t="shared" si="19"/>
        <v>7</v>
      </c>
      <c r="AC99" s="2">
        <v>49.5</v>
      </c>
      <c r="AD99">
        <f t="shared" si="28"/>
        <v>63</v>
      </c>
      <c r="AE99" s="2">
        <v>3.5</v>
      </c>
      <c r="AF99" s="3">
        <v>12.5</v>
      </c>
      <c r="AG99" s="4">
        <f t="shared" si="29"/>
        <v>2</v>
      </c>
      <c r="AH99">
        <f t="shared" si="20"/>
        <v>4</v>
      </c>
      <c r="AI99" s="5">
        <v>0.67013888888888884</v>
      </c>
      <c r="AJ99">
        <f t="shared" si="30"/>
        <v>7</v>
      </c>
      <c r="AK99" s="2">
        <v>5</v>
      </c>
      <c r="AL99" s="3">
        <v>4.5</v>
      </c>
      <c r="AM99" s="4">
        <v>9.5</v>
      </c>
      <c r="AN99" s="2">
        <v>4</v>
      </c>
      <c r="AO99" s="3">
        <v>13</v>
      </c>
      <c r="AP99" s="4">
        <v>24.5</v>
      </c>
      <c r="AQ99">
        <v>8</v>
      </c>
      <c r="AR99">
        <v>5</v>
      </c>
      <c r="AS99">
        <v>10</v>
      </c>
      <c r="AT99">
        <v>2</v>
      </c>
      <c r="AU99">
        <f t="shared" si="31"/>
        <v>1</v>
      </c>
      <c r="AV99" t="s">
        <v>230</v>
      </c>
      <c r="AW99" t="s">
        <v>231</v>
      </c>
      <c r="AX99" t="s">
        <v>232</v>
      </c>
      <c r="AY99" t="s">
        <v>247</v>
      </c>
      <c r="BA99" t="s">
        <v>235</v>
      </c>
      <c r="BB99" t="s">
        <v>239</v>
      </c>
      <c r="BC99" t="s">
        <v>218</v>
      </c>
      <c r="BD99" t="s">
        <v>220</v>
      </c>
      <c r="BE99">
        <v>2</v>
      </c>
      <c r="BF99">
        <v>10</v>
      </c>
      <c r="BG99">
        <v>7.5</v>
      </c>
      <c r="BH99">
        <v>3.5</v>
      </c>
      <c r="BI99">
        <v>1.5</v>
      </c>
      <c r="BJ99" t="s">
        <v>222</v>
      </c>
      <c r="BK99">
        <v>6</v>
      </c>
      <c r="BL99">
        <v>6</v>
      </c>
      <c r="BM99">
        <v>6</v>
      </c>
      <c r="BN99">
        <v>3</v>
      </c>
      <c r="BO99">
        <v>3.5</v>
      </c>
    </row>
    <row r="100" spans="1:67" x14ac:dyDescent="0.25">
      <c r="A100">
        <v>18</v>
      </c>
      <c r="B100" t="s">
        <v>384</v>
      </c>
      <c r="C100" t="s">
        <v>386</v>
      </c>
      <c r="D100">
        <v>16221</v>
      </c>
      <c r="E100" t="s">
        <v>102</v>
      </c>
      <c r="F100" t="s">
        <v>12</v>
      </c>
      <c r="G100" s="2">
        <v>15.5</v>
      </c>
      <c r="H100" s="3">
        <v>14.5</v>
      </c>
      <c r="I100" s="4">
        <f t="shared" si="21"/>
        <v>4</v>
      </c>
      <c r="J100">
        <f t="shared" si="16"/>
        <v>6</v>
      </c>
      <c r="K100" s="2">
        <v>29.5</v>
      </c>
      <c r="L100">
        <f t="shared" si="22"/>
        <v>40</v>
      </c>
      <c r="M100" s="2">
        <v>29.5</v>
      </c>
      <c r="N100" s="3">
        <v>30.5</v>
      </c>
      <c r="O100" s="4">
        <f t="shared" si="23"/>
        <v>7.5</v>
      </c>
      <c r="P100">
        <f t="shared" si="17"/>
        <v>10</v>
      </c>
      <c r="Q100" s="2">
        <v>27.5</v>
      </c>
      <c r="R100">
        <f t="shared" si="24"/>
        <v>45</v>
      </c>
      <c r="S100" s="2">
        <v>17</v>
      </c>
      <c r="T100" s="3">
        <v>15.5</v>
      </c>
      <c r="U100" s="4">
        <f t="shared" si="25"/>
        <v>4.5</v>
      </c>
      <c r="V100">
        <f t="shared" si="18"/>
        <v>6.5</v>
      </c>
      <c r="W100" s="2">
        <v>37.5</v>
      </c>
      <c r="X100">
        <f t="shared" si="26"/>
        <v>49</v>
      </c>
      <c r="Y100" s="2">
        <v>20</v>
      </c>
      <c r="Z100" s="3">
        <v>18.5</v>
      </c>
      <c r="AA100" s="4">
        <f t="shared" si="27"/>
        <v>5</v>
      </c>
      <c r="AB100">
        <f t="shared" si="19"/>
        <v>7.5</v>
      </c>
      <c r="AC100" s="2">
        <v>30.5</v>
      </c>
      <c r="AD100">
        <f t="shared" si="28"/>
        <v>43</v>
      </c>
      <c r="AE100" s="2">
        <v>17</v>
      </c>
      <c r="AF100" s="3">
        <v>11</v>
      </c>
      <c r="AG100" s="4">
        <f t="shared" si="29"/>
        <v>3.5</v>
      </c>
      <c r="AH100">
        <f t="shared" si="20"/>
        <v>6.5</v>
      </c>
      <c r="AI100" s="2">
        <v>20.5</v>
      </c>
      <c r="AJ100">
        <f t="shared" si="30"/>
        <v>31</v>
      </c>
      <c r="AK100" s="2">
        <v>11.5</v>
      </c>
      <c r="AL100" s="3">
        <v>15</v>
      </c>
      <c r="AM100" s="4">
        <v>15</v>
      </c>
      <c r="AN100" s="2">
        <v>6</v>
      </c>
      <c r="AO100" s="3">
        <v>15</v>
      </c>
      <c r="AP100" s="4">
        <v>23.5</v>
      </c>
      <c r="AQ100">
        <v>8</v>
      </c>
      <c r="AR100">
        <v>5.5</v>
      </c>
      <c r="AS100">
        <v>10</v>
      </c>
      <c r="AT100">
        <v>5</v>
      </c>
      <c r="AU100">
        <f t="shared" si="31"/>
        <v>2.5</v>
      </c>
      <c r="AV100" t="s">
        <v>230</v>
      </c>
      <c r="AW100" t="s">
        <v>231</v>
      </c>
      <c r="AX100" t="s">
        <v>232</v>
      </c>
      <c r="AY100" t="s">
        <v>240</v>
      </c>
      <c r="BA100" t="s">
        <v>235</v>
      </c>
      <c r="BB100" t="s">
        <v>239</v>
      </c>
      <c r="BC100" t="s">
        <v>218</v>
      </c>
      <c r="BD100" t="s">
        <v>220</v>
      </c>
      <c r="BE100">
        <v>6</v>
      </c>
      <c r="BF100">
        <v>10</v>
      </c>
      <c r="BG100">
        <v>8</v>
      </c>
      <c r="BH100">
        <v>7</v>
      </c>
      <c r="BI100">
        <v>5</v>
      </c>
      <c r="BJ100" t="s">
        <v>222</v>
      </c>
      <c r="BK100">
        <v>7</v>
      </c>
      <c r="BL100">
        <v>9.5</v>
      </c>
      <c r="BM100">
        <v>6.5</v>
      </c>
      <c r="BN100">
        <v>4.5</v>
      </c>
      <c r="BO100">
        <v>7.5</v>
      </c>
    </row>
    <row r="101" spans="1:67" x14ac:dyDescent="0.25">
      <c r="A101">
        <v>19</v>
      </c>
      <c r="B101" t="s">
        <v>384</v>
      </c>
      <c r="C101" t="s">
        <v>386</v>
      </c>
      <c r="D101">
        <v>16172</v>
      </c>
      <c r="E101" t="s">
        <v>107</v>
      </c>
      <c r="F101" t="s">
        <v>12</v>
      </c>
      <c r="G101" s="2">
        <v>32</v>
      </c>
      <c r="H101" s="3">
        <v>31.5</v>
      </c>
      <c r="I101" s="4">
        <f t="shared" si="21"/>
        <v>8</v>
      </c>
      <c r="J101">
        <f t="shared" si="16"/>
        <v>7.5</v>
      </c>
      <c r="K101" s="2">
        <v>56.5</v>
      </c>
      <c r="L101">
        <f t="shared" si="22"/>
        <v>72</v>
      </c>
      <c r="M101" s="2">
        <v>36</v>
      </c>
      <c r="N101" s="3">
        <v>36.5</v>
      </c>
      <c r="O101" s="4">
        <f t="shared" si="23"/>
        <v>9.5</v>
      </c>
      <c r="P101">
        <f t="shared" si="17"/>
        <v>9.5</v>
      </c>
      <c r="Q101" s="2">
        <v>69.5</v>
      </c>
      <c r="R101">
        <f t="shared" si="24"/>
        <v>89</v>
      </c>
      <c r="S101" s="2">
        <v>30</v>
      </c>
      <c r="T101" s="3">
        <v>30.5</v>
      </c>
      <c r="U101" s="4">
        <f t="shared" si="25"/>
        <v>8</v>
      </c>
      <c r="V101">
        <f t="shared" si="18"/>
        <v>7</v>
      </c>
      <c r="W101" s="2">
        <v>60</v>
      </c>
      <c r="X101">
        <f t="shared" si="26"/>
        <v>75</v>
      </c>
      <c r="Y101" s="2">
        <v>37.5</v>
      </c>
      <c r="Z101" s="3">
        <v>38</v>
      </c>
      <c r="AA101" s="4">
        <f t="shared" si="27"/>
        <v>9.5</v>
      </c>
      <c r="AB101">
        <f t="shared" si="19"/>
        <v>8</v>
      </c>
      <c r="AC101" s="2">
        <v>61</v>
      </c>
      <c r="AD101">
        <f t="shared" si="28"/>
        <v>79</v>
      </c>
      <c r="AE101" s="2">
        <v>35</v>
      </c>
      <c r="AF101" s="3">
        <v>32</v>
      </c>
      <c r="AG101" s="4">
        <f t="shared" si="29"/>
        <v>8.5</v>
      </c>
      <c r="AH101">
        <f t="shared" si="20"/>
        <v>7</v>
      </c>
      <c r="AI101" s="2">
        <v>65</v>
      </c>
      <c r="AJ101">
        <f t="shared" si="30"/>
        <v>81</v>
      </c>
      <c r="AK101" s="2">
        <v>22.5</v>
      </c>
      <c r="AL101" s="3">
        <v>23.5</v>
      </c>
      <c r="AM101" s="4">
        <v>22</v>
      </c>
      <c r="AN101" s="2">
        <v>10</v>
      </c>
      <c r="AO101" s="3">
        <v>17</v>
      </c>
      <c r="AP101" s="4">
        <v>35.5</v>
      </c>
      <c r="AQ101">
        <v>8</v>
      </c>
      <c r="AR101">
        <v>9</v>
      </c>
      <c r="AS101">
        <v>10</v>
      </c>
      <c r="AT101">
        <v>7.5</v>
      </c>
      <c r="AU101">
        <f t="shared" si="31"/>
        <v>4</v>
      </c>
      <c r="AV101" t="s">
        <v>230</v>
      </c>
      <c r="AW101" t="s">
        <v>231</v>
      </c>
      <c r="AX101" t="s">
        <v>232</v>
      </c>
      <c r="AY101" t="s">
        <v>281</v>
      </c>
      <c r="AZ101" t="s">
        <v>309</v>
      </c>
      <c r="BA101" t="s">
        <v>235</v>
      </c>
      <c r="BB101" t="s">
        <v>239</v>
      </c>
      <c r="BC101" t="s">
        <v>218</v>
      </c>
      <c r="BD101" t="s">
        <v>220</v>
      </c>
      <c r="BE101">
        <v>6</v>
      </c>
      <c r="BF101">
        <v>10</v>
      </c>
      <c r="BG101">
        <v>8.5</v>
      </c>
      <c r="BH101">
        <v>7.5</v>
      </c>
      <c r="BI101">
        <v>6.5</v>
      </c>
      <c r="BJ101" t="s">
        <v>222</v>
      </c>
      <c r="BK101">
        <v>8</v>
      </c>
      <c r="BL101">
        <v>9</v>
      </c>
      <c r="BM101">
        <v>7.5</v>
      </c>
      <c r="BN101">
        <v>7</v>
      </c>
      <c r="BO101">
        <v>7</v>
      </c>
    </row>
    <row r="102" spans="1:67" x14ac:dyDescent="0.25">
      <c r="A102">
        <v>20</v>
      </c>
      <c r="B102" t="s">
        <v>384</v>
      </c>
      <c r="C102" t="s">
        <v>386</v>
      </c>
      <c r="D102">
        <v>16206</v>
      </c>
      <c r="E102" t="s">
        <v>112</v>
      </c>
      <c r="F102" t="s">
        <v>12</v>
      </c>
      <c r="G102" s="2">
        <v>17.5</v>
      </c>
      <c r="H102" s="3">
        <v>17</v>
      </c>
      <c r="I102" s="4">
        <f t="shared" si="21"/>
        <v>4.5</v>
      </c>
      <c r="J102">
        <f t="shared" si="16"/>
        <v>7</v>
      </c>
      <c r="K102" s="2">
        <v>38</v>
      </c>
      <c r="L102">
        <f t="shared" si="22"/>
        <v>50</v>
      </c>
      <c r="M102" s="2">
        <v>25</v>
      </c>
      <c r="N102" s="3">
        <v>27.5</v>
      </c>
      <c r="O102" s="4">
        <f t="shared" si="23"/>
        <v>7</v>
      </c>
      <c r="P102">
        <f t="shared" si="17"/>
        <v>10</v>
      </c>
      <c r="Q102" s="2">
        <v>40.5</v>
      </c>
      <c r="R102">
        <f t="shared" si="24"/>
        <v>58</v>
      </c>
      <c r="S102" s="2">
        <v>18.5</v>
      </c>
      <c r="T102" s="3">
        <v>22</v>
      </c>
      <c r="U102" s="4">
        <f t="shared" si="25"/>
        <v>5.5</v>
      </c>
      <c r="V102">
        <f t="shared" si="18"/>
        <v>4.5</v>
      </c>
      <c r="W102" s="2">
        <v>45</v>
      </c>
      <c r="X102">
        <f t="shared" si="26"/>
        <v>55</v>
      </c>
      <c r="Y102" s="2">
        <v>20.5</v>
      </c>
      <c r="Z102" s="3">
        <v>18</v>
      </c>
      <c r="AA102" s="4">
        <f t="shared" si="27"/>
        <v>5</v>
      </c>
      <c r="AB102">
        <f t="shared" si="19"/>
        <v>8</v>
      </c>
      <c r="AC102" s="2">
        <v>39.5</v>
      </c>
      <c r="AD102">
        <f t="shared" si="28"/>
        <v>53</v>
      </c>
      <c r="AE102" s="2">
        <v>12</v>
      </c>
      <c r="AF102" s="3">
        <v>15</v>
      </c>
      <c r="AG102" s="4">
        <f t="shared" si="29"/>
        <v>3.5</v>
      </c>
      <c r="AH102">
        <f t="shared" si="20"/>
        <v>2</v>
      </c>
      <c r="AI102" s="2">
        <v>15.5</v>
      </c>
      <c r="AJ102">
        <f t="shared" si="30"/>
        <v>21</v>
      </c>
      <c r="AK102" s="2">
        <v>6.5</v>
      </c>
      <c r="AL102" s="3">
        <v>5</v>
      </c>
      <c r="AM102" s="4">
        <v>6</v>
      </c>
      <c r="AN102" s="2">
        <v>4</v>
      </c>
      <c r="AO102" s="3">
        <v>11</v>
      </c>
      <c r="AP102" s="4">
        <v>20</v>
      </c>
      <c r="AQ102">
        <v>7</v>
      </c>
      <c r="AR102">
        <v>6.5</v>
      </c>
      <c r="AS102">
        <v>10</v>
      </c>
      <c r="AT102">
        <v>2.5</v>
      </c>
      <c r="AU102">
        <f t="shared" si="31"/>
        <v>1.5</v>
      </c>
      <c r="AV102" t="s">
        <v>230</v>
      </c>
      <c r="AW102" t="s">
        <v>231</v>
      </c>
      <c r="AX102" t="s">
        <v>232</v>
      </c>
      <c r="AY102" t="s">
        <v>254</v>
      </c>
      <c r="BA102" t="s">
        <v>235</v>
      </c>
      <c r="BB102" t="s">
        <v>239</v>
      </c>
      <c r="BC102" t="s">
        <v>218</v>
      </c>
      <c r="BD102" t="s">
        <v>220</v>
      </c>
      <c r="BE102">
        <v>2</v>
      </c>
      <c r="BF102">
        <v>10</v>
      </c>
      <c r="BG102">
        <v>10</v>
      </c>
      <c r="BH102">
        <v>7.5</v>
      </c>
      <c r="BI102">
        <v>2</v>
      </c>
      <c r="BJ102" t="s">
        <v>222</v>
      </c>
      <c r="BK102">
        <v>2</v>
      </c>
      <c r="BL102">
        <v>9.5</v>
      </c>
      <c r="BM102">
        <v>6</v>
      </c>
      <c r="BN102">
        <v>6.5</v>
      </c>
      <c r="BO102">
        <v>6.5</v>
      </c>
    </row>
    <row r="103" spans="1:67" x14ac:dyDescent="0.25">
      <c r="A103">
        <v>21</v>
      </c>
      <c r="B103" t="s">
        <v>384</v>
      </c>
      <c r="C103" t="s">
        <v>386</v>
      </c>
      <c r="D103">
        <v>16582</v>
      </c>
      <c r="E103" t="s">
        <v>117</v>
      </c>
      <c r="F103" t="s">
        <v>12</v>
      </c>
      <c r="G103" s="2">
        <v>24.5</v>
      </c>
      <c r="H103" s="3">
        <v>23</v>
      </c>
      <c r="I103" s="4">
        <f t="shared" si="21"/>
        <v>6</v>
      </c>
      <c r="J103">
        <f t="shared" si="16"/>
        <v>6</v>
      </c>
      <c r="K103" s="2">
        <v>38</v>
      </c>
      <c r="L103">
        <f t="shared" si="22"/>
        <v>50</v>
      </c>
      <c r="M103" s="2">
        <v>31</v>
      </c>
      <c r="N103" s="3">
        <v>34</v>
      </c>
      <c r="O103" s="4">
        <f t="shared" si="23"/>
        <v>8.5</v>
      </c>
      <c r="P103">
        <f t="shared" si="17"/>
        <v>8.5</v>
      </c>
      <c r="Q103" s="2">
        <v>39</v>
      </c>
      <c r="R103">
        <f t="shared" si="24"/>
        <v>56</v>
      </c>
      <c r="S103" s="2">
        <v>15</v>
      </c>
      <c r="T103" s="3">
        <v>11.5</v>
      </c>
      <c r="U103" s="4">
        <f t="shared" si="25"/>
        <v>3.5</v>
      </c>
      <c r="V103">
        <f t="shared" si="18"/>
        <v>2.5</v>
      </c>
      <c r="W103" s="2">
        <v>37</v>
      </c>
      <c r="X103">
        <f t="shared" si="26"/>
        <v>43</v>
      </c>
      <c r="Y103" s="2">
        <v>31</v>
      </c>
      <c r="Z103" s="3">
        <v>33</v>
      </c>
      <c r="AA103" s="4">
        <f t="shared" si="27"/>
        <v>8</v>
      </c>
      <c r="AB103">
        <f t="shared" si="19"/>
        <v>8.5</v>
      </c>
      <c r="AC103" s="2">
        <v>56.5</v>
      </c>
      <c r="AD103">
        <f t="shared" si="28"/>
        <v>73</v>
      </c>
      <c r="AE103" s="2">
        <v>27.5</v>
      </c>
      <c r="AF103" s="3">
        <v>29</v>
      </c>
      <c r="AG103" s="4">
        <f t="shared" si="29"/>
        <v>7.5</v>
      </c>
      <c r="AH103">
        <f t="shared" si="20"/>
        <v>8</v>
      </c>
      <c r="AI103" s="2">
        <v>49.5</v>
      </c>
      <c r="AJ103">
        <f t="shared" si="30"/>
        <v>65</v>
      </c>
      <c r="AK103" s="2">
        <v>19.5</v>
      </c>
      <c r="AL103" s="3">
        <v>19.5</v>
      </c>
      <c r="AM103" s="4">
        <v>16</v>
      </c>
      <c r="AN103" s="2">
        <v>8</v>
      </c>
      <c r="AO103" s="3">
        <v>17</v>
      </c>
      <c r="AP103" s="4">
        <v>28</v>
      </c>
      <c r="AQ103">
        <v>8</v>
      </c>
      <c r="AR103">
        <v>6.5</v>
      </c>
      <c r="AS103">
        <v>9</v>
      </c>
      <c r="AT103">
        <v>6.5</v>
      </c>
      <c r="AU103">
        <f t="shared" si="31"/>
        <v>3.5</v>
      </c>
      <c r="AV103" t="s">
        <v>230</v>
      </c>
      <c r="AW103" t="s">
        <v>231</v>
      </c>
      <c r="AX103" t="s">
        <v>232</v>
      </c>
      <c r="AY103" t="s">
        <v>242</v>
      </c>
      <c r="BA103" t="s">
        <v>235</v>
      </c>
      <c r="BB103" t="s">
        <v>239</v>
      </c>
      <c r="BC103" t="s">
        <v>218</v>
      </c>
      <c r="BD103" t="s">
        <v>220</v>
      </c>
      <c r="BE103">
        <v>7</v>
      </c>
      <c r="BF103">
        <v>9</v>
      </c>
      <c r="BG103">
        <v>9.5</v>
      </c>
      <c r="BH103">
        <v>5.5</v>
      </c>
      <c r="BI103">
        <v>1</v>
      </c>
      <c r="BJ103" t="s">
        <v>222</v>
      </c>
      <c r="BK103">
        <v>9</v>
      </c>
      <c r="BL103">
        <v>7.5</v>
      </c>
      <c r="BM103">
        <v>7.5</v>
      </c>
      <c r="BN103">
        <v>6</v>
      </c>
      <c r="BO103">
        <v>3.5</v>
      </c>
    </row>
    <row r="104" spans="1:67" x14ac:dyDescent="0.25">
      <c r="A104">
        <v>22</v>
      </c>
      <c r="B104" t="s">
        <v>384</v>
      </c>
      <c r="C104" t="s">
        <v>386</v>
      </c>
      <c r="D104">
        <v>16193</v>
      </c>
      <c r="E104" t="s">
        <v>122</v>
      </c>
      <c r="F104" t="s">
        <v>12</v>
      </c>
      <c r="G104" s="2">
        <v>23</v>
      </c>
      <c r="H104" s="3" t="s">
        <v>14</v>
      </c>
      <c r="I104" s="4">
        <f t="shared" si="21"/>
        <v>3</v>
      </c>
      <c r="J104">
        <f t="shared" si="16"/>
        <v>3.5</v>
      </c>
      <c r="K104" s="2">
        <v>39.5</v>
      </c>
      <c r="L104">
        <f t="shared" si="22"/>
        <v>46</v>
      </c>
      <c r="M104" s="2">
        <v>28.5</v>
      </c>
      <c r="N104" s="3">
        <v>27.5</v>
      </c>
      <c r="O104" s="4">
        <f t="shared" si="23"/>
        <v>7</v>
      </c>
      <c r="P104">
        <f t="shared" si="17"/>
        <v>9.5</v>
      </c>
      <c r="Q104" s="2">
        <v>45.5</v>
      </c>
      <c r="R104">
        <f t="shared" si="24"/>
        <v>62</v>
      </c>
      <c r="S104" s="2">
        <v>27</v>
      </c>
      <c r="T104" s="3">
        <v>13.5</v>
      </c>
      <c r="U104" s="4">
        <f t="shared" si="25"/>
        <v>5.5</v>
      </c>
      <c r="V104">
        <f t="shared" si="18"/>
        <v>6.5</v>
      </c>
      <c r="W104" s="2">
        <v>42.5</v>
      </c>
      <c r="X104">
        <f t="shared" si="26"/>
        <v>55</v>
      </c>
      <c r="Y104" s="2">
        <v>28.5</v>
      </c>
      <c r="Z104" s="3">
        <v>23</v>
      </c>
      <c r="AA104" s="4">
        <f t="shared" si="27"/>
        <v>6.5</v>
      </c>
      <c r="AB104">
        <f t="shared" si="19"/>
        <v>8.5</v>
      </c>
      <c r="AC104" s="2">
        <v>36</v>
      </c>
      <c r="AD104">
        <f t="shared" si="28"/>
        <v>51</v>
      </c>
      <c r="AE104" s="2">
        <v>5.5</v>
      </c>
      <c r="AF104" s="3" t="s">
        <v>14</v>
      </c>
      <c r="AG104" s="4">
        <f t="shared" si="29"/>
        <v>1</v>
      </c>
      <c r="AH104">
        <f t="shared" si="20"/>
        <v>6.5</v>
      </c>
      <c r="AI104" s="2">
        <v>37</v>
      </c>
      <c r="AJ104">
        <f t="shared" si="30"/>
        <v>45</v>
      </c>
      <c r="AK104" s="2">
        <v>16.5</v>
      </c>
      <c r="AL104" s="3" t="s">
        <v>32</v>
      </c>
      <c r="AM104" s="4">
        <v>14</v>
      </c>
      <c r="AN104" s="2">
        <v>4</v>
      </c>
      <c r="AO104" s="3" t="s">
        <v>14</v>
      </c>
      <c r="AP104" s="4">
        <v>24</v>
      </c>
      <c r="AQ104">
        <v>7</v>
      </c>
      <c r="AR104">
        <v>7</v>
      </c>
      <c r="AS104">
        <v>10</v>
      </c>
      <c r="AT104">
        <v>2</v>
      </c>
      <c r="AU104">
        <f t="shared" si="31"/>
        <v>1</v>
      </c>
      <c r="AV104" t="s">
        <v>230</v>
      </c>
      <c r="AW104" t="s">
        <v>231</v>
      </c>
      <c r="AX104" t="s">
        <v>232</v>
      </c>
      <c r="AY104" t="s">
        <v>285</v>
      </c>
      <c r="BA104" t="s">
        <v>376</v>
      </c>
      <c r="BB104" t="s">
        <v>239</v>
      </c>
      <c r="BC104" t="s">
        <v>218</v>
      </c>
      <c r="BD104" t="s">
        <v>220</v>
      </c>
      <c r="BE104">
        <v>6</v>
      </c>
      <c r="BF104">
        <v>10</v>
      </c>
      <c r="BG104">
        <v>9.5</v>
      </c>
      <c r="BH104" t="s">
        <v>14</v>
      </c>
      <c r="BI104">
        <v>6</v>
      </c>
      <c r="BJ104" t="s">
        <v>222</v>
      </c>
      <c r="BK104">
        <v>6.5</v>
      </c>
      <c r="BL104">
        <v>9</v>
      </c>
      <c r="BM104">
        <v>7.5</v>
      </c>
      <c r="BN104">
        <v>6.5</v>
      </c>
      <c r="BO104">
        <v>6.5</v>
      </c>
    </row>
    <row r="105" spans="1:67" x14ac:dyDescent="0.25">
      <c r="A105">
        <v>23</v>
      </c>
      <c r="B105" t="s">
        <v>384</v>
      </c>
      <c r="C105" t="s">
        <v>386</v>
      </c>
      <c r="D105">
        <v>16378</v>
      </c>
      <c r="E105" t="s">
        <v>127</v>
      </c>
      <c r="F105" t="s">
        <v>12</v>
      </c>
      <c r="G105" s="2">
        <v>31</v>
      </c>
      <c r="H105" s="3">
        <v>31</v>
      </c>
      <c r="I105" s="4">
        <f t="shared" si="21"/>
        <v>8</v>
      </c>
      <c r="J105">
        <f t="shared" si="16"/>
        <v>8</v>
      </c>
      <c r="K105" s="2" t="s">
        <v>14</v>
      </c>
      <c r="L105">
        <f t="shared" si="22"/>
        <v>16</v>
      </c>
      <c r="M105" s="2">
        <v>23.5</v>
      </c>
      <c r="N105" s="3">
        <v>31</v>
      </c>
      <c r="O105" s="4">
        <f t="shared" si="23"/>
        <v>7</v>
      </c>
      <c r="P105">
        <f t="shared" si="17"/>
        <v>9.5</v>
      </c>
      <c r="Q105" s="2">
        <v>44.5</v>
      </c>
      <c r="R105">
        <f t="shared" si="24"/>
        <v>61</v>
      </c>
      <c r="S105" s="2">
        <v>21</v>
      </c>
      <c r="T105" s="3">
        <v>36</v>
      </c>
      <c r="U105" s="4">
        <f t="shared" si="25"/>
        <v>7.5</v>
      </c>
      <c r="V105">
        <f t="shared" si="18"/>
        <v>8</v>
      </c>
      <c r="W105" s="2">
        <v>65.5</v>
      </c>
      <c r="X105">
        <f t="shared" si="26"/>
        <v>81</v>
      </c>
      <c r="Y105" s="2">
        <v>31</v>
      </c>
      <c r="Z105" s="3">
        <v>37.5</v>
      </c>
      <c r="AA105" s="4">
        <f t="shared" si="27"/>
        <v>9</v>
      </c>
      <c r="AB105">
        <f t="shared" si="19"/>
        <v>9.5</v>
      </c>
      <c r="AC105" s="2">
        <v>68</v>
      </c>
      <c r="AD105">
        <f t="shared" si="28"/>
        <v>87</v>
      </c>
      <c r="AE105" s="2">
        <v>33.5</v>
      </c>
      <c r="AF105" s="3">
        <v>35.5</v>
      </c>
      <c r="AG105" s="4">
        <f t="shared" si="29"/>
        <v>9</v>
      </c>
      <c r="AH105">
        <f t="shared" si="20"/>
        <v>8.5</v>
      </c>
      <c r="AI105" s="2">
        <v>67.5</v>
      </c>
      <c r="AJ105">
        <f t="shared" si="30"/>
        <v>85</v>
      </c>
      <c r="AK105" s="2">
        <v>20</v>
      </c>
      <c r="AL105" s="3">
        <v>18</v>
      </c>
      <c r="AM105" s="4">
        <v>25</v>
      </c>
      <c r="AN105" s="2">
        <v>10</v>
      </c>
      <c r="AO105" s="3">
        <v>19</v>
      </c>
      <c r="AP105" s="4">
        <v>38</v>
      </c>
      <c r="AQ105">
        <v>7</v>
      </c>
      <c r="AR105">
        <v>7</v>
      </c>
      <c r="AS105">
        <v>9.5</v>
      </c>
      <c r="AT105">
        <v>9</v>
      </c>
      <c r="AU105">
        <f t="shared" si="31"/>
        <v>4.5</v>
      </c>
      <c r="AV105" t="s">
        <v>230</v>
      </c>
      <c r="AW105" t="s">
        <v>231</v>
      </c>
      <c r="AX105" t="s">
        <v>232</v>
      </c>
      <c r="AY105" t="s">
        <v>310</v>
      </c>
      <c r="AZ105" t="s">
        <v>311</v>
      </c>
      <c r="BA105" t="s">
        <v>235</v>
      </c>
      <c r="BB105" t="s">
        <v>239</v>
      </c>
      <c r="BC105" t="s">
        <v>218</v>
      </c>
      <c r="BD105" t="s">
        <v>220</v>
      </c>
      <c r="BE105">
        <v>10</v>
      </c>
      <c r="BF105">
        <v>10</v>
      </c>
      <c r="BG105">
        <v>10</v>
      </c>
      <c r="BH105">
        <v>8</v>
      </c>
      <c r="BI105">
        <v>7.5</v>
      </c>
      <c r="BJ105" t="s">
        <v>222</v>
      </c>
      <c r="BK105">
        <v>7</v>
      </c>
      <c r="BL105">
        <v>9</v>
      </c>
      <c r="BM105">
        <v>8.5</v>
      </c>
      <c r="BN105">
        <v>8</v>
      </c>
      <c r="BO105">
        <v>8</v>
      </c>
    </row>
    <row r="106" spans="1:67" x14ac:dyDescent="0.25">
      <c r="A106">
        <v>24</v>
      </c>
      <c r="B106" t="s">
        <v>384</v>
      </c>
      <c r="C106" t="s">
        <v>386</v>
      </c>
      <c r="D106">
        <v>16274</v>
      </c>
      <c r="E106" t="s">
        <v>132</v>
      </c>
      <c r="F106" t="s">
        <v>12</v>
      </c>
      <c r="G106" s="2">
        <v>18</v>
      </c>
      <c r="H106" s="3">
        <v>17</v>
      </c>
      <c r="I106" s="4">
        <f t="shared" si="21"/>
        <v>4.5</v>
      </c>
      <c r="J106">
        <f t="shared" si="16"/>
        <v>4</v>
      </c>
      <c r="K106" s="2">
        <v>41</v>
      </c>
      <c r="L106">
        <f t="shared" si="22"/>
        <v>50</v>
      </c>
      <c r="M106" s="2">
        <v>38</v>
      </c>
      <c r="N106" s="3">
        <v>38</v>
      </c>
      <c r="O106" s="4">
        <f t="shared" si="23"/>
        <v>9.5</v>
      </c>
      <c r="P106">
        <f t="shared" si="17"/>
        <v>5</v>
      </c>
      <c r="Q106" s="2">
        <v>66.5</v>
      </c>
      <c r="R106">
        <f t="shared" si="24"/>
        <v>81</v>
      </c>
      <c r="S106" s="2">
        <v>24</v>
      </c>
      <c r="T106" s="3">
        <v>24</v>
      </c>
      <c r="U106" s="4">
        <f t="shared" si="25"/>
        <v>6</v>
      </c>
      <c r="V106">
        <f t="shared" si="18"/>
        <v>5.5</v>
      </c>
      <c r="W106" s="2">
        <v>48.5</v>
      </c>
      <c r="X106">
        <f t="shared" si="26"/>
        <v>60</v>
      </c>
      <c r="Y106" s="2">
        <v>28</v>
      </c>
      <c r="Z106" s="3">
        <v>30</v>
      </c>
      <c r="AA106" s="4">
        <f t="shared" si="27"/>
        <v>7.5</v>
      </c>
      <c r="AB106">
        <f t="shared" si="19"/>
        <v>8.5</v>
      </c>
      <c r="AC106" s="2">
        <v>45.5</v>
      </c>
      <c r="AD106">
        <f t="shared" si="28"/>
        <v>62</v>
      </c>
      <c r="AE106" s="2">
        <v>27.5</v>
      </c>
      <c r="AF106" s="3">
        <v>26.5</v>
      </c>
      <c r="AG106" s="4">
        <f t="shared" si="29"/>
        <v>7</v>
      </c>
      <c r="AH106">
        <f t="shared" si="20"/>
        <v>5.5</v>
      </c>
      <c r="AI106" s="2">
        <v>35</v>
      </c>
      <c r="AJ106">
        <f t="shared" si="30"/>
        <v>48</v>
      </c>
      <c r="AK106" s="2">
        <v>24</v>
      </c>
      <c r="AL106" s="3">
        <v>18.5</v>
      </c>
      <c r="AM106" s="4">
        <v>21.5</v>
      </c>
      <c r="AN106" s="2">
        <v>7</v>
      </c>
      <c r="AO106" s="3">
        <v>16</v>
      </c>
      <c r="AP106" s="4">
        <v>23</v>
      </c>
      <c r="AQ106">
        <v>8</v>
      </c>
      <c r="AR106">
        <v>6.5</v>
      </c>
      <c r="AS106">
        <v>10</v>
      </c>
      <c r="AT106">
        <v>5</v>
      </c>
      <c r="AU106">
        <f t="shared" si="31"/>
        <v>2.5</v>
      </c>
      <c r="AV106" t="s">
        <v>230</v>
      </c>
      <c r="AW106" t="s">
        <v>231</v>
      </c>
      <c r="AX106" t="s">
        <v>232</v>
      </c>
      <c r="AY106" t="s">
        <v>247</v>
      </c>
      <c r="BA106" t="s">
        <v>235</v>
      </c>
      <c r="BB106" t="s">
        <v>239</v>
      </c>
      <c r="BC106" t="s">
        <v>218</v>
      </c>
      <c r="BD106" t="s">
        <v>220</v>
      </c>
      <c r="BE106">
        <v>6</v>
      </c>
      <c r="BF106">
        <v>10</v>
      </c>
      <c r="BG106">
        <v>10</v>
      </c>
      <c r="BH106">
        <v>7.5</v>
      </c>
      <c r="BI106">
        <v>3.5</v>
      </c>
      <c r="BJ106" t="s">
        <v>222</v>
      </c>
      <c r="BK106">
        <v>5</v>
      </c>
      <c r="BL106" t="s">
        <v>14</v>
      </c>
      <c r="BM106">
        <v>6.5</v>
      </c>
      <c r="BN106" t="s">
        <v>32</v>
      </c>
      <c r="BO106">
        <v>7</v>
      </c>
    </row>
    <row r="107" spans="1:67" x14ac:dyDescent="0.25">
      <c r="A107">
        <v>25</v>
      </c>
      <c r="B107" t="s">
        <v>384</v>
      </c>
      <c r="C107" t="s">
        <v>386</v>
      </c>
      <c r="D107">
        <v>16218</v>
      </c>
      <c r="E107" t="s">
        <v>137</v>
      </c>
      <c r="F107" t="s">
        <v>12</v>
      </c>
      <c r="G107" s="2">
        <v>13.5</v>
      </c>
      <c r="H107" s="3">
        <v>9</v>
      </c>
      <c r="I107" s="4">
        <f t="shared" si="21"/>
        <v>3</v>
      </c>
      <c r="J107">
        <f t="shared" si="16"/>
        <v>4</v>
      </c>
      <c r="K107" s="2">
        <v>19</v>
      </c>
      <c r="L107">
        <f t="shared" si="22"/>
        <v>26</v>
      </c>
      <c r="M107" s="2">
        <v>22.5</v>
      </c>
      <c r="N107" s="3">
        <v>16.5</v>
      </c>
      <c r="O107" s="4">
        <f t="shared" si="23"/>
        <v>5</v>
      </c>
      <c r="P107">
        <f t="shared" si="17"/>
        <v>6.5</v>
      </c>
      <c r="Q107" s="2">
        <v>31</v>
      </c>
      <c r="R107">
        <f t="shared" si="24"/>
        <v>43</v>
      </c>
      <c r="S107" s="2">
        <v>1.5</v>
      </c>
      <c r="T107" s="3">
        <v>5.5</v>
      </c>
      <c r="U107" s="4">
        <f t="shared" si="25"/>
        <v>1</v>
      </c>
      <c r="V107">
        <f t="shared" si="18"/>
        <v>2</v>
      </c>
      <c r="W107" s="2">
        <v>13</v>
      </c>
      <c r="X107">
        <f t="shared" si="26"/>
        <v>16</v>
      </c>
      <c r="Y107" s="2">
        <v>11.5</v>
      </c>
      <c r="Z107" s="3">
        <v>17.5</v>
      </c>
      <c r="AA107" s="4">
        <f t="shared" si="27"/>
        <v>4</v>
      </c>
      <c r="AB107">
        <f t="shared" si="19"/>
        <v>5.5</v>
      </c>
      <c r="AC107" s="2">
        <v>36</v>
      </c>
      <c r="AD107">
        <f t="shared" si="28"/>
        <v>46</v>
      </c>
      <c r="AE107" s="2">
        <v>6.5</v>
      </c>
      <c r="AF107" s="3">
        <v>16</v>
      </c>
      <c r="AG107" s="4">
        <f t="shared" si="29"/>
        <v>3</v>
      </c>
      <c r="AH107">
        <f t="shared" si="20"/>
        <v>4</v>
      </c>
      <c r="AI107" s="2">
        <v>13</v>
      </c>
      <c r="AJ107">
        <f t="shared" si="30"/>
        <v>20</v>
      </c>
      <c r="AK107" s="2">
        <v>10.5</v>
      </c>
      <c r="AL107" s="3">
        <v>3</v>
      </c>
      <c r="AM107" s="4">
        <v>4.5</v>
      </c>
      <c r="AN107" s="2">
        <v>4</v>
      </c>
      <c r="AO107" s="3">
        <v>11</v>
      </c>
      <c r="AP107" s="4">
        <v>19.5</v>
      </c>
      <c r="AQ107">
        <v>8</v>
      </c>
      <c r="AR107">
        <v>3</v>
      </c>
      <c r="AS107">
        <v>10</v>
      </c>
      <c r="AT107">
        <v>2</v>
      </c>
      <c r="AU107">
        <f t="shared" si="31"/>
        <v>1</v>
      </c>
      <c r="AV107" t="s">
        <v>230</v>
      </c>
      <c r="AW107" t="s">
        <v>231</v>
      </c>
      <c r="AX107" t="s">
        <v>232</v>
      </c>
      <c r="AY107" t="s">
        <v>281</v>
      </c>
      <c r="BA107" t="s">
        <v>235</v>
      </c>
      <c r="BB107" t="s">
        <v>239</v>
      </c>
      <c r="BC107" t="s">
        <v>218</v>
      </c>
      <c r="BD107" t="s">
        <v>220</v>
      </c>
      <c r="BE107">
        <v>3</v>
      </c>
      <c r="BF107">
        <v>8</v>
      </c>
      <c r="BG107">
        <v>6</v>
      </c>
      <c r="BH107">
        <v>5.5</v>
      </c>
      <c r="BI107">
        <v>1</v>
      </c>
      <c r="BJ107" t="s">
        <v>222</v>
      </c>
      <c r="BK107">
        <v>4.5</v>
      </c>
      <c r="BL107">
        <v>4.5</v>
      </c>
      <c r="BM107">
        <v>5</v>
      </c>
      <c r="BN107">
        <v>2</v>
      </c>
      <c r="BO107">
        <v>2.5</v>
      </c>
    </row>
    <row r="108" spans="1:67" x14ac:dyDescent="0.25">
      <c r="A108">
        <v>26</v>
      </c>
      <c r="B108" t="s">
        <v>384</v>
      </c>
      <c r="C108" t="s">
        <v>386</v>
      </c>
      <c r="D108">
        <v>16379</v>
      </c>
      <c r="E108" t="s">
        <v>142</v>
      </c>
      <c r="F108" t="s">
        <v>12</v>
      </c>
      <c r="G108" s="2">
        <v>19.5</v>
      </c>
      <c r="H108" s="3">
        <v>16</v>
      </c>
      <c r="I108" s="4">
        <f t="shared" si="21"/>
        <v>4.5</v>
      </c>
      <c r="J108">
        <f t="shared" si="16"/>
        <v>7</v>
      </c>
      <c r="K108" s="2" t="s">
        <v>14</v>
      </c>
      <c r="L108">
        <f t="shared" si="22"/>
        <v>12</v>
      </c>
      <c r="M108" s="2">
        <v>24</v>
      </c>
      <c r="N108" s="3">
        <v>23.5</v>
      </c>
      <c r="O108" s="4">
        <f t="shared" si="23"/>
        <v>6</v>
      </c>
      <c r="P108">
        <f t="shared" si="17"/>
        <v>10</v>
      </c>
      <c r="Q108" s="2">
        <v>31.5</v>
      </c>
      <c r="R108">
        <f t="shared" si="24"/>
        <v>48</v>
      </c>
      <c r="S108" s="2">
        <v>17</v>
      </c>
      <c r="T108" s="3">
        <v>15</v>
      </c>
      <c r="U108" s="4">
        <f t="shared" si="25"/>
        <v>4</v>
      </c>
      <c r="V108">
        <f t="shared" si="18"/>
        <v>3.5</v>
      </c>
      <c r="W108" s="2">
        <v>22.5</v>
      </c>
      <c r="X108">
        <f t="shared" si="26"/>
        <v>30</v>
      </c>
      <c r="Y108" s="2">
        <v>15</v>
      </c>
      <c r="Z108" s="3">
        <v>20</v>
      </c>
      <c r="AA108" s="4">
        <f t="shared" si="27"/>
        <v>4.5</v>
      </c>
      <c r="AB108">
        <f t="shared" si="19"/>
        <v>7</v>
      </c>
      <c r="AC108" s="2">
        <v>32</v>
      </c>
      <c r="AD108">
        <f t="shared" si="28"/>
        <v>44</v>
      </c>
      <c r="AE108" s="2">
        <v>15.5</v>
      </c>
      <c r="AF108" s="3">
        <v>18</v>
      </c>
      <c r="AG108" s="4">
        <f t="shared" si="29"/>
        <v>4.5</v>
      </c>
      <c r="AH108">
        <f t="shared" si="20"/>
        <v>5.5</v>
      </c>
      <c r="AI108" s="2">
        <v>21</v>
      </c>
      <c r="AJ108">
        <f t="shared" si="30"/>
        <v>31</v>
      </c>
      <c r="AK108" s="2">
        <v>11.5</v>
      </c>
      <c r="AL108" s="3">
        <v>5</v>
      </c>
      <c r="AM108" s="4">
        <v>20</v>
      </c>
      <c r="AN108" s="2">
        <v>6</v>
      </c>
      <c r="AO108" s="3">
        <v>15</v>
      </c>
      <c r="AP108" s="4">
        <v>25</v>
      </c>
      <c r="AQ108">
        <v>7</v>
      </c>
      <c r="AR108">
        <v>6</v>
      </c>
      <c r="AS108">
        <v>9.5</v>
      </c>
      <c r="AT108">
        <v>4</v>
      </c>
      <c r="AU108">
        <f t="shared" si="31"/>
        <v>2</v>
      </c>
      <c r="AV108" t="s">
        <v>230</v>
      </c>
      <c r="AW108" t="s">
        <v>231</v>
      </c>
      <c r="AX108" t="s">
        <v>232</v>
      </c>
      <c r="AY108" t="s">
        <v>251</v>
      </c>
      <c r="AZ108" t="s">
        <v>312</v>
      </c>
      <c r="BA108" t="s">
        <v>235</v>
      </c>
      <c r="BB108" t="s">
        <v>239</v>
      </c>
      <c r="BC108" t="s">
        <v>218</v>
      </c>
      <c r="BD108" t="s">
        <v>220</v>
      </c>
      <c r="BE108">
        <v>5</v>
      </c>
      <c r="BF108">
        <v>10</v>
      </c>
      <c r="BG108">
        <v>8</v>
      </c>
      <c r="BH108">
        <v>8</v>
      </c>
      <c r="BI108">
        <v>4</v>
      </c>
      <c r="BJ108" t="s">
        <v>222</v>
      </c>
      <c r="BK108">
        <v>5.5</v>
      </c>
      <c r="BL108">
        <v>9.5</v>
      </c>
      <c r="BM108">
        <v>5.5</v>
      </c>
      <c r="BN108">
        <v>5.5</v>
      </c>
      <c r="BO108">
        <v>3</v>
      </c>
    </row>
    <row r="109" spans="1:67" x14ac:dyDescent="0.25">
      <c r="A109">
        <v>27</v>
      </c>
      <c r="B109" t="s">
        <v>384</v>
      </c>
      <c r="C109" t="s">
        <v>386</v>
      </c>
      <c r="D109">
        <v>17678</v>
      </c>
      <c r="E109" t="s">
        <v>147</v>
      </c>
      <c r="F109" t="s">
        <v>12</v>
      </c>
      <c r="G109" s="2">
        <v>22.5</v>
      </c>
      <c r="H109" s="3">
        <v>26</v>
      </c>
      <c r="I109" s="4">
        <f t="shared" si="21"/>
        <v>6.5</v>
      </c>
      <c r="J109">
        <f t="shared" si="16"/>
        <v>8</v>
      </c>
      <c r="K109" s="2">
        <v>47.5</v>
      </c>
      <c r="L109">
        <f t="shared" si="22"/>
        <v>62</v>
      </c>
      <c r="M109" s="2" t="s">
        <v>14</v>
      </c>
      <c r="N109" s="3">
        <v>38.5</v>
      </c>
      <c r="O109" s="4">
        <f t="shared" si="23"/>
        <v>5</v>
      </c>
      <c r="P109">
        <f t="shared" si="17"/>
        <v>10</v>
      </c>
      <c r="Q109" s="2">
        <v>78</v>
      </c>
      <c r="R109">
        <f t="shared" si="24"/>
        <v>93</v>
      </c>
      <c r="S109" s="2" t="s">
        <v>32</v>
      </c>
      <c r="T109" s="3">
        <v>28.5</v>
      </c>
      <c r="U109" s="4">
        <f t="shared" si="25"/>
        <v>4</v>
      </c>
      <c r="V109">
        <f t="shared" si="18"/>
        <v>6.5</v>
      </c>
      <c r="W109" s="2">
        <v>54</v>
      </c>
      <c r="X109">
        <f t="shared" si="26"/>
        <v>65</v>
      </c>
      <c r="Y109" s="2">
        <v>28</v>
      </c>
      <c r="Z109" s="3">
        <v>30</v>
      </c>
      <c r="AA109" s="4">
        <f t="shared" si="27"/>
        <v>7.5</v>
      </c>
      <c r="AB109">
        <f t="shared" si="19"/>
        <v>8.5</v>
      </c>
      <c r="AC109" s="2">
        <v>52.5</v>
      </c>
      <c r="AD109">
        <f t="shared" si="28"/>
        <v>69</v>
      </c>
      <c r="AE109" s="2">
        <v>20.5</v>
      </c>
      <c r="AF109" s="3">
        <v>25</v>
      </c>
      <c r="AG109" s="4">
        <f t="shared" si="29"/>
        <v>6</v>
      </c>
      <c r="AH109">
        <f t="shared" si="20"/>
        <v>6</v>
      </c>
      <c r="AI109" s="2">
        <v>45</v>
      </c>
      <c r="AJ109">
        <f t="shared" si="30"/>
        <v>57</v>
      </c>
      <c r="AK109" s="2">
        <v>20</v>
      </c>
      <c r="AL109" s="3">
        <v>13.5</v>
      </c>
      <c r="AM109" s="4">
        <v>17.5</v>
      </c>
      <c r="AN109" s="2">
        <v>6</v>
      </c>
      <c r="AO109" s="3">
        <v>13</v>
      </c>
      <c r="AP109" s="4">
        <v>20</v>
      </c>
      <c r="AQ109">
        <v>8</v>
      </c>
      <c r="AR109">
        <v>7</v>
      </c>
      <c r="AS109">
        <v>10</v>
      </c>
      <c r="AT109">
        <v>4</v>
      </c>
      <c r="AU109">
        <f t="shared" si="31"/>
        <v>2</v>
      </c>
      <c r="AV109" t="s">
        <v>230</v>
      </c>
      <c r="AW109" t="s">
        <v>231</v>
      </c>
      <c r="AX109" t="s">
        <v>232</v>
      </c>
      <c r="AY109" t="s">
        <v>251</v>
      </c>
      <c r="BA109" t="s">
        <v>235</v>
      </c>
      <c r="BB109" t="s">
        <v>239</v>
      </c>
      <c r="BC109" t="s">
        <v>218</v>
      </c>
      <c r="BD109" t="s">
        <v>220</v>
      </c>
      <c r="BE109">
        <v>5</v>
      </c>
      <c r="BF109">
        <v>10</v>
      </c>
      <c r="BG109">
        <v>9.5</v>
      </c>
      <c r="BH109">
        <v>7.5</v>
      </c>
      <c r="BI109">
        <v>5</v>
      </c>
      <c r="BJ109" t="s">
        <v>222</v>
      </c>
      <c r="BK109">
        <v>6.5</v>
      </c>
      <c r="BL109">
        <v>9.5</v>
      </c>
      <c r="BM109">
        <v>7</v>
      </c>
      <c r="BN109">
        <v>8</v>
      </c>
      <c r="BO109">
        <v>7.5</v>
      </c>
    </row>
    <row r="110" spans="1:67" x14ac:dyDescent="0.25">
      <c r="A110">
        <v>28</v>
      </c>
      <c r="B110" t="s">
        <v>384</v>
      </c>
      <c r="C110" t="s">
        <v>386</v>
      </c>
      <c r="D110">
        <v>16319</v>
      </c>
      <c r="E110" t="s">
        <v>152</v>
      </c>
      <c r="F110" t="s">
        <v>12</v>
      </c>
      <c r="G110" s="2">
        <v>25</v>
      </c>
      <c r="H110" s="3">
        <v>22.5</v>
      </c>
      <c r="I110" s="4">
        <f t="shared" si="21"/>
        <v>6</v>
      </c>
      <c r="J110">
        <f t="shared" si="16"/>
        <v>7.5</v>
      </c>
      <c r="K110" s="2">
        <v>49.5</v>
      </c>
      <c r="L110">
        <f t="shared" si="22"/>
        <v>63</v>
      </c>
      <c r="M110" s="2">
        <v>37</v>
      </c>
      <c r="N110" s="3">
        <v>31</v>
      </c>
      <c r="O110" s="4">
        <f t="shared" si="23"/>
        <v>8.5</v>
      </c>
      <c r="P110">
        <f t="shared" si="17"/>
        <v>10</v>
      </c>
      <c r="Q110" s="2">
        <v>64</v>
      </c>
      <c r="R110">
        <f t="shared" si="24"/>
        <v>83</v>
      </c>
      <c r="S110" s="2">
        <v>32</v>
      </c>
      <c r="T110" s="3">
        <v>30</v>
      </c>
      <c r="U110" s="4">
        <f t="shared" si="25"/>
        <v>8</v>
      </c>
      <c r="V110">
        <f t="shared" si="18"/>
        <v>6</v>
      </c>
      <c r="W110" s="2">
        <v>56</v>
      </c>
      <c r="X110">
        <f t="shared" si="26"/>
        <v>70</v>
      </c>
      <c r="Y110" s="2">
        <v>24</v>
      </c>
      <c r="Z110" s="3">
        <v>30.5</v>
      </c>
      <c r="AA110" s="4">
        <f t="shared" si="27"/>
        <v>7</v>
      </c>
      <c r="AB110">
        <f t="shared" si="19"/>
        <v>8.5</v>
      </c>
      <c r="AC110" s="2">
        <v>49.5</v>
      </c>
      <c r="AD110">
        <f t="shared" si="28"/>
        <v>65</v>
      </c>
      <c r="AE110" s="2">
        <v>23.5</v>
      </c>
      <c r="AF110" s="3">
        <v>25</v>
      </c>
      <c r="AG110" s="4">
        <f t="shared" si="29"/>
        <v>6.5</v>
      </c>
      <c r="AH110">
        <f t="shared" si="20"/>
        <v>7</v>
      </c>
      <c r="AI110" s="2">
        <v>42</v>
      </c>
      <c r="AJ110">
        <f t="shared" si="30"/>
        <v>56</v>
      </c>
      <c r="AK110" s="2">
        <v>22</v>
      </c>
      <c r="AL110" s="3">
        <v>22</v>
      </c>
      <c r="AM110" s="4">
        <v>24</v>
      </c>
      <c r="AN110" s="2">
        <v>10</v>
      </c>
      <c r="AO110" s="3">
        <v>16</v>
      </c>
      <c r="AP110" s="4">
        <v>27</v>
      </c>
      <c r="AQ110">
        <v>8</v>
      </c>
      <c r="AR110">
        <v>5.5</v>
      </c>
      <c r="AS110">
        <v>10</v>
      </c>
      <c r="AT110">
        <v>4</v>
      </c>
      <c r="AU110">
        <f t="shared" si="31"/>
        <v>2</v>
      </c>
      <c r="AV110" t="s">
        <v>230</v>
      </c>
      <c r="AW110" t="s">
        <v>231</v>
      </c>
      <c r="AX110" t="s">
        <v>232</v>
      </c>
      <c r="AY110" t="s">
        <v>303</v>
      </c>
      <c r="AZ110" t="s">
        <v>305</v>
      </c>
      <c r="BA110" t="s">
        <v>235</v>
      </c>
      <c r="BB110" t="s">
        <v>239</v>
      </c>
      <c r="BC110" t="s">
        <v>218</v>
      </c>
      <c r="BD110" t="s">
        <v>220</v>
      </c>
      <c r="BE110">
        <v>5</v>
      </c>
      <c r="BF110">
        <v>10</v>
      </c>
      <c r="BG110">
        <v>10</v>
      </c>
      <c r="BH110">
        <v>8</v>
      </c>
      <c r="BI110">
        <v>5.5</v>
      </c>
      <c r="BJ110" t="s">
        <v>222</v>
      </c>
      <c r="BK110">
        <v>8.5</v>
      </c>
      <c r="BL110">
        <v>9.5</v>
      </c>
      <c r="BM110">
        <v>7</v>
      </c>
      <c r="BN110">
        <v>7</v>
      </c>
      <c r="BO110">
        <v>6</v>
      </c>
    </row>
    <row r="111" spans="1:67" x14ac:dyDescent="0.25">
      <c r="A111">
        <v>29</v>
      </c>
      <c r="B111" t="s">
        <v>384</v>
      </c>
      <c r="C111" t="s">
        <v>386</v>
      </c>
      <c r="D111">
        <v>17693</v>
      </c>
      <c r="E111" t="s">
        <v>157</v>
      </c>
      <c r="F111" t="s">
        <v>12</v>
      </c>
      <c r="G111" s="2">
        <v>28.5</v>
      </c>
      <c r="H111" s="3">
        <v>31.5</v>
      </c>
      <c r="I111" s="4">
        <f t="shared" si="21"/>
        <v>7.5</v>
      </c>
      <c r="J111">
        <f t="shared" si="16"/>
        <v>9.5</v>
      </c>
      <c r="K111" s="2">
        <v>50.5</v>
      </c>
      <c r="L111">
        <f t="shared" si="22"/>
        <v>68</v>
      </c>
      <c r="M111" s="2">
        <v>29.5</v>
      </c>
      <c r="N111" s="3">
        <v>25.5</v>
      </c>
      <c r="O111" s="4">
        <f t="shared" si="23"/>
        <v>7</v>
      </c>
      <c r="P111">
        <f t="shared" si="17"/>
        <v>9.5</v>
      </c>
      <c r="Q111" s="2">
        <v>37.5</v>
      </c>
      <c r="R111">
        <f t="shared" si="24"/>
        <v>54</v>
      </c>
      <c r="S111" s="2">
        <v>23.5</v>
      </c>
      <c r="T111" s="3">
        <v>22.5</v>
      </c>
      <c r="U111" s="4">
        <f t="shared" si="25"/>
        <v>6</v>
      </c>
      <c r="V111">
        <f t="shared" si="18"/>
        <v>6.5</v>
      </c>
      <c r="W111" s="2">
        <v>54</v>
      </c>
      <c r="X111">
        <f t="shared" si="26"/>
        <v>67</v>
      </c>
      <c r="Y111" s="2">
        <v>25.5</v>
      </c>
      <c r="Z111" s="3">
        <v>34.5</v>
      </c>
      <c r="AA111" s="4">
        <f t="shared" si="27"/>
        <v>7.5</v>
      </c>
      <c r="AB111">
        <f t="shared" si="19"/>
        <v>8.5</v>
      </c>
      <c r="AC111" s="2">
        <v>58.5</v>
      </c>
      <c r="AD111">
        <f t="shared" si="28"/>
        <v>75</v>
      </c>
      <c r="AE111" s="2">
        <v>22</v>
      </c>
      <c r="AF111" s="3">
        <v>27.5</v>
      </c>
      <c r="AG111" s="4">
        <f t="shared" si="29"/>
        <v>6.5</v>
      </c>
      <c r="AH111">
        <f t="shared" si="20"/>
        <v>8.5</v>
      </c>
      <c r="AI111" s="2">
        <v>37.5</v>
      </c>
      <c r="AJ111">
        <f t="shared" si="30"/>
        <v>53</v>
      </c>
      <c r="AK111" s="2">
        <v>12</v>
      </c>
      <c r="AL111" s="3">
        <v>12</v>
      </c>
      <c r="AM111" s="4">
        <v>11</v>
      </c>
      <c r="AN111" s="2">
        <v>7</v>
      </c>
      <c r="AO111" s="3">
        <v>21</v>
      </c>
      <c r="AP111" s="4">
        <v>28</v>
      </c>
      <c r="AQ111">
        <v>8</v>
      </c>
      <c r="AR111">
        <v>8</v>
      </c>
      <c r="AS111">
        <v>10</v>
      </c>
      <c r="AT111">
        <v>5</v>
      </c>
      <c r="AU111">
        <f t="shared" si="31"/>
        <v>2.5</v>
      </c>
      <c r="AV111" t="s">
        <v>230</v>
      </c>
      <c r="AW111" t="s">
        <v>231</v>
      </c>
      <c r="AX111" t="s">
        <v>232</v>
      </c>
      <c r="AY111" t="s">
        <v>240</v>
      </c>
      <c r="AZ111" t="s">
        <v>313</v>
      </c>
      <c r="BA111" t="s">
        <v>301</v>
      </c>
      <c r="BB111" t="s">
        <v>239</v>
      </c>
      <c r="BC111" t="s">
        <v>218</v>
      </c>
      <c r="BD111" t="s">
        <v>220</v>
      </c>
      <c r="BE111">
        <v>8</v>
      </c>
      <c r="BF111">
        <v>10</v>
      </c>
      <c r="BG111">
        <v>9</v>
      </c>
      <c r="BH111">
        <v>9.5</v>
      </c>
      <c r="BI111">
        <v>7</v>
      </c>
      <c r="BJ111" t="s">
        <v>222</v>
      </c>
      <c r="BK111">
        <v>9</v>
      </c>
      <c r="BL111">
        <v>9</v>
      </c>
      <c r="BM111">
        <v>8</v>
      </c>
      <c r="BN111">
        <v>9</v>
      </c>
      <c r="BO111">
        <v>6</v>
      </c>
    </row>
    <row r="112" spans="1:67" x14ac:dyDescent="0.25">
      <c r="A112">
        <v>30</v>
      </c>
      <c r="B112" t="s">
        <v>384</v>
      </c>
      <c r="C112" t="s">
        <v>386</v>
      </c>
      <c r="D112">
        <v>16574</v>
      </c>
      <c r="E112" t="s">
        <v>162</v>
      </c>
      <c r="F112" t="s">
        <v>12</v>
      </c>
      <c r="G112" s="2">
        <v>16</v>
      </c>
      <c r="H112" s="3">
        <v>14</v>
      </c>
      <c r="I112" s="4">
        <f t="shared" si="21"/>
        <v>4</v>
      </c>
      <c r="J112">
        <f t="shared" si="16"/>
        <v>4</v>
      </c>
      <c r="K112" s="2">
        <v>25</v>
      </c>
      <c r="L112">
        <f t="shared" si="22"/>
        <v>33</v>
      </c>
      <c r="M112" s="2">
        <v>26</v>
      </c>
      <c r="N112" s="3">
        <v>26</v>
      </c>
      <c r="O112" s="4">
        <f t="shared" si="23"/>
        <v>6.5</v>
      </c>
      <c r="P112">
        <f t="shared" si="17"/>
        <v>8.5</v>
      </c>
      <c r="Q112" s="2">
        <v>34.5</v>
      </c>
      <c r="R112">
        <f t="shared" si="24"/>
        <v>50</v>
      </c>
      <c r="S112" s="2">
        <v>8.5</v>
      </c>
      <c r="T112" s="3">
        <v>16</v>
      </c>
      <c r="U112" s="4">
        <f t="shared" si="25"/>
        <v>3.5</v>
      </c>
      <c r="V112">
        <f t="shared" si="18"/>
        <v>4</v>
      </c>
      <c r="W112" s="2">
        <v>22</v>
      </c>
      <c r="X112">
        <f t="shared" si="26"/>
        <v>30</v>
      </c>
      <c r="Y112" s="2">
        <v>23.5</v>
      </c>
      <c r="Z112" s="3">
        <v>23</v>
      </c>
      <c r="AA112" s="4">
        <f t="shared" si="27"/>
        <v>6</v>
      </c>
      <c r="AB112">
        <f t="shared" si="19"/>
        <v>6.5</v>
      </c>
      <c r="AC112" s="2">
        <v>45.5</v>
      </c>
      <c r="AD112">
        <f t="shared" si="28"/>
        <v>58</v>
      </c>
      <c r="AE112" s="2">
        <v>12</v>
      </c>
      <c r="AF112" s="3">
        <v>18.5</v>
      </c>
      <c r="AG112" s="4">
        <f t="shared" si="29"/>
        <v>4</v>
      </c>
      <c r="AH112">
        <f t="shared" si="20"/>
        <v>6</v>
      </c>
      <c r="AI112" s="2">
        <v>19.5</v>
      </c>
      <c r="AJ112">
        <f t="shared" si="30"/>
        <v>30</v>
      </c>
      <c r="AK112" s="2">
        <v>18</v>
      </c>
      <c r="AL112" s="3">
        <v>8.5</v>
      </c>
      <c r="AM112" s="4">
        <v>10</v>
      </c>
      <c r="AN112" s="2">
        <v>7</v>
      </c>
      <c r="AO112" s="3">
        <v>12</v>
      </c>
      <c r="AP112" s="4">
        <v>19.5</v>
      </c>
      <c r="AQ112">
        <v>8</v>
      </c>
      <c r="AR112">
        <v>6</v>
      </c>
      <c r="AS112">
        <v>10</v>
      </c>
      <c r="AT112">
        <v>4.5</v>
      </c>
      <c r="AU112">
        <f t="shared" si="31"/>
        <v>2.5</v>
      </c>
      <c r="AV112" t="s">
        <v>230</v>
      </c>
      <c r="AW112" t="s">
        <v>231</v>
      </c>
      <c r="AX112" t="s">
        <v>232</v>
      </c>
      <c r="AY112" t="s">
        <v>254</v>
      </c>
      <c r="BA112" t="s">
        <v>235</v>
      </c>
      <c r="BB112" t="s">
        <v>239</v>
      </c>
      <c r="BC112" t="s">
        <v>218</v>
      </c>
      <c r="BD112" t="s">
        <v>220</v>
      </c>
      <c r="BE112">
        <v>6</v>
      </c>
      <c r="BF112">
        <v>10</v>
      </c>
      <c r="BG112">
        <v>6.5</v>
      </c>
      <c r="BH112">
        <v>5.5</v>
      </c>
      <c r="BI112">
        <v>2.5</v>
      </c>
      <c r="BJ112" t="s">
        <v>222</v>
      </c>
      <c r="BK112">
        <v>5.5</v>
      </c>
      <c r="BL112">
        <v>7</v>
      </c>
      <c r="BM112">
        <v>6.5</v>
      </c>
      <c r="BN112">
        <v>2.5</v>
      </c>
      <c r="BO112">
        <v>5.5</v>
      </c>
    </row>
    <row r="113" spans="1:67" x14ac:dyDescent="0.25">
      <c r="A113">
        <v>31</v>
      </c>
      <c r="B113" t="s">
        <v>384</v>
      </c>
      <c r="C113" t="s">
        <v>386</v>
      </c>
      <c r="D113">
        <v>16403</v>
      </c>
      <c r="E113" t="s">
        <v>167</v>
      </c>
      <c r="F113" t="s">
        <v>12</v>
      </c>
      <c r="G113" s="2">
        <v>20.5</v>
      </c>
      <c r="H113" s="3">
        <v>19.5</v>
      </c>
      <c r="I113" s="4">
        <f t="shared" si="21"/>
        <v>5</v>
      </c>
      <c r="J113">
        <f t="shared" si="16"/>
        <v>7.5</v>
      </c>
      <c r="K113" s="2">
        <v>51</v>
      </c>
      <c r="L113">
        <f t="shared" si="22"/>
        <v>64</v>
      </c>
      <c r="M113" s="2">
        <v>33.5</v>
      </c>
      <c r="N113" s="3">
        <v>34</v>
      </c>
      <c r="O113" s="4">
        <f t="shared" si="23"/>
        <v>8.5</v>
      </c>
      <c r="P113">
        <f t="shared" si="17"/>
        <v>10</v>
      </c>
      <c r="Q113" s="2">
        <v>58.5</v>
      </c>
      <c r="R113">
        <f t="shared" si="24"/>
        <v>77</v>
      </c>
      <c r="S113" s="2">
        <v>26.5</v>
      </c>
      <c r="T113" s="3">
        <v>28</v>
      </c>
      <c r="U113" s="4">
        <f t="shared" si="25"/>
        <v>7</v>
      </c>
      <c r="V113">
        <f t="shared" si="18"/>
        <v>7</v>
      </c>
      <c r="W113" s="2">
        <v>59</v>
      </c>
      <c r="X113">
        <f t="shared" si="26"/>
        <v>73</v>
      </c>
      <c r="Y113" s="2">
        <v>22.5</v>
      </c>
      <c r="Z113" s="3">
        <v>33</v>
      </c>
      <c r="AA113" s="4">
        <f t="shared" si="27"/>
        <v>7</v>
      </c>
      <c r="AB113">
        <f t="shared" si="19"/>
        <v>8</v>
      </c>
      <c r="AC113" s="2">
        <v>56</v>
      </c>
      <c r="AD113">
        <f t="shared" si="28"/>
        <v>71</v>
      </c>
      <c r="AE113" s="2">
        <v>31.5</v>
      </c>
      <c r="AF113" s="3">
        <v>37.5</v>
      </c>
      <c r="AG113" s="4">
        <f t="shared" si="29"/>
        <v>9</v>
      </c>
      <c r="AH113">
        <f t="shared" si="20"/>
        <v>7</v>
      </c>
      <c r="AI113" s="2">
        <v>53</v>
      </c>
      <c r="AJ113">
        <f t="shared" si="30"/>
        <v>69</v>
      </c>
      <c r="AK113" s="2">
        <v>20.5</v>
      </c>
      <c r="AL113" s="3">
        <v>17</v>
      </c>
      <c r="AM113" s="4">
        <v>21.5</v>
      </c>
      <c r="AN113" s="2">
        <v>9</v>
      </c>
      <c r="AO113" s="3">
        <v>18</v>
      </c>
      <c r="AP113" s="4">
        <v>27</v>
      </c>
      <c r="AQ113">
        <v>8</v>
      </c>
      <c r="AR113">
        <v>5</v>
      </c>
      <c r="AS113">
        <v>9.5</v>
      </c>
      <c r="AT113">
        <v>5</v>
      </c>
      <c r="AU113">
        <f t="shared" si="31"/>
        <v>2.5</v>
      </c>
      <c r="AV113" t="s">
        <v>230</v>
      </c>
      <c r="AW113" t="s">
        <v>231</v>
      </c>
      <c r="AX113" t="s">
        <v>232</v>
      </c>
      <c r="AY113" t="s">
        <v>314</v>
      </c>
      <c r="BA113" t="s">
        <v>235</v>
      </c>
      <c r="BB113" t="s">
        <v>239</v>
      </c>
      <c r="BC113" t="s">
        <v>218</v>
      </c>
      <c r="BD113" t="s">
        <v>220</v>
      </c>
      <c r="BE113">
        <v>8</v>
      </c>
      <c r="BF113">
        <v>10</v>
      </c>
      <c r="BG113">
        <v>9</v>
      </c>
      <c r="BH113">
        <v>8</v>
      </c>
      <c r="BI113">
        <v>8</v>
      </c>
      <c r="BJ113" t="s">
        <v>222</v>
      </c>
      <c r="BK113">
        <v>6</v>
      </c>
      <c r="BL113">
        <v>9.5</v>
      </c>
      <c r="BM113">
        <v>7</v>
      </c>
      <c r="BN113">
        <v>6.5</v>
      </c>
      <c r="BO113">
        <v>5.5</v>
      </c>
    </row>
    <row r="114" spans="1:67" x14ac:dyDescent="0.25">
      <c r="A114">
        <v>32</v>
      </c>
      <c r="B114" t="s">
        <v>384</v>
      </c>
      <c r="C114" t="s">
        <v>386</v>
      </c>
      <c r="D114">
        <v>16232</v>
      </c>
      <c r="E114" t="s">
        <v>172</v>
      </c>
      <c r="F114" t="s">
        <v>12</v>
      </c>
      <c r="G114" s="2">
        <v>13.5</v>
      </c>
      <c r="H114" s="3">
        <v>10.5</v>
      </c>
      <c r="I114" s="4">
        <f t="shared" si="21"/>
        <v>3</v>
      </c>
      <c r="J114">
        <f t="shared" si="16"/>
        <v>5</v>
      </c>
      <c r="K114" s="2">
        <v>30.5</v>
      </c>
      <c r="L114">
        <f t="shared" si="22"/>
        <v>39</v>
      </c>
      <c r="M114" s="2">
        <v>7</v>
      </c>
      <c r="N114" s="3">
        <v>15</v>
      </c>
      <c r="O114" s="4">
        <f t="shared" si="23"/>
        <v>3</v>
      </c>
      <c r="P114">
        <f t="shared" si="17"/>
        <v>8</v>
      </c>
      <c r="Q114" s="2">
        <v>20.5</v>
      </c>
      <c r="R114">
        <f t="shared" si="24"/>
        <v>32</v>
      </c>
      <c r="S114" s="2">
        <v>13.5</v>
      </c>
      <c r="T114" s="3">
        <v>4.5</v>
      </c>
      <c r="U114" s="4">
        <f t="shared" si="25"/>
        <v>2.5</v>
      </c>
      <c r="V114">
        <f t="shared" si="18"/>
        <v>3.5</v>
      </c>
      <c r="W114" s="2">
        <v>15</v>
      </c>
      <c r="X114">
        <f t="shared" si="26"/>
        <v>21</v>
      </c>
      <c r="Y114" s="2">
        <v>9.5</v>
      </c>
      <c r="Z114" s="3">
        <v>14</v>
      </c>
      <c r="AA114" s="4">
        <f t="shared" si="27"/>
        <v>3</v>
      </c>
      <c r="AB114">
        <f t="shared" si="19"/>
        <v>5.5</v>
      </c>
      <c r="AC114" s="2">
        <v>36</v>
      </c>
      <c r="AD114">
        <f t="shared" si="28"/>
        <v>45</v>
      </c>
      <c r="AE114" s="2">
        <v>7</v>
      </c>
      <c r="AF114" s="3">
        <v>10</v>
      </c>
      <c r="AG114" s="4">
        <f t="shared" si="29"/>
        <v>2.5</v>
      </c>
      <c r="AH114">
        <f t="shared" si="20"/>
        <v>2</v>
      </c>
      <c r="AI114" s="2">
        <v>7</v>
      </c>
      <c r="AJ114">
        <f t="shared" si="30"/>
        <v>12</v>
      </c>
      <c r="AK114" s="2">
        <v>5</v>
      </c>
      <c r="AL114" s="3">
        <v>4.5</v>
      </c>
      <c r="AM114" s="4">
        <v>8.5</v>
      </c>
      <c r="AN114" s="2">
        <v>6</v>
      </c>
      <c r="AO114" s="3">
        <v>12</v>
      </c>
      <c r="AP114" s="4">
        <v>20.5</v>
      </c>
      <c r="AQ114">
        <v>8</v>
      </c>
      <c r="AR114">
        <v>6</v>
      </c>
      <c r="AS114">
        <v>10</v>
      </c>
      <c r="AT114">
        <v>3</v>
      </c>
      <c r="AU114">
        <f t="shared" si="31"/>
        <v>1.5</v>
      </c>
      <c r="AV114" t="s">
        <v>230</v>
      </c>
      <c r="AW114" t="s">
        <v>231</v>
      </c>
      <c r="AX114" t="s">
        <v>232</v>
      </c>
      <c r="AY114" t="s">
        <v>253</v>
      </c>
      <c r="BA114" t="s">
        <v>235</v>
      </c>
      <c r="BB114" t="s">
        <v>239</v>
      </c>
      <c r="BC114" t="s">
        <v>218</v>
      </c>
      <c r="BD114" t="s">
        <v>220</v>
      </c>
      <c r="BE114">
        <v>1.5</v>
      </c>
      <c r="BF114">
        <v>10</v>
      </c>
      <c r="BG114">
        <v>5.5</v>
      </c>
      <c r="BH114">
        <v>4.5</v>
      </c>
      <c r="BI114">
        <v>3.5</v>
      </c>
      <c r="BJ114" t="s">
        <v>222</v>
      </c>
      <c r="BK114">
        <v>2</v>
      </c>
      <c r="BL114">
        <v>5.5</v>
      </c>
      <c r="BM114">
        <v>5.5</v>
      </c>
      <c r="BN114">
        <v>5</v>
      </c>
      <c r="BO114">
        <v>3</v>
      </c>
    </row>
    <row r="115" spans="1:67" x14ac:dyDescent="0.25">
      <c r="A115">
        <v>33</v>
      </c>
      <c r="B115" t="s">
        <v>384</v>
      </c>
      <c r="C115" t="s">
        <v>386</v>
      </c>
      <c r="D115">
        <v>16212</v>
      </c>
      <c r="E115" t="s">
        <v>177</v>
      </c>
      <c r="F115" t="s">
        <v>12</v>
      </c>
      <c r="G115" s="2">
        <v>24</v>
      </c>
      <c r="H115" s="3">
        <v>23</v>
      </c>
      <c r="I115" s="4">
        <f t="shared" si="21"/>
        <v>6</v>
      </c>
      <c r="J115">
        <f t="shared" si="16"/>
        <v>7</v>
      </c>
      <c r="K115" s="2">
        <v>44.5</v>
      </c>
      <c r="L115">
        <f t="shared" si="22"/>
        <v>58</v>
      </c>
      <c r="M115" s="2">
        <v>30</v>
      </c>
      <c r="N115" s="3">
        <v>32</v>
      </c>
      <c r="O115" s="4">
        <f t="shared" si="23"/>
        <v>8</v>
      </c>
      <c r="P115">
        <f t="shared" si="17"/>
        <v>4</v>
      </c>
      <c r="Q115" s="2">
        <v>51.5</v>
      </c>
      <c r="R115">
        <f t="shared" si="24"/>
        <v>64</v>
      </c>
      <c r="S115" s="2">
        <v>27</v>
      </c>
      <c r="T115" s="3">
        <v>14</v>
      </c>
      <c r="U115" s="4">
        <f t="shared" si="25"/>
        <v>5.5</v>
      </c>
      <c r="V115">
        <f t="shared" si="18"/>
        <v>4.5</v>
      </c>
      <c r="W115" s="2">
        <v>33</v>
      </c>
      <c r="X115">
        <f t="shared" si="26"/>
        <v>43</v>
      </c>
      <c r="Y115" s="2">
        <v>26</v>
      </c>
      <c r="Z115" s="3">
        <v>28.5</v>
      </c>
      <c r="AA115" s="4">
        <f t="shared" si="27"/>
        <v>7</v>
      </c>
      <c r="AB115">
        <f t="shared" si="19"/>
        <v>8</v>
      </c>
      <c r="AC115" s="2">
        <v>42.5</v>
      </c>
      <c r="AD115">
        <f t="shared" si="28"/>
        <v>58</v>
      </c>
      <c r="AE115" s="2">
        <v>17.5</v>
      </c>
      <c r="AF115" s="3">
        <v>30</v>
      </c>
      <c r="AG115" s="4">
        <f t="shared" si="29"/>
        <v>6</v>
      </c>
      <c r="AH115">
        <f t="shared" si="20"/>
        <v>3</v>
      </c>
      <c r="AI115" s="2">
        <v>34.5</v>
      </c>
      <c r="AJ115">
        <f t="shared" si="30"/>
        <v>44</v>
      </c>
      <c r="AK115" s="2">
        <v>11</v>
      </c>
      <c r="AL115" s="3">
        <v>11.5</v>
      </c>
      <c r="AM115" s="4">
        <v>15</v>
      </c>
      <c r="AN115" s="2">
        <v>6</v>
      </c>
      <c r="AO115" s="3">
        <v>11</v>
      </c>
      <c r="AP115" s="4">
        <v>26</v>
      </c>
      <c r="AQ115">
        <v>8</v>
      </c>
      <c r="AR115">
        <v>7.5</v>
      </c>
      <c r="AS115">
        <v>10</v>
      </c>
      <c r="AT115">
        <v>6</v>
      </c>
      <c r="AU115">
        <f t="shared" si="31"/>
        <v>3</v>
      </c>
      <c r="AV115" t="s">
        <v>230</v>
      </c>
      <c r="AW115" t="s">
        <v>231</v>
      </c>
      <c r="AX115" t="s">
        <v>232</v>
      </c>
      <c r="AY115" t="s">
        <v>247</v>
      </c>
      <c r="AZ115" t="s">
        <v>315</v>
      </c>
      <c r="BA115" t="s">
        <v>235</v>
      </c>
      <c r="BB115" t="s">
        <v>239</v>
      </c>
      <c r="BC115" t="s">
        <v>218</v>
      </c>
      <c r="BD115" t="s">
        <v>220</v>
      </c>
      <c r="BE115" t="s">
        <v>14</v>
      </c>
      <c r="BF115" t="s">
        <v>14</v>
      </c>
      <c r="BG115">
        <v>9</v>
      </c>
      <c r="BH115">
        <v>7.5</v>
      </c>
      <c r="BI115">
        <v>4.5</v>
      </c>
      <c r="BJ115" t="s">
        <v>222</v>
      </c>
      <c r="BK115">
        <v>6</v>
      </c>
      <c r="BL115">
        <v>8</v>
      </c>
      <c r="BM115">
        <v>7</v>
      </c>
      <c r="BN115">
        <v>6.5</v>
      </c>
      <c r="BO115">
        <v>4</v>
      </c>
    </row>
    <row r="116" spans="1:67" x14ac:dyDescent="0.25">
      <c r="A116">
        <v>34</v>
      </c>
      <c r="B116" t="s">
        <v>384</v>
      </c>
      <c r="C116" t="s">
        <v>386</v>
      </c>
      <c r="D116">
        <v>16619</v>
      </c>
      <c r="E116" t="s">
        <v>182</v>
      </c>
      <c r="F116" t="s">
        <v>12</v>
      </c>
      <c r="G116" s="2">
        <v>2.5</v>
      </c>
      <c r="H116" s="3">
        <v>6</v>
      </c>
      <c r="I116" s="4">
        <f t="shared" si="21"/>
        <v>1.5</v>
      </c>
      <c r="J116">
        <f t="shared" si="16"/>
        <v>3</v>
      </c>
      <c r="K116" s="2" t="s">
        <v>14</v>
      </c>
      <c r="L116">
        <f t="shared" si="22"/>
        <v>5</v>
      </c>
      <c r="M116" s="2">
        <v>18.5</v>
      </c>
      <c r="N116" s="3">
        <v>19</v>
      </c>
      <c r="O116" s="4">
        <f t="shared" si="23"/>
        <v>5</v>
      </c>
      <c r="P116">
        <f t="shared" si="17"/>
        <v>8</v>
      </c>
      <c r="Q116" s="2">
        <v>20</v>
      </c>
      <c r="R116">
        <f t="shared" si="24"/>
        <v>33</v>
      </c>
      <c r="S116" s="2">
        <v>12.5</v>
      </c>
      <c r="T116" s="3">
        <v>12</v>
      </c>
      <c r="U116" s="4">
        <f t="shared" si="25"/>
        <v>3.5</v>
      </c>
      <c r="V116">
        <f t="shared" si="18"/>
        <v>1.5</v>
      </c>
      <c r="W116" s="2">
        <v>11</v>
      </c>
      <c r="X116">
        <f t="shared" si="26"/>
        <v>16</v>
      </c>
      <c r="Y116" s="2">
        <v>6</v>
      </c>
      <c r="Z116" s="3">
        <v>14.5</v>
      </c>
      <c r="AA116" s="4">
        <f t="shared" si="27"/>
        <v>3</v>
      </c>
      <c r="AB116">
        <f t="shared" si="19"/>
        <v>1.5</v>
      </c>
      <c r="AC116" s="2">
        <v>23</v>
      </c>
      <c r="AD116">
        <f t="shared" si="28"/>
        <v>28</v>
      </c>
      <c r="AE116" s="2">
        <v>6</v>
      </c>
      <c r="AF116" s="3">
        <v>8</v>
      </c>
      <c r="AG116" s="4">
        <f t="shared" si="29"/>
        <v>2</v>
      </c>
      <c r="AH116">
        <f t="shared" si="20"/>
        <v>3</v>
      </c>
      <c r="AI116" s="2">
        <v>11.5</v>
      </c>
      <c r="AJ116">
        <f t="shared" si="30"/>
        <v>17</v>
      </c>
      <c r="AK116" s="2">
        <v>8</v>
      </c>
      <c r="AL116" s="3">
        <v>10</v>
      </c>
      <c r="AM116" s="4">
        <v>11.5</v>
      </c>
      <c r="AN116" s="2">
        <v>5</v>
      </c>
      <c r="AO116" s="3">
        <v>14</v>
      </c>
      <c r="AP116" s="4">
        <v>19</v>
      </c>
      <c r="AQ116">
        <v>8</v>
      </c>
      <c r="AR116">
        <v>2</v>
      </c>
      <c r="AS116">
        <v>9.5</v>
      </c>
      <c r="AT116">
        <v>2.5</v>
      </c>
      <c r="AU116">
        <f t="shared" si="31"/>
        <v>1.5</v>
      </c>
      <c r="AV116" t="s">
        <v>230</v>
      </c>
      <c r="AW116" t="s">
        <v>231</v>
      </c>
      <c r="AX116" t="s">
        <v>232</v>
      </c>
      <c r="AY116" t="s">
        <v>316</v>
      </c>
      <c r="BA116" t="s">
        <v>317</v>
      </c>
      <c r="BB116" t="s">
        <v>239</v>
      </c>
      <c r="BC116" t="s">
        <v>218</v>
      </c>
      <c r="BD116" t="s">
        <v>220</v>
      </c>
      <c r="BE116">
        <v>1.5</v>
      </c>
      <c r="BF116">
        <v>10</v>
      </c>
      <c r="BG116" t="s">
        <v>32</v>
      </c>
      <c r="BH116">
        <v>3.5</v>
      </c>
      <c r="BI116">
        <v>1.5</v>
      </c>
      <c r="BJ116" t="s">
        <v>222</v>
      </c>
      <c r="BK116">
        <v>4.5</v>
      </c>
      <c r="BL116">
        <v>5.5</v>
      </c>
      <c r="BM116">
        <v>3</v>
      </c>
      <c r="BN116">
        <v>2.5</v>
      </c>
      <c r="BO116">
        <v>1.5</v>
      </c>
    </row>
    <row r="117" spans="1:67" x14ac:dyDescent="0.25">
      <c r="A117">
        <v>35</v>
      </c>
      <c r="B117" t="s">
        <v>384</v>
      </c>
      <c r="C117" t="s">
        <v>386</v>
      </c>
      <c r="D117">
        <v>16237</v>
      </c>
      <c r="E117" t="s">
        <v>187</v>
      </c>
      <c r="F117" t="s">
        <v>12</v>
      </c>
      <c r="G117" s="2">
        <v>16.5</v>
      </c>
      <c r="H117" s="3">
        <v>11.5</v>
      </c>
      <c r="I117" s="4">
        <f t="shared" si="21"/>
        <v>3.5</v>
      </c>
      <c r="J117">
        <f t="shared" si="16"/>
        <v>4</v>
      </c>
      <c r="K117" s="2">
        <v>27.5</v>
      </c>
      <c r="L117">
        <f t="shared" si="22"/>
        <v>35</v>
      </c>
      <c r="M117" s="2">
        <v>18</v>
      </c>
      <c r="N117" s="3">
        <v>24.5</v>
      </c>
      <c r="O117" s="4">
        <f t="shared" si="23"/>
        <v>5.5</v>
      </c>
      <c r="P117">
        <f t="shared" si="17"/>
        <v>8.5</v>
      </c>
      <c r="Q117" s="2">
        <v>29</v>
      </c>
      <c r="R117">
        <f t="shared" si="24"/>
        <v>43</v>
      </c>
      <c r="S117" s="2">
        <v>14.5</v>
      </c>
      <c r="T117" s="3">
        <v>14</v>
      </c>
      <c r="U117" s="4">
        <f t="shared" si="25"/>
        <v>4</v>
      </c>
      <c r="V117">
        <f t="shared" si="18"/>
        <v>0.5</v>
      </c>
      <c r="W117" s="2">
        <v>19.5</v>
      </c>
      <c r="X117">
        <f t="shared" si="26"/>
        <v>24</v>
      </c>
      <c r="Y117" s="2">
        <v>15</v>
      </c>
      <c r="Z117" s="3">
        <v>15.5</v>
      </c>
      <c r="AA117" s="4">
        <f t="shared" si="27"/>
        <v>4</v>
      </c>
      <c r="AB117">
        <f t="shared" si="19"/>
        <v>4</v>
      </c>
      <c r="AC117" s="2">
        <v>39.5</v>
      </c>
      <c r="AD117">
        <f t="shared" si="28"/>
        <v>48</v>
      </c>
      <c r="AE117" s="2">
        <v>11.5</v>
      </c>
      <c r="AF117" s="3">
        <v>7.5</v>
      </c>
      <c r="AG117" s="4">
        <f t="shared" si="29"/>
        <v>2.5</v>
      </c>
      <c r="AH117">
        <f t="shared" si="20"/>
        <v>2.5</v>
      </c>
      <c r="AI117" s="2">
        <v>13</v>
      </c>
      <c r="AJ117">
        <f t="shared" si="30"/>
        <v>18</v>
      </c>
      <c r="AK117" s="2">
        <v>7</v>
      </c>
      <c r="AL117" s="3">
        <v>5.5</v>
      </c>
      <c r="AM117" s="4">
        <v>8.5</v>
      </c>
      <c r="AN117" s="2">
        <v>5</v>
      </c>
      <c r="AO117" s="3">
        <v>9</v>
      </c>
      <c r="AP117" s="4">
        <v>19</v>
      </c>
      <c r="AQ117">
        <v>8</v>
      </c>
      <c r="AR117">
        <v>7</v>
      </c>
      <c r="AS117">
        <v>10</v>
      </c>
      <c r="AT117">
        <v>1.5</v>
      </c>
      <c r="AU117">
        <f t="shared" si="31"/>
        <v>1</v>
      </c>
      <c r="AV117" t="s">
        <v>230</v>
      </c>
      <c r="AW117" t="s">
        <v>231</v>
      </c>
      <c r="AX117" t="s">
        <v>232</v>
      </c>
      <c r="AY117" t="s">
        <v>281</v>
      </c>
      <c r="BA117" t="s">
        <v>235</v>
      </c>
      <c r="BB117" t="s">
        <v>239</v>
      </c>
      <c r="BC117" t="s">
        <v>218</v>
      </c>
      <c r="BD117" t="s">
        <v>220</v>
      </c>
      <c r="BE117">
        <v>3</v>
      </c>
      <c r="BF117">
        <v>10</v>
      </c>
      <c r="BG117">
        <v>4</v>
      </c>
      <c r="BH117">
        <v>4</v>
      </c>
      <c r="BI117">
        <v>0.5</v>
      </c>
      <c r="BJ117" t="s">
        <v>222</v>
      </c>
      <c r="BK117">
        <v>2</v>
      </c>
      <c r="BL117">
        <v>7</v>
      </c>
      <c r="BM117">
        <v>4</v>
      </c>
      <c r="BN117">
        <v>3.5</v>
      </c>
      <c r="BO117" t="s">
        <v>32</v>
      </c>
    </row>
    <row r="118" spans="1:67" x14ac:dyDescent="0.25">
      <c r="A118">
        <v>36</v>
      </c>
      <c r="B118" t="s">
        <v>384</v>
      </c>
      <c r="C118" t="s">
        <v>386</v>
      </c>
      <c r="D118">
        <v>16236</v>
      </c>
      <c r="E118" t="s">
        <v>192</v>
      </c>
      <c r="F118" t="s">
        <v>12</v>
      </c>
      <c r="G118" s="2">
        <v>31</v>
      </c>
      <c r="H118" s="3">
        <v>30</v>
      </c>
      <c r="I118" s="4">
        <f t="shared" si="21"/>
        <v>8</v>
      </c>
      <c r="J118">
        <f t="shared" si="16"/>
        <v>9</v>
      </c>
      <c r="K118" s="2">
        <v>57</v>
      </c>
      <c r="L118">
        <f t="shared" si="22"/>
        <v>74</v>
      </c>
      <c r="M118" s="2">
        <v>39</v>
      </c>
      <c r="N118" s="3">
        <v>37.5</v>
      </c>
      <c r="O118" s="4">
        <f t="shared" si="23"/>
        <v>10</v>
      </c>
      <c r="P118">
        <f t="shared" si="17"/>
        <v>9.5</v>
      </c>
      <c r="Q118" s="2">
        <v>76</v>
      </c>
      <c r="R118">
        <f t="shared" si="24"/>
        <v>96</v>
      </c>
      <c r="S118" s="2">
        <v>30</v>
      </c>
      <c r="T118" s="3">
        <v>35</v>
      </c>
      <c r="U118" s="4">
        <f t="shared" si="25"/>
        <v>8.5</v>
      </c>
      <c r="V118">
        <f t="shared" si="18"/>
        <v>8</v>
      </c>
      <c r="W118" s="2">
        <v>57</v>
      </c>
      <c r="X118">
        <f t="shared" si="26"/>
        <v>74</v>
      </c>
      <c r="Y118" s="2">
        <v>30.5</v>
      </c>
      <c r="Z118" s="3">
        <v>33.5</v>
      </c>
      <c r="AA118" s="4">
        <f t="shared" si="27"/>
        <v>8</v>
      </c>
      <c r="AB118">
        <f t="shared" si="19"/>
        <v>9</v>
      </c>
      <c r="AC118" s="2">
        <v>53</v>
      </c>
      <c r="AD118">
        <f t="shared" si="28"/>
        <v>70</v>
      </c>
      <c r="AE118" s="2">
        <v>33</v>
      </c>
      <c r="AF118" s="3">
        <v>31.5</v>
      </c>
      <c r="AG118" s="4">
        <f t="shared" si="29"/>
        <v>8.5</v>
      </c>
      <c r="AH118">
        <f t="shared" si="20"/>
        <v>9</v>
      </c>
      <c r="AI118" s="2">
        <v>48.5</v>
      </c>
      <c r="AJ118">
        <f t="shared" si="30"/>
        <v>66</v>
      </c>
      <c r="AK118" s="2">
        <v>18</v>
      </c>
      <c r="AL118" s="3">
        <v>21.5</v>
      </c>
      <c r="AM118" s="4">
        <v>23</v>
      </c>
      <c r="AN118" s="2">
        <v>9</v>
      </c>
      <c r="AO118" s="3">
        <v>18</v>
      </c>
      <c r="AP118" s="4">
        <v>28</v>
      </c>
      <c r="AQ118">
        <v>8</v>
      </c>
      <c r="AR118">
        <v>8</v>
      </c>
      <c r="AS118">
        <v>10</v>
      </c>
      <c r="AT118">
        <v>6</v>
      </c>
      <c r="AU118">
        <f t="shared" si="31"/>
        <v>3</v>
      </c>
      <c r="AV118" t="s">
        <v>230</v>
      </c>
      <c r="AW118" t="s">
        <v>231</v>
      </c>
      <c r="AX118" t="s">
        <v>232</v>
      </c>
      <c r="AY118" t="s">
        <v>296</v>
      </c>
      <c r="AZ118" t="s">
        <v>318</v>
      </c>
      <c r="BA118" t="s">
        <v>235</v>
      </c>
      <c r="BB118" t="s">
        <v>239</v>
      </c>
      <c r="BC118" t="s">
        <v>218</v>
      </c>
      <c r="BD118" t="s">
        <v>220</v>
      </c>
      <c r="BE118">
        <v>9</v>
      </c>
      <c r="BF118">
        <v>10</v>
      </c>
      <c r="BG118">
        <v>9.5</v>
      </c>
      <c r="BH118">
        <v>8.5</v>
      </c>
      <c r="BI118">
        <v>8</v>
      </c>
      <c r="BJ118" t="s">
        <v>222</v>
      </c>
      <c r="BK118">
        <v>8.5</v>
      </c>
      <c r="BL118">
        <v>9</v>
      </c>
      <c r="BM118">
        <v>8.5</v>
      </c>
      <c r="BN118">
        <v>9</v>
      </c>
      <c r="BO118">
        <v>7.5</v>
      </c>
    </row>
    <row r="119" spans="1:67" x14ac:dyDescent="0.25">
      <c r="A119">
        <v>37</v>
      </c>
      <c r="B119" t="s">
        <v>384</v>
      </c>
      <c r="C119" t="s">
        <v>386</v>
      </c>
      <c r="D119">
        <v>16235</v>
      </c>
      <c r="E119" t="s">
        <v>197</v>
      </c>
      <c r="F119" t="s">
        <v>12</v>
      </c>
      <c r="G119" s="2">
        <v>10.5</v>
      </c>
      <c r="H119" s="3">
        <v>11</v>
      </c>
      <c r="I119" s="4">
        <f t="shared" si="21"/>
        <v>3</v>
      </c>
      <c r="J119">
        <f t="shared" si="16"/>
        <v>4</v>
      </c>
      <c r="K119" s="2">
        <v>21.5</v>
      </c>
      <c r="L119">
        <f t="shared" si="22"/>
        <v>29</v>
      </c>
      <c r="M119" s="2">
        <v>25.5</v>
      </c>
      <c r="N119" s="3">
        <v>24</v>
      </c>
      <c r="O119" s="4">
        <f t="shared" si="23"/>
        <v>6.5</v>
      </c>
      <c r="P119">
        <f t="shared" si="17"/>
        <v>8.5</v>
      </c>
      <c r="Q119" s="2">
        <v>44.5</v>
      </c>
      <c r="R119">
        <f t="shared" si="24"/>
        <v>60</v>
      </c>
      <c r="S119" s="2">
        <v>4.5</v>
      </c>
      <c r="T119" s="3">
        <v>4.5</v>
      </c>
      <c r="U119" s="4">
        <f t="shared" si="25"/>
        <v>1.5</v>
      </c>
      <c r="V119">
        <f t="shared" si="18"/>
        <v>2</v>
      </c>
      <c r="W119" s="2">
        <v>7</v>
      </c>
      <c r="X119">
        <f t="shared" si="26"/>
        <v>11</v>
      </c>
      <c r="Y119" s="2">
        <v>12.5</v>
      </c>
      <c r="Z119" s="3">
        <v>19</v>
      </c>
      <c r="AA119" s="4">
        <f t="shared" si="27"/>
        <v>4</v>
      </c>
      <c r="AB119">
        <f t="shared" si="19"/>
        <v>5.5</v>
      </c>
      <c r="AC119" s="2">
        <v>28</v>
      </c>
      <c r="AD119">
        <f t="shared" si="28"/>
        <v>38</v>
      </c>
      <c r="AE119" s="2">
        <v>8.5</v>
      </c>
      <c r="AF119" s="3">
        <v>7.5</v>
      </c>
      <c r="AG119" s="4">
        <f t="shared" si="29"/>
        <v>2</v>
      </c>
      <c r="AH119">
        <f t="shared" si="20"/>
        <v>4.5</v>
      </c>
      <c r="AI119" s="2">
        <v>14.5</v>
      </c>
      <c r="AJ119">
        <f t="shared" si="30"/>
        <v>21</v>
      </c>
      <c r="AK119" s="2">
        <v>3</v>
      </c>
      <c r="AL119" s="3">
        <v>2.5</v>
      </c>
      <c r="AM119" s="4">
        <v>5.5</v>
      </c>
      <c r="AN119" s="2">
        <v>3</v>
      </c>
      <c r="AO119" s="3">
        <v>12</v>
      </c>
      <c r="AP119" s="4">
        <v>19.5</v>
      </c>
      <c r="AQ119">
        <v>8</v>
      </c>
      <c r="AR119">
        <v>2</v>
      </c>
      <c r="AS119">
        <v>10</v>
      </c>
      <c r="AT119">
        <v>3.5</v>
      </c>
      <c r="AU119">
        <f t="shared" si="31"/>
        <v>2</v>
      </c>
      <c r="AV119" t="s">
        <v>230</v>
      </c>
      <c r="AW119" t="s">
        <v>231</v>
      </c>
      <c r="AX119" t="s">
        <v>232</v>
      </c>
      <c r="AY119" t="s">
        <v>253</v>
      </c>
      <c r="BA119" t="s">
        <v>235</v>
      </c>
      <c r="BB119" t="s">
        <v>239</v>
      </c>
      <c r="BC119" t="s">
        <v>218</v>
      </c>
      <c r="BD119" t="s">
        <v>220</v>
      </c>
      <c r="BE119">
        <v>4.5</v>
      </c>
      <c r="BF119">
        <v>8</v>
      </c>
      <c r="BG119">
        <v>7</v>
      </c>
      <c r="BH119">
        <v>5.5</v>
      </c>
      <c r="BI119">
        <v>1</v>
      </c>
      <c r="BJ119" t="s">
        <v>222</v>
      </c>
      <c r="BK119">
        <v>4</v>
      </c>
      <c r="BL119">
        <v>9</v>
      </c>
      <c r="BM119">
        <v>4</v>
      </c>
      <c r="BN119">
        <v>2.5</v>
      </c>
      <c r="BO119">
        <v>2.5</v>
      </c>
    </row>
    <row r="120" spans="1:67" x14ac:dyDescent="0.25">
      <c r="A120">
        <v>38</v>
      </c>
      <c r="B120" t="s">
        <v>384</v>
      </c>
      <c r="C120" t="s">
        <v>386</v>
      </c>
      <c r="D120">
        <v>16275</v>
      </c>
      <c r="E120" t="s">
        <v>202</v>
      </c>
      <c r="F120" t="s">
        <v>12</v>
      </c>
      <c r="G120" s="2">
        <v>22</v>
      </c>
      <c r="H120" s="3">
        <v>18</v>
      </c>
      <c r="I120" s="4">
        <f t="shared" si="21"/>
        <v>5</v>
      </c>
      <c r="J120">
        <f t="shared" si="16"/>
        <v>7</v>
      </c>
      <c r="K120" s="2">
        <v>41</v>
      </c>
      <c r="L120">
        <f t="shared" si="22"/>
        <v>53</v>
      </c>
      <c r="M120" s="2">
        <v>32.5</v>
      </c>
      <c r="N120" s="3">
        <v>30</v>
      </c>
      <c r="O120" s="4">
        <f t="shared" si="23"/>
        <v>8</v>
      </c>
      <c r="P120">
        <f t="shared" si="17"/>
        <v>9.5</v>
      </c>
      <c r="Q120" s="2">
        <v>54.5</v>
      </c>
      <c r="R120">
        <f t="shared" si="24"/>
        <v>72</v>
      </c>
      <c r="S120" s="2">
        <v>17</v>
      </c>
      <c r="T120" s="3">
        <v>17.5</v>
      </c>
      <c r="U120" s="4">
        <f t="shared" si="25"/>
        <v>4.5</v>
      </c>
      <c r="V120">
        <f t="shared" si="18"/>
        <v>4</v>
      </c>
      <c r="W120" s="2">
        <v>40</v>
      </c>
      <c r="X120">
        <f t="shared" si="26"/>
        <v>49</v>
      </c>
      <c r="Y120" s="2">
        <v>27</v>
      </c>
      <c r="Z120" s="3">
        <v>26.5</v>
      </c>
      <c r="AA120" s="4">
        <f t="shared" si="27"/>
        <v>7</v>
      </c>
      <c r="AB120">
        <f t="shared" si="19"/>
        <v>6.5</v>
      </c>
      <c r="AC120" s="2">
        <v>45</v>
      </c>
      <c r="AD120">
        <f t="shared" si="28"/>
        <v>59</v>
      </c>
      <c r="AE120" s="2">
        <v>21</v>
      </c>
      <c r="AF120" s="3">
        <v>22.5</v>
      </c>
      <c r="AG120" s="4">
        <f t="shared" si="29"/>
        <v>5.5</v>
      </c>
      <c r="AH120">
        <f t="shared" si="20"/>
        <v>6</v>
      </c>
      <c r="AI120" s="2">
        <v>40.5</v>
      </c>
      <c r="AJ120">
        <f t="shared" si="30"/>
        <v>52</v>
      </c>
      <c r="AK120" s="2">
        <v>17.5</v>
      </c>
      <c r="AL120" s="3">
        <v>13</v>
      </c>
      <c r="AM120" s="4">
        <v>16.5</v>
      </c>
      <c r="AN120" s="2">
        <v>3</v>
      </c>
      <c r="AO120" s="3">
        <v>15</v>
      </c>
      <c r="AP120" s="4">
        <v>23</v>
      </c>
      <c r="AQ120">
        <v>8</v>
      </c>
      <c r="AR120">
        <v>6</v>
      </c>
      <c r="AS120">
        <v>10</v>
      </c>
      <c r="AT120">
        <v>8</v>
      </c>
      <c r="AU120">
        <f t="shared" si="31"/>
        <v>4</v>
      </c>
      <c r="AV120" t="s">
        <v>230</v>
      </c>
      <c r="AW120" t="s">
        <v>231</v>
      </c>
      <c r="AX120" t="s">
        <v>232</v>
      </c>
      <c r="AY120" t="s">
        <v>240</v>
      </c>
      <c r="BA120" t="s">
        <v>235</v>
      </c>
      <c r="BB120" t="s">
        <v>239</v>
      </c>
      <c r="BC120" t="s">
        <v>218</v>
      </c>
      <c r="BD120" t="s">
        <v>220</v>
      </c>
      <c r="BE120">
        <v>4.5</v>
      </c>
      <c r="BF120">
        <v>10</v>
      </c>
      <c r="BG120">
        <v>7.5</v>
      </c>
      <c r="BH120">
        <v>7.5</v>
      </c>
      <c r="BI120">
        <v>1.5</v>
      </c>
      <c r="BJ120" t="s">
        <v>222</v>
      </c>
      <c r="BK120">
        <v>7</v>
      </c>
      <c r="BL120">
        <v>8.5</v>
      </c>
      <c r="BM120">
        <v>5.5</v>
      </c>
      <c r="BN120">
        <v>6</v>
      </c>
      <c r="BO120">
        <v>6.5</v>
      </c>
    </row>
    <row r="121" spans="1:67" x14ac:dyDescent="0.25">
      <c r="A121">
        <v>39</v>
      </c>
      <c r="B121" t="s">
        <v>384</v>
      </c>
      <c r="C121" t="s">
        <v>386</v>
      </c>
      <c r="D121">
        <v>16240</v>
      </c>
      <c r="E121" t="s">
        <v>207</v>
      </c>
      <c r="F121" t="s">
        <v>12</v>
      </c>
      <c r="G121" s="2">
        <v>19.5</v>
      </c>
      <c r="H121" s="3">
        <v>15.5</v>
      </c>
      <c r="I121" s="4">
        <f t="shared" si="21"/>
        <v>4.5</v>
      </c>
      <c r="J121">
        <f t="shared" si="16"/>
        <v>4</v>
      </c>
      <c r="K121" s="2">
        <v>40</v>
      </c>
      <c r="L121">
        <f t="shared" si="22"/>
        <v>49</v>
      </c>
      <c r="M121" s="2">
        <v>31.5</v>
      </c>
      <c r="N121" s="3">
        <v>33</v>
      </c>
      <c r="O121" s="4">
        <f t="shared" si="23"/>
        <v>8.5</v>
      </c>
      <c r="P121">
        <f t="shared" si="17"/>
        <v>5</v>
      </c>
      <c r="Q121" s="2">
        <v>57.5</v>
      </c>
      <c r="R121">
        <f t="shared" si="24"/>
        <v>71</v>
      </c>
      <c r="S121" s="2">
        <v>17</v>
      </c>
      <c r="T121" s="3">
        <v>16.5</v>
      </c>
      <c r="U121" s="4">
        <f t="shared" si="25"/>
        <v>4.5</v>
      </c>
      <c r="V121">
        <f t="shared" si="18"/>
        <v>3.5</v>
      </c>
      <c r="W121" s="2">
        <v>30</v>
      </c>
      <c r="X121">
        <f t="shared" si="26"/>
        <v>38</v>
      </c>
      <c r="Y121" s="2">
        <v>25.5</v>
      </c>
      <c r="Z121" s="3">
        <v>21</v>
      </c>
      <c r="AA121" s="4">
        <f t="shared" si="27"/>
        <v>6</v>
      </c>
      <c r="AB121">
        <f t="shared" si="19"/>
        <v>7</v>
      </c>
      <c r="AC121" s="2">
        <v>38.5</v>
      </c>
      <c r="AD121">
        <f t="shared" si="28"/>
        <v>52</v>
      </c>
      <c r="AE121" s="2">
        <v>12.5</v>
      </c>
      <c r="AF121" s="3">
        <v>23</v>
      </c>
      <c r="AG121" s="4">
        <f t="shared" si="29"/>
        <v>4.5</v>
      </c>
      <c r="AH121">
        <f t="shared" si="20"/>
        <v>6</v>
      </c>
      <c r="AI121" s="2">
        <v>20</v>
      </c>
      <c r="AJ121">
        <f t="shared" si="30"/>
        <v>31</v>
      </c>
      <c r="AK121" s="2">
        <v>9.5</v>
      </c>
      <c r="AL121" s="3">
        <v>10.5</v>
      </c>
      <c r="AM121" s="4">
        <v>10</v>
      </c>
      <c r="AN121" s="2">
        <v>6</v>
      </c>
      <c r="AO121" s="3">
        <v>11.5</v>
      </c>
      <c r="AP121" s="4">
        <v>30.5</v>
      </c>
      <c r="AQ121">
        <v>8</v>
      </c>
      <c r="AR121">
        <v>3</v>
      </c>
      <c r="AS121">
        <v>10</v>
      </c>
      <c r="AT121">
        <v>3.5</v>
      </c>
      <c r="AU121">
        <f t="shared" si="31"/>
        <v>2</v>
      </c>
      <c r="AV121" t="s">
        <v>230</v>
      </c>
      <c r="AW121" t="s">
        <v>231</v>
      </c>
      <c r="AX121" t="s">
        <v>232</v>
      </c>
      <c r="AY121" t="s">
        <v>260</v>
      </c>
      <c r="BA121" t="s">
        <v>235</v>
      </c>
      <c r="BB121" t="s">
        <v>239</v>
      </c>
      <c r="BC121" t="s">
        <v>218</v>
      </c>
      <c r="BD121" t="s">
        <v>220</v>
      </c>
      <c r="BE121">
        <v>6</v>
      </c>
      <c r="BF121" t="s">
        <v>14</v>
      </c>
      <c r="BG121">
        <v>7.5</v>
      </c>
      <c r="BH121">
        <v>7.5</v>
      </c>
      <c r="BI121">
        <v>2.5</v>
      </c>
      <c r="BJ121" t="s">
        <v>222</v>
      </c>
      <c r="BK121">
        <v>6</v>
      </c>
      <c r="BL121">
        <v>9.5</v>
      </c>
      <c r="BM121">
        <v>6.5</v>
      </c>
      <c r="BN121" t="s">
        <v>32</v>
      </c>
      <c r="BO121">
        <v>4</v>
      </c>
    </row>
    <row r="122" spans="1:67" x14ac:dyDescent="0.25">
      <c r="A122">
        <v>40</v>
      </c>
      <c r="B122" t="s">
        <v>384</v>
      </c>
      <c r="C122" t="s">
        <v>386</v>
      </c>
      <c r="D122">
        <v>18468</v>
      </c>
      <c r="E122" t="s">
        <v>210</v>
      </c>
      <c r="F122" t="s">
        <v>12</v>
      </c>
      <c r="G122" s="2">
        <v>22</v>
      </c>
      <c r="H122" s="3">
        <v>14.5</v>
      </c>
      <c r="I122" s="4">
        <f t="shared" si="21"/>
        <v>5</v>
      </c>
      <c r="J122">
        <f t="shared" si="16"/>
        <v>3</v>
      </c>
      <c r="K122" s="2">
        <v>36</v>
      </c>
      <c r="L122">
        <f t="shared" si="22"/>
        <v>44</v>
      </c>
      <c r="M122" s="2">
        <v>25</v>
      </c>
      <c r="N122" s="3">
        <v>21.5</v>
      </c>
      <c r="O122" s="4">
        <f t="shared" si="23"/>
        <v>6</v>
      </c>
      <c r="P122">
        <f t="shared" si="17"/>
        <v>5</v>
      </c>
      <c r="Q122" s="2">
        <v>19.5</v>
      </c>
      <c r="R122">
        <f t="shared" si="24"/>
        <v>31</v>
      </c>
      <c r="S122" s="2">
        <v>28</v>
      </c>
      <c r="T122" s="3">
        <v>18.5</v>
      </c>
      <c r="U122" s="4">
        <f t="shared" si="25"/>
        <v>6</v>
      </c>
      <c r="V122">
        <f t="shared" si="18"/>
        <v>0</v>
      </c>
      <c r="W122" s="2">
        <v>33.5</v>
      </c>
      <c r="X122">
        <f t="shared" si="26"/>
        <v>40</v>
      </c>
      <c r="Y122" s="2">
        <v>19.5</v>
      </c>
      <c r="Z122" s="3">
        <v>24</v>
      </c>
      <c r="AA122" s="4">
        <f t="shared" si="27"/>
        <v>5.5</v>
      </c>
      <c r="AB122">
        <f t="shared" si="19"/>
        <v>0</v>
      </c>
      <c r="AC122" s="2">
        <v>36.5</v>
      </c>
      <c r="AD122">
        <f t="shared" si="28"/>
        <v>42</v>
      </c>
      <c r="AE122" s="2">
        <v>14</v>
      </c>
      <c r="AF122" s="3">
        <v>8.5</v>
      </c>
      <c r="AG122" s="4">
        <f t="shared" si="29"/>
        <v>3</v>
      </c>
      <c r="AH122">
        <f t="shared" si="20"/>
        <v>2</v>
      </c>
      <c r="AI122" s="5">
        <v>0.96180555555555547</v>
      </c>
      <c r="AJ122">
        <f t="shared" si="30"/>
        <v>6</v>
      </c>
      <c r="AK122" s="2">
        <v>13</v>
      </c>
      <c r="AL122" s="3">
        <v>9.5</v>
      </c>
      <c r="AM122" s="4">
        <v>8.5</v>
      </c>
      <c r="AN122" s="2">
        <v>4</v>
      </c>
      <c r="AO122" s="3">
        <v>15</v>
      </c>
      <c r="AP122" s="4">
        <v>22</v>
      </c>
      <c r="AQ122">
        <v>8</v>
      </c>
      <c r="AR122">
        <v>6</v>
      </c>
      <c r="AS122">
        <v>10</v>
      </c>
      <c r="AT122" t="s">
        <v>32</v>
      </c>
      <c r="AU122">
        <f t="shared" si="31"/>
        <v>0</v>
      </c>
      <c r="AV122" t="s">
        <v>230</v>
      </c>
      <c r="AW122" t="s">
        <v>231</v>
      </c>
      <c r="AX122" t="s">
        <v>232</v>
      </c>
      <c r="AY122" t="s">
        <v>294</v>
      </c>
      <c r="BA122" t="s">
        <v>235</v>
      </c>
      <c r="BB122" t="s">
        <v>239</v>
      </c>
      <c r="BC122" t="s">
        <v>218</v>
      </c>
      <c r="BD122" t="s">
        <v>220</v>
      </c>
      <c r="BE122">
        <v>4</v>
      </c>
      <c r="BF122">
        <v>10</v>
      </c>
      <c r="BG122" t="s">
        <v>32</v>
      </c>
      <c r="BH122">
        <v>5.5</v>
      </c>
      <c r="BI122" t="s">
        <v>14</v>
      </c>
      <c r="BJ122" t="s">
        <v>222</v>
      </c>
      <c r="BK122" t="s">
        <v>14</v>
      </c>
      <c r="BL122" t="s">
        <v>14</v>
      </c>
      <c r="BM122" t="s">
        <v>32</v>
      </c>
      <c r="BN122" t="s">
        <v>32</v>
      </c>
      <c r="BO122" t="s">
        <v>32</v>
      </c>
    </row>
    <row r="123" spans="1:67" x14ac:dyDescent="0.25">
      <c r="A123">
        <v>41</v>
      </c>
      <c r="B123" t="s">
        <v>384</v>
      </c>
      <c r="C123" t="s">
        <v>386</v>
      </c>
      <c r="D123">
        <v>16360</v>
      </c>
      <c r="E123" t="s">
        <v>213</v>
      </c>
      <c r="F123" t="s">
        <v>12</v>
      </c>
      <c r="G123" s="2">
        <v>30.5</v>
      </c>
      <c r="H123" s="3">
        <v>25.5</v>
      </c>
      <c r="I123" s="4">
        <f t="shared" si="21"/>
        <v>7</v>
      </c>
      <c r="J123">
        <f t="shared" si="16"/>
        <v>7.5</v>
      </c>
      <c r="K123" s="2">
        <v>47.5</v>
      </c>
      <c r="L123">
        <f t="shared" si="22"/>
        <v>62</v>
      </c>
      <c r="M123" s="2">
        <v>34</v>
      </c>
      <c r="N123" s="3">
        <v>31</v>
      </c>
      <c r="O123" s="4">
        <f t="shared" si="23"/>
        <v>8.5</v>
      </c>
      <c r="P123">
        <f t="shared" si="17"/>
        <v>9.5</v>
      </c>
      <c r="Q123" s="2">
        <v>57</v>
      </c>
      <c r="R123">
        <f t="shared" si="24"/>
        <v>75</v>
      </c>
      <c r="S123" s="2" t="s">
        <v>214</v>
      </c>
      <c r="T123" s="3">
        <v>34</v>
      </c>
      <c r="U123" s="4">
        <f t="shared" si="25"/>
        <v>4.5</v>
      </c>
      <c r="V123">
        <f t="shared" si="18"/>
        <v>7.5</v>
      </c>
      <c r="W123" s="2">
        <v>50</v>
      </c>
      <c r="X123">
        <f t="shared" si="26"/>
        <v>62</v>
      </c>
      <c r="Y123" s="2">
        <v>30</v>
      </c>
      <c r="Z123" s="3">
        <v>35.5</v>
      </c>
      <c r="AA123" s="4">
        <f t="shared" si="27"/>
        <v>8.5</v>
      </c>
      <c r="AB123">
        <f t="shared" si="19"/>
        <v>9.5</v>
      </c>
      <c r="AC123" s="2">
        <v>64.5</v>
      </c>
      <c r="AD123">
        <f t="shared" si="28"/>
        <v>83</v>
      </c>
      <c r="AE123" s="2">
        <v>29.5</v>
      </c>
      <c r="AF123" s="3">
        <v>29</v>
      </c>
      <c r="AG123" s="4">
        <f t="shared" si="29"/>
        <v>7.5</v>
      </c>
      <c r="AH123">
        <f t="shared" si="20"/>
        <v>7</v>
      </c>
      <c r="AI123" s="2">
        <v>51.5</v>
      </c>
      <c r="AJ123">
        <f t="shared" si="30"/>
        <v>66</v>
      </c>
      <c r="AK123" s="2">
        <v>18</v>
      </c>
      <c r="AL123" s="3">
        <v>20.5</v>
      </c>
      <c r="AM123" s="4">
        <v>23</v>
      </c>
      <c r="AN123" s="2">
        <v>7</v>
      </c>
      <c r="AO123" s="3">
        <v>22</v>
      </c>
      <c r="AP123" s="4">
        <v>30.5</v>
      </c>
      <c r="AQ123">
        <v>8</v>
      </c>
      <c r="AR123">
        <v>6.5</v>
      </c>
      <c r="AS123">
        <v>10</v>
      </c>
      <c r="AT123">
        <v>7.5</v>
      </c>
      <c r="AU123">
        <f t="shared" si="31"/>
        <v>4</v>
      </c>
      <c r="AV123" t="s">
        <v>230</v>
      </c>
      <c r="AW123" t="s">
        <v>231</v>
      </c>
      <c r="AX123" t="s">
        <v>232</v>
      </c>
      <c r="AY123">
        <v>78.5</v>
      </c>
      <c r="AZ123" t="s">
        <v>299</v>
      </c>
      <c r="BA123" t="s">
        <v>235</v>
      </c>
      <c r="BB123" t="s">
        <v>239</v>
      </c>
      <c r="BC123" t="s">
        <v>218</v>
      </c>
      <c r="BD123" t="s">
        <v>220</v>
      </c>
      <c r="BE123">
        <v>7</v>
      </c>
      <c r="BF123">
        <v>10</v>
      </c>
      <c r="BG123">
        <v>10</v>
      </c>
      <c r="BH123">
        <v>7.5</v>
      </c>
      <c r="BI123">
        <v>8</v>
      </c>
      <c r="BJ123" t="s">
        <v>222</v>
      </c>
      <c r="BK123">
        <v>7</v>
      </c>
      <c r="BL123">
        <v>8.5</v>
      </c>
      <c r="BM123">
        <v>8.5</v>
      </c>
      <c r="BN123">
        <v>7.5</v>
      </c>
      <c r="BO123">
        <v>6.5</v>
      </c>
    </row>
    <row r="124" spans="1:67" x14ac:dyDescent="0.25">
      <c r="A124">
        <v>1</v>
      </c>
      <c r="B124" t="s">
        <v>384</v>
      </c>
      <c r="C124" t="s">
        <v>387</v>
      </c>
      <c r="D124">
        <v>16358</v>
      </c>
      <c r="E124" t="s">
        <v>17</v>
      </c>
      <c r="F124" t="s">
        <v>12</v>
      </c>
      <c r="G124" s="2">
        <v>30.5</v>
      </c>
      <c r="H124" s="3">
        <v>24.5</v>
      </c>
      <c r="I124" s="4">
        <f t="shared" si="21"/>
        <v>7</v>
      </c>
      <c r="J124">
        <f t="shared" si="16"/>
        <v>7.5</v>
      </c>
      <c r="K124" s="2">
        <v>57.5</v>
      </c>
      <c r="L124">
        <f t="shared" si="22"/>
        <v>72</v>
      </c>
      <c r="M124" s="2">
        <v>31.5</v>
      </c>
      <c r="N124" s="3">
        <v>33.5</v>
      </c>
      <c r="O124" s="4">
        <f t="shared" si="23"/>
        <v>8.5</v>
      </c>
      <c r="P124">
        <f t="shared" si="17"/>
        <v>9.5</v>
      </c>
      <c r="Q124" s="2">
        <v>0</v>
      </c>
      <c r="R124">
        <f t="shared" si="24"/>
        <v>18</v>
      </c>
      <c r="S124" s="2">
        <v>28</v>
      </c>
      <c r="T124" s="3">
        <v>29</v>
      </c>
      <c r="U124" s="4">
        <f t="shared" si="25"/>
        <v>7.5</v>
      </c>
      <c r="V124">
        <f t="shared" si="18"/>
        <v>3</v>
      </c>
      <c r="W124" s="2">
        <v>43</v>
      </c>
      <c r="X124">
        <f t="shared" si="26"/>
        <v>54</v>
      </c>
      <c r="Y124" s="2">
        <v>31</v>
      </c>
      <c r="Z124" s="3">
        <v>37.5</v>
      </c>
      <c r="AA124" s="4">
        <f t="shared" si="27"/>
        <v>9</v>
      </c>
      <c r="AB124">
        <f t="shared" si="19"/>
        <v>9.5</v>
      </c>
      <c r="AC124" s="2" t="s">
        <v>228</v>
      </c>
      <c r="AD124">
        <f t="shared" si="28"/>
        <v>19</v>
      </c>
      <c r="AE124" s="2">
        <v>29</v>
      </c>
      <c r="AF124" s="3">
        <v>39</v>
      </c>
      <c r="AG124" s="4">
        <f t="shared" si="29"/>
        <v>8.5</v>
      </c>
      <c r="AH124">
        <f t="shared" si="20"/>
        <v>9</v>
      </c>
      <c r="AI124" s="2">
        <v>0</v>
      </c>
      <c r="AJ124">
        <f t="shared" si="30"/>
        <v>18</v>
      </c>
      <c r="AK124" s="2">
        <v>22.5</v>
      </c>
      <c r="AL124" s="3">
        <v>21</v>
      </c>
      <c r="AM124" s="4">
        <v>24.5</v>
      </c>
      <c r="AN124" s="2">
        <v>9</v>
      </c>
      <c r="AO124" s="3">
        <v>23.5</v>
      </c>
      <c r="AP124" s="4">
        <v>40</v>
      </c>
      <c r="AQ124">
        <v>8</v>
      </c>
      <c r="AR124">
        <v>8</v>
      </c>
      <c r="AS124">
        <v>8</v>
      </c>
      <c r="AT124">
        <v>14</v>
      </c>
      <c r="AU124">
        <f t="shared" si="31"/>
        <v>7</v>
      </c>
      <c r="AV124" t="s">
        <v>230</v>
      </c>
      <c r="AW124" t="s">
        <v>231</v>
      </c>
      <c r="AX124" t="s">
        <v>232</v>
      </c>
      <c r="AY124" t="s">
        <v>254</v>
      </c>
      <c r="AZ124" t="s">
        <v>319</v>
      </c>
      <c r="BA124" t="s">
        <v>320</v>
      </c>
      <c r="BB124" t="s">
        <v>321</v>
      </c>
      <c r="BC124" t="s">
        <v>218</v>
      </c>
      <c r="BD124" t="s">
        <v>220</v>
      </c>
      <c r="BE124">
        <v>7.5</v>
      </c>
      <c r="BF124">
        <v>10</v>
      </c>
      <c r="BG124">
        <v>10</v>
      </c>
      <c r="BH124">
        <v>8</v>
      </c>
      <c r="BI124">
        <v>6</v>
      </c>
      <c r="BJ124" t="s">
        <v>222</v>
      </c>
      <c r="BK124">
        <v>10</v>
      </c>
      <c r="BL124">
        <v>9</v>
      </c>
      <c r="BM124">
        <v>8.5</v>
      </c>
      <c r="BN124">
        <v>7</v>
      </c>
      <c r="BO124">
        <v>0</v>
      </c>
    </row>
    <row r="125" spans="1:67" x14ac:dyDescent="0.25">
      <c r="A125">
        <v>2</v>
      </c>
      <c r="B125" t="s">
        <v>384</v>
      </c>
      <c r="C125" t="s">
        <v>387</v>
      </c>
      <c r="D125">
        <v>17235</v>
      </c>
      <c r="E125" t="s">
        <v>22</v>
      </c>
      <c r="F125" t="s">
        <v>12</v>
      </c>
      <c r="G125" s="2">
        <v>24</v>
      </c>
      <c r="H125" s="3">
        <v>21</v>
      </c>
      <c r="I125" s="4">
        <f t="shared" si="21"/>
        <v>6</v>
      </c>
      <c r="J125">
        <f t="shared" si="16"/>
        <v>8</v>
      </c>
      <c r="K125" s="2">
        <v>54.5</v>
      </c>
      <c r="L125">
        <f t="shared" si="22"/>
        <v>69</v>
      </c>
      <c r="M125" s="2">
        <v>23</v>
      </c>
      <c r="N125" s="3">
        <v>17</v>
      </c>
      <c r="O125" s="4">
        <f t="shared" si="23"/>
        <v>5</v>
      </c>
      <c r="P125">
        <f t="shared" si="17"/>
        <v>5</v>
      </c>
      <c r="Q125" s="2">
        <v>32</v>
      </c>
      <c r="R125">
        <f t="shared" si="24"/>
        <v>42</v>
      </c>
      <c r="S125" s="2">
        <v>27</v>
      </c>
      <c r="T125" s="3">
        <v>25.5</v>
      </c>
      <c r="U125" s="4">
        <f t="shared" si="25"/>
        <v>7</v>
      </c>
      <c r="V125">
        <f t="shared" si="18"/>
        <v>5.5</v>
      </c>
      <c r="W125" s="2">
        <v>52.5</v>
      </c>
      <c r="X125">
        <f t="shared" si="26"/>
        <v>65</v>
      </c>
      <c r="Y125" s="2">
        <v>32.5</v>
      </c>
      <c r="Z125" s="3">
        <v>30.5</v>
      </c>
      <c r="AA125" s="4">
        <f t="shared" si="27"/>
        <v>8</v>
      </c>
      <c r="AB125">
        <f t="shared" si="19"/>
        <v>8.5</v>
      </c>
      <c r="AC125" s="2">
        <v>56.5</v>
      </c>
      <c r="AD125">
        <f t="shared" si="28"/>
        <v>73</v>
      </c>
      <c r="AE125" s="2">
        <v>26</v>
      </c>
      <c r="AF125" s="3">
        <v>23</v>
      </c>
      <c r="AG125" s="4">
        <f t="shared" si="29"/>
        <v>6.5</v>
      </c>
      <c r="AH125">
        <f t="shared" si="20"/>
        <v>9</v>
      </c>
      <c r="AI125" s="2">
        <v>39.5</v>
      </c>
      <c r="AJ125">
        <f t="shared" si="30"/>
        <v>55</v>
      </c>
      <c r="AK125" s="2">
        <v>24</v>
      </c>
      <c r="AL125" s="3">
        <v>18.5</v>
      </c>
      <c r="AM125" s="4">
        <v>26.5</v>
      </c>
      <c r="AN125" s="2">
        <v>10</v>
      </c>
      <c r="AO125" s="3">
        <v>20</v>
      </c>
      <c r="AP125" s="4">
        <v>24.5</v>
      </c>
      <c r="AQ125">
        <v>8</v>
      </c>
      <c r="AR125">
        <v>8</v>
      </c>
      <c r="AS125">
        <v>7</v>
      </c>
      <c r="AT125">
        <v>12</v>
      </c>
      <c r="AU125">
        <f t="shared" si="31"/>
        <v>6</v>
      </c>
      <c r="AV125" t="s">
        <v>230</v>
      </c>
      <c r="AW125" t="s">
        <v>322</v>
      </c>
      <c r="AX125" t="s">
        <v>232</v>
      </c>
      <c r="AY125" t="s">
        <v>254</v>
      </c>
      <c r="AZ125" t="s">
        <v>323</v>
      </c>
      <c r="BA125" t="s">
        <v>324</v>
      </c>
      <c r="BB125" t="s">
        <v>325</v>
      </c>
      <c r="BC125" t="s">
        <v>218</v>
      </c>
      <c r="BD125" t="s">
        <v>220</v>
      </c>
      <c r="BE125">
        <v>10</v>
      </c>
      <c r="BF125">
        <v>3</v>
      </c>
      <c r="BG125">
        <v>9.5</v>
      </c>
      <c r="BH125">
        <v>9</v>
      </c>
      <c r="BI125">
        <v>5</v>
      </c>
      <c r="BJ125" t="s">
        <v>222</v>
      </c>
      <c r="BK125">
        <v>8</v>
      </c>
      <c r="BL125">
        <v>7</v>
      </c>
      <c r="BM125">
        <v>7.5</v>
      </c>
      <c r="BN125">
        <v>7</v>
      </c>
      <c r="BO125">
        <v>6</v>
      </c>
    </row>
    <row r="126" spans="1:67" x14ac:dyDescent="0.25">
      <c r="A126">
        <v>3</v>
      </c>
      <c r="B126" t="s">
        <v>384</v>
      </c>
      <c r="C126" t="s">
        <v>387</v>
      </c>
      <c r="D126">
        <v>17232</v>
      </c>
      <c r="E126" t="s">
        <v>27</v>
      </c>
      <c r="F126" t="s">
        <v>12</v>
      </c>
      <c r="G126" s="2">
        <v>14</v>
      </c>
      <c r="H126" s="3">
        <v>13.5</v>
      </c>
      <c r="I126" s="4">
        <f t="shared" si="21"/>
        <v>3.5</v>
      </c>
      <c r="J126">
        <f t="shared" si="16"/>
        <v>3</v>
      </c>
      <c r="K126" s="2">
        <v>41.5</v>
      </c>
      <c r="L126">
        <f t="shared" si="22"/>
        <v>48</v>
      </c>
      <c r="M126" s="2">
        <v>18</v>
      </c>
      <c r="N126" s="3">
        <v>11.5</v>
      </c>
      <c r="O126" s="4">
        <f t="shared" si="23"/>
        <v>4</v>
      </c>
      <c r="P126">
        <f t="shared" si="17"/>
        <v>2</v>
      </c>
      <c r="Q126" s="2">
        <v>31.5</v>
      </c>
      <c r="R126">
        <f t="shared" si="24"/>
        <v>38</v>
      </c>
      <c r="S126" s="2">
        <v>19</v>
      </c>
      <c r="T126" s="3">
        <v>20.5</v>
      </c>
      <c r="U126" s="4">
        <f t="shared" si="25"/>
        <v>5</v>
      </c>
      <c r="V126">
        <f t="shared" si="18"/>
        <v>3</v>
      </c>
      <c r="W126" s="2">
        <v>32</v>
      </c>
      <c r="X126">
        <f t="shared" si="26"/>
        <v>40</v>
      </c>
      <c r="Y126" s="2">
        <v>8</v>
      </c>
      <c r="Z126" s="3">
        <v>22.5</v>
      </c>
      <c r="AA126" s="4">
        <f t="shared" si="27"/>
        <v>4</v>
      </c>
      <c r="AB126">
        <f t="shared" si="19"/>
        <v>6</v>
      </c>
      <c r="AC126" s="2">
        <v>27</v>
      </c>
      <c r="AD126">
        <f t="shared" si="28"/>
        <v>37</v>
      </c>
      <c r="AE126" s="2">
        <v>15.5</v>
      </c>
      <c r="AF126" s="3">
        <v>19</v>
      </c>
      <c r="AG126" s="4">
        <f t="shared" si="29"/>
        <v>4.5</v>
      </c>
      <c r="AH126">
        <f t="shared" si="20"/>
        <v>4</v>
      </c>
      <c r="AI126" s="2">
        <v>32.5</v>
      </c>
      <c r="AJ126">
        <f t="shared" si="30"/>
        <v>41</v>
      </c>
      <c r="AK126" s="2">
        <v>13.5</v>
      </c>
      <c r="AL126" s="3">
        <v>10.5</v>
      </c>
      <c r="AM126" s="4">
        <v>14</v>
      </c>
      <c r="AN126" s="2">
        <v>5</v>
      </c>
      <c r="AO126" s="3">
        <v>13</v>
      </c>
      <c r="AP126" s="4">
        <v>21</v>
      </c>
      <c r="AQ126">
        <v>8</v>
      </c>
      <c r="AR126">
        <v>9</v>
      </c>
      <c r="AS126">
        <v>7</v>
      </c>
      <c r="AT126">
        <v>9</v>
      </c>
      <c r="AU126">
        <f t="shared" si="31"/>
        <v>4.5</v>
      </c>
      <c r="AV126" t="s">
        <v>230</v>
      </c>
      <c r="AW126" t="s">
        <v>322</v>
      </c>
      <c r="AX126" t="s">
        <v>232</v>
      </c>
      <c r="AY126" t="s">
        <v>326</v>
      </c>
      <c r="AZ126" t="s">
        <v>319</v>
      </c>
      <c r="BA126" t="s">
        <v>327</v>
      </c>
      <c r="BB126" t="s">
        <v>328</v>
      </c>
      <c r="BC126" t="s">
        <v>218</v>
      </c>
      <c r="BD126" t="s">
        <v>220</v>
      </c>
      <c r="BE126">
        <v>7.5</v>
      </c>
      <c r="BF126">
        <v>4</v>
      </c>
      <c r="BG126">
        <v>6.5</v>
      </c>
      <c r="BH126">
        <v>6</v>
      </c>
      <c r="BI126">
        <v>1.5</v>
      </c>
      <c r="BJ126" t="s">
        <v>222</v>
      </c>
      <c r="BK126" t="s">
        <v>14</v>
      </c>
      <c r="BL126" t="s">
        <v>32</v>
      </c>
      <c r="BM126">
        <v>5</v>
      </c>
      <c r="BN126" t="s">
        <v>14</v>
      </c>
      <c r="BO126">
        <v>4.5</v>
      </c>
    </row>
    <row r="127" spans="1:67" x14ac:dyDescent="0.25">
      <c r="A127">
        <v>4</v>
      </c>
      <c r="B127" t="s">
        <v>384</v>
      </c>
      <c r="C127" t="s">
        <v>387</v>
      </c>
      <c r="D127">
        <v>16278</v>
      </c>
      <c r="E127" t="s">
        <v>33</v>
      </c>
      <c r="F127" t="s">
        <v>12</v>
      </c>
      <c r="G127" s="2">
        <v>26</v>
      </c>
      <c r="H127" s="3">
        <v>25</v>
      </c>
      <c r="I127" s="4">
        <f t="shared" si="21"/>
        <v>6.5</v>
      </c>
      <c r="J127">
        <f t="shared" si="16"/>
        <v>8.5</v>
      </c>
      <c r="K127" s="2">
        <v>53.5</v>
      </c>
      <c r="L127">
        <f t="shared" si="22"/>
        <v>69</v>
      </c>
      <c r="M127" s="2">
        <v>30.5</v>
      </c>
      <c r="N127" s="3">
        <v>29</v>
      </c>
      <c r="O127" s="4">
        <f t="shared" si="23"/>
        <v>7.5</v>
      </c>
      <c r="P127">
        <f t="shared" si="17"/>
        <v>6.5</v>
      </c>
      <c r="Q127" s="2">
        <v>55.5</v>
      </c>
      <c r="R127">
        <f t="shared" si="24"/>
        <v>70</v>
      </c>
      <c r="S127" s="2">
        <v>29</v>
      </c>
      <c r="T127" s="3">
        <v>19.5</v>
      </c>
      <c r="U127" s="4">
        <f t="shared" si="25"/>
        <v>6.5</v>
      </c>
      <c r="V127">
        <f t="shared" si="18"/>
        <v>3.5</v>
      </c>
      <c r="W127" s="2">
        <v>32.5</v>
      </c>
      <c r="X127">
        <f t="shared" si="26"/>
        <v>43</v>
      </c>
      <c r="Y127" s="2">
        <v>24</v>
      </c>
      <c r="Z127" s="3">
        <v>31</v>
      </c>
      <c r="AA127" s="4">
        <f t="shared" si="27"/>
        <v>7</v>
      </c>
      <c r="AB127">
        <f t="shared" si="19"/>
        <v>8.5</v>
      </c>
      <c r="AC127" s="2">
        <v>41.5</v>
      </c>
      <c r="AD127">
        <f t="shared" si="28"/>
        <v>57</v>
      </c>
      <c r="AE127" s="2">
        <v>27</v>
      </c>
      <c r="AF127" s="3">
        <v>32</v>
      </c>
      <c r="AG127" s="4">
        <f t="shared" si="29"/>
        <v>7.5</v>
      </c>
      <c r="AH127">
        <f t="shared" si="20"/>
        <v>9</v>
      </c>
      <c r="AI127" s="2">
        <v>49</v>
      </c>
      <c r="AJ127">
        <f t="shared" si="30"/>
        <v>66</v>
      </c>
      <c r="AK127" s="2">
        <v>20</v>
      </c>
      <c r="AL127" s="3">
        <v>19</v>
      </c>
      <c r="AM127" s="4">
        <v>22.5</v>
      </c>
      <c r="AN127" s="2">
        <v>5</v>
      </c>
      <c r="AO127" s="3">
        <v>18</v>
      </c>
      <c r="AP127" s="4">
        <v>19</v>
      </c>
      <c r="AQ127">
        <v>8</v>
      </c>
      <c r="AR127">
        <v>7.5</v>
      </c>
      <c r="AS127">
        <v>9</v>
      </c>
      <c r="AT127">
        <v>9.5</v>
      </c>
      <c r="AU127">
        <f t="shared" si="31"/>
        <v>5</v>
      </c>
      <c r="AV127" t="s">
        <v>230</v>
      </c>
      <c r="AW127" t="s">
        <v>322</v>
      </c>
      <c r="AX127" t="s">
        <v>232</v>
      </c>
      <c r="AY127" t="s">
        <v>253</v>
      </c>
      <c r="AZ127" t="s">
        <v>329</v>
      </c>
      <c r="BA127" t="s">
        <v>327</v>
      </c>
      <c r="BB127" t="s">
        <v>328</v>
      </c>
      <c r="BC127" t="s">
        <v>218</v>
      </c>
      <c r="BD127" t="s">
        <v>220</v>
      </c>
      <c r="BE127">
        <v>9.5</v>
      </c>
      <c r="BF127">
        <v>7</v>
      </c>
      <c r="BG127">
        <v>10</v>
      </c>
      <c r="BH127">
        <v>9.5</v>
      </c>
      <c r="BI127">
        <v>3.5</v>
      </c>
      <c r="BJ127" t="s">
        <v>222</v>
      </c>
      <c r="BK127">
        <v>8</v>
      </c>
      <c r="BL127">
        <v>6</v>
      </c>
      <c r="BM127">
        <v>6.5</v>
      </c>
      <c r="BN127">
        <v>7.5</v>
      </c>
      <c r="BO127">
        <v>3.5</v>
      </c>
    </row>
    <row r="128" spans="1:67" x14ac:dyDescent="0.25">
      <c r="A128">
        <v>5</v>
      </c>
      <c r="B128" t="s">
        <v>384</v>
      </c>
      <c r="C128" t="s">
        <v>387</v>
      </c>
      <c r="D128">
        <v>16565</v>
      </c>
      <c r="E128" t="s">
        <v>38</v>
      </c>
      <c r="F128" t="s">
        <v>12</v>
      </c>
      <c r="G128" s="2">
        <v>20.5</v>
      </c>
      <c r="H128" s="3">
        <v>18.5</v>
      </c>
      <c r="I128" s="4">
        <f t="shared" si="21"/>
        <v>5</v>
      </c>
      <c r="J128">
        <f t="shared" si="16"/>
        <v>6</v>
      </c>
      <c r="K128" s="2">
        <v>37.5</v>
      </c>
      <c r="L128">
        <f t="shared" si="22"/>
        <v>49</v>
      </c>
      <c r="M128" s="2">
        <v>35.5</v>
      </c>
      <c r="N128" s="3">
        <v>34.5</v>
      </c>
      <c r="O128" s="4">
        <f t="shared" si="23"/>
        <v>9</v>
      </c>
      <c r="P128">
        <f t="shared" si="17"/>
        <v>9.5</v>
      </c>
      <c r="Q128" s="2">
        <v>72.5</v>
      </c>
      <c r="R128">
        <f t="shared" si="24"/>
        <v>91</v>
      </c>
      <c r="S128" s="2">
        <v>21.5</v>
      </c>
      <c r="T128" s="3">
        <v>10</v>
      </c>
      <c r="U128" s="4">
        <f t="shared" si="25"/>
        <v>4</v>
      </c>
      <c r="V128">
        <f t="shared" si="18"/>
        <v>2.5</v>
      </c>
      <c r="W128" s="2">
        <v>31.5</v>
      </c>
      <c r="X128">
        <f t="shared" si="26"/>
        <v>38</v>
      </c>
      <c r="Y128" s="2">
        <v>36</v>
      </c>
      <c r="Z128" s="3">
        <v>37.5</v>
      </c>
      <c r="AA128" s="4">
        <f t="shared" si="27"/>
        <v>9.5</v>
      </c>
      <c r="AB128">
        <f t="shared" si="19"/>
        <v>8</v>
      </c>
      <c r="AC128" s="2">
        <v>64.5</v>
      </c>
      <c r="AD128">
        <f t="shared" si="28"/>
        <v>82</v>
      </c>
      <c r="AE128" s="2">
        <v>25</v>
      </c>
      <c r="AF128" s="3">
        <v>35.5</v>
      </c>
      <c r="AG128" s="4">
        <f t="shared" si="29"/>
        <v>8</v>
      </c>
      <c r="AH128">
        <f t="shared" si="20"/>
        <v>9</v>
      </c>
      <c r="AI128" s="2">
        <v>59.5</v>
      </c>
      <c r="AJ128">
        <f t="shared" si="30"/>
        <v>77</v>
      </c>
      <c r="AK128" s="2">
        <v>17.5</v>
      </c>
      <c r="AL128" s="3">
        <v>20</v>
      </c>
      <c r="AM128" s="4">
        <v>19.5</v>
      </c>
      <c r="AN128" s="2">
        <v>7</v>
      </c>
      <c r="AO128" s="3">
        <v>18</v>
      </c>
      <c r="AP128" s="4">
        <v>25.5</v>
      </c>
      <c r="AQ128">
        <v>8</v>
      </c>
      <c r="AR128">
        <v>8</v>
      </c>
      <c r="AS128">
        <v>10</v>
      </c>
      <c r="AT128">
        <v>15</v>
      </c>
      <c r="AU128">
        <f t="shared" si="31"/>
        <v>7.5</v>
      </c>
      <c r="AV128" t="s">
        <v>230</v>
      </c>
      <c r="AW128" t="s">
        <v>322</v>
      </c>
      <c r="AX128" t="s">
        <v>232</v>
      </c>
      <c r="AY128" t="s">
        <v>233</v>
      </c>
      <c r="AZ128" t="s">
        <v>330</v>
      </c>
      <c r="BA128" t="s">
        <v>327</v>
      </c>
      <c r="BB128" t="s">
        <v>328</v>
      </c>
      <c r="BC128" t="s">
        <v>218</v>
      </c>
      <c r="BD128" t="s">
        <v>220</v>
      </c>
      <c r="BE128">
        <v>8.5</v>
      </c>
      <c r="BF128">
        <v>10</v>
      </c>
      <c r="BG128">
        <v>9</v>
      </c>
      <c r="BH128">
        <v>7.5</v>
      </c>
      <c r="BI128">
        <v>2.5</v>
      </c>
      <c r="BJ128" t="s">
        <v>222</v>
      </c>
      <c r="BK128">
        <v>9</v>
      </c>
      <c r="BL128">
        <v>9</v>
      </c>
      <c r="BM128">
        <v>6.5</v>
      </c>
      <c r="BN128">
        <v>4.5</v>
      </c>
      <c r="BO128">
        <v>2.5</v>
      </c>
    </row>
    <row r="129" spans="1:67" x14ac:dyDescent="0.25">
      <c r="A129">
        <v>6</v>
      </c>
      <c r="B129" t="s">
        <v>384</v>
      </c>
      <c r="C129" t="s">
        <v>387</v>
      </c>
      <c r="D129">
        <v>16382</v>
      </c>
      <c r="E129" t="s">
        <v>43</v>
      </c>
      <c r="F129" t="s">
        <v>12</v>
      </c>
      <c r="G129" s="2">
        <v>33</v>
      </c>
      <c r="H129" s="3">
        <v>22.5</v>
      </c>
      <c r="I129" s="4">
        <f t="shared" si="21"/>
        <v>7</v>
      </c>
      <c r="J129">
        <f t="shared" si="16"/>
        <v>6.5</v>
      </c>
      <c r="K129" s="2">
        <v>43</v>
      </c>
      <c r="L129">
        <f t="shared" si="22"/>
        <v>57</v>
      </c>
      <c r="M129" s="2">
        <v>25.5</v>
      </c>
      <c r="N129" s="3">
        <v>20</v>
      </c>
      <c r="O129" s="4">
        <f t="shared" si="23"/>
        <v>6</v>
      </c>
      <c r="P129">
        <f t="shared" si="17"/>
        <v>7</v>
      </c>
      <c r="Q129" s="2">
        <v>32</v>
      </c>
      <c r="R129">
        <f t="shared" si="24"/>
        <v>45</v>
      </c>
      <c r="S129" s="2">
        <v>34.5</v>
      </c>
      <c r="T129" s="3">
        <v>23</v>
      </c>
      <c r="U129" s="4">
        <f t="shared" si="25"/>
        <v>7.5</v>
      </c>
      <c r="V129">
        <f t="shared" si="18"/>
        <v>5</v>
      </c>
      <c r="W129" s="2">
        <v>37</v>
      </c>
      <c r="X129">
        <f t="shared" si="26"/>
        <v>50</v>
      </c>
      <c r="Y129" s="2">
        <v>33.5</v>
      </c>
      <c r="Z129" s="3">
        <v>34.5</v>
      </c>
      <c r="AA129" s="4">
        <f t="shared" si="27"/>
        <v>8.5</v>
      </c>
      <c r="AB129">
        <f t="shared" si="19"/>
        <v>8</v>
      </c>
      <c r="AC129" s="2">
        <v>59.5</v>
      </c>
      <c r="AD129">
        <f t="shared" si="28"/>
        <v>76</v>
      </c>
      <c r="AE129" s="2">
        <v>34</v>
      </c>
      <c r="AF129" s="3">
        <v>30.5</v>
      </c>
      <c r="AG129" s="4">
        <f t="shared" si="29"/>
        <v>8.5</v>
      </c>
      <c r="AH129">
        <f t="shared" si="20"/>
        <v>8</v>
      </c>
      <c r="AI129" s="2">
        <v>55</v>
      </c>
      <c r="AJ129">
        <f t="shared" si="30"/>
        <v>72</v>
      </c>
      <c r="AK129" s="2">
        <v>24</v>
      </c>
      <c r="AL129" s="3">
        <v>23.5</v>
      </c>
      <c r="AM129" s="4">
        <v>24</v>
      </c>
      <c r="AN129" s="2">
        <v>9</v>
      </c>
      <c r="AO129" s="3">
        <v>21</v>
      </c>
      <c r="AP129" s="4">
        <v>30</v>
      </c>
      <c r="AQ129">
        <v>8</v>
      </c>
      <c r="AR129">
        <v>7</v>
      </c>
      <c r="AS129">
        <v>6</v>
      </c>
      <c r="AT129">
        <v>13</v>
      </c>
      <c r="AU129">
        <f t="shared" si="31"/>
        <v>6.5</v>
      </c>
      <c r="AV129" t="s">
        <v>230</v>
      </c>
      <c r="AW129" t="s">
        <v>231</v>
      </c>
      <c r="AX129" t="s">
        <v>232</v>
      </c>
      <c r="AY129" t="s">
        <v>260</v>
      </c>
      <c r="AZ129" t="s">
        <v>331</v>
      </c>
      <c r="BA129" t="s">
        <v>327</v>
      </c>
      <c r="BB129" t="s">
        <v>328</v>
      </c>
      <c r="BC129" t="s">
        <v>218</v>
      </c>
      <c r="BD129" t="s">
        <v>220</v>
      </c>
      <c r="BE129">
        <v>7.5</v>
      </c>
      <c r="BF129">
        <v>6</v>
      </c>
      <c r="BG129">
        <v>8</v>
      </c>
      <c r="BH129">
        <v>6.5</v>
      </c>
      <c r="BI129">
        <v>4.5</v>
      </c>
      <c r="BJ129" t="s">
        <v>222</v>
      </c>
      <c r="BK129">
        <v>8</v>
      </c>
      <c r="BL129">
        <v>7.5</v>
      </c>
      <c r="BM129">
        <v>7.5</v>
      </c>
      <c r="BN129">
        <v>6.5</v>
      </c>
      <c r="BO129">
        <v>5</v>
      </c>
    </row>
    <row r="130" spans="1:67" x14ac:dyDescent="0.25">
      <c r="A130">
        <v>7</v>
      </c>
      <c r="B130" t="s">
        <v>384</v>
      </c>
      <c r="C130" t="s">
        <v>387</v>
      </c>
      <c r="D130">
        <v>16203</v>
      </c>
      <c r="E130" t="s">
        <v>48</v>
      </c>
      <c r="F130" t="s">
        <v>12</v>
      </c>
      <c r="G130" s="2">
        <v>23.5</v>
      </c>
      <c r="H130" s="3">
        <v>26.5</v>
      </c>
      <c r="I130" s="4">
        <f t="shared" si="21"/>
        <v>6.5</v>
      </c>
      <c r="J130">
        <f t="shared" ref="J130:J193" si="32">CEILING((N(BH130)+N(BN130))/2,0.5)</f>
        <v>7.5</v>
      </c>
      <c r="K130" s="2">
        <v>35.5</v>
      </c>
      <c r="L130">
        <f t="shared" si="22"/>
        <v>50</v>
      </c>
      <c r="M130" s="2">
        <v>37.5</v>
      </c>
      <c r="N130" s="3">
        <v>37.5</v>
      </c>
      <c r="O130" s="4">
        <f t="shared" si="23"/>
        <v>9.5</v>
      </c>
      <c r="P130">
        <f t="shared" ref="P130:P193" si="33">CEILING((N(BF130)+N(BL130))/2,0.5)</f>
        <v>9.5</v>
      </c>
      <c r="Q130" s="2">
        <v>72</v>
      </c>
      <c r="R130">
        <f t="shared" si="24"/>
        <v>91</v>
      </c>
      <c r="S130" s="2">
        <v>23.5</v>
      </c>
      <c r="T130" s="3">
        <v>23</v>
      </c>
      <c r="U130" s="4">
        <f t="shared" si="25"/>
        <v>6</v>
      </c>
      <c r="V130">
        <f t="shared" ref="V130:V193" si="34">CEILING((N(BI130)+N(BO130))/2,0.5)</f>
        <v>5</v>
      </c>
      <c r="W130" s="2">
        <v>41</v>
      </c>
      <c r="X130">
        <f t="shared" si="26"/>
        <v>52</v>
      </c>
      <c r="Y130" s="2">
        <v>32</v>
      </c>
      <c r="Z130" s="3">
        <v>32</v>
      </c>
      <c r="AA130" s="4">
        <f t="shared" si="27"/>
        <v>8</v>
      </c>
      <c r="AB130">
        <f t="shared" ref="AB130:AB193" si="35">CEILING((N(BG130)+N(BM130))/2,0.5)</f>
        <v>8</v>
      </c>
      <c r="AC130" s="2">
        <v>44.5</v>
      </c>
      <c r="AD130">
        <f t="shared" si="28"/>
        <v>61</v>
      </c>
      <c r="AE130" s="2">
        <v>29</v>
      </c>
      <c r="AF130" s="3">
        <v>28</v>
      </c>
      <c r="AG130" s="4">
        <f t="shared" si="29"/>
        <v>7.5</v>
      </c>
      <c r="AH130">
        <f t="shared" ref="AH130:AH193" si="36">CEILING((N(BE130)+N(BK130))/2,0.5)</f>
        <v>8</v>
      </c>
      <c r="AI130" s="2">
        <v>50</v>
      </c>
      <c r="AJ130">
        <f t="shared" si="30"/>
        <v>66</v>
      </c>
      <c r="AK130" s="2">
        <v>24.5</v>
      </c>
      <c r="AL130" s="3">
        <v>21</v>
      </c>
      <c r="AM130" s="4">
        <v>25</v>
      </c>
      <c r="AN130" s="2">
        <v>7</v>
      </c>
      <c r="AO130" s="3">
        <v>17</v>
      </c>
      <c r="AP130" s="4">
        <v>28</v>
      </c>
      <c r="AQ130">
        <v>8</v>
      </c>
      <c r="AR130">
        <v>8</v>
      </c>
      <c r="AS130">
        <v>10</v>
      </c>
      <c r="AT130">
        <v>13.5</v>
      </c>
      <c r="AU130">
        <f t="shared" si="31"/>
        <v>7</v>
      </c>
      <c r="AV130" t="s">
        <v>230</v>
      </c>
      <c r="AW130" t="s">
        <v>322</v>
      </c>
      <c r="AX130" t="s">
        <v>232</v>
      </c>
      <c r="AY130" t="s">
        <v>251</v>
      </c>
      <c r="AZ130" t="s">
        <v>329</v>
      </c>
      <c r="BA130" t="s">
        <v>327</v>
      </c>
      <c r="BB130" t="s">
        <v>328</v>
      </c>
      <c r="BC130" t="s">
        <v>218</v>
      </c>
      <c r="BD130" t="s">
        <v>220</v>
      </c>
      <c r="BE130">
        <v>8</v>
      </c>
      <c r="BF130">
        <v>10</v>
      </c>
      <c r="BG130">
        <v>9.5</v>
      </c>
      <c r="BH130">
        <v>8.5</v>
      </c>
      <c r="BI130">
        <v>3</v>
      </c>
      <c r="BJ130" t="s">
        <v>222</v>
      </c>
      <c r="BK130">
        <v>8</v>
      </c>
      <c r="BL130">
        <v>9</v>
      </c>
      <c r="BM130">
        <v>6.5</v>
      </c>
      <c r="BN130">
        <v>6.5</v>
      </c>
      <c r="BO130">
        <v>7</v>
      </c>
    </row>
    <row r="131" spans="1:67" x14ac:dyDescent="0.25">
      <c r="A131">
        <v>8</v>
      </c>
      <c r="B131" t="s">
        <v>384</v>
      </c>
      <c r="C131" t="s">
        <v>387</v>
      </c>
      <c r="D131">
        <v>17217</v>
      </c>
      <c r="E131" t="s">
        <v>53</v>
      </c>
      <c r="F131" t="s">
        <v>12</v>
      </c>
      <c r="G131" s="2">
        <v>18.5</v>
      </c>
      <c r="H131" s="3">
        <v>15.5</v>
      </c>
      <c r="I131" s="4">
        <f t="shared" ref="I131:I194" si="37">CEILING((N(G131)+N(H131))/80*10,0.5)</f>
        <v>4.5</v>
      </c>
      <c r="J131">
        <f t="shared" si="32"/>
        <v>7</v>
      </c>
      <c r="K131" s="2">
        <v>33.5</v>
      </c>
      <c r="L131">
        <f t="shared" ref="L131:L194" si="38">ROUND(N(I131) + N(J131) + N(K131), 0)</f>
        <v>45</v>
      </c>
      <c r="M131" s="2">
        <v>24</v>
      </c>
      <c r="N131" s="3">
        <v>24.5</v>
      </c>
      <c r="O131" s="4">
        <f t="shared" ref="O131:O194" si="39">CEILING((N(M131)+N(N131))/80*10,0.5)</f>
        <v>6.5</v>
      </c>
      <c r="P131">
        <f t="shared" si="33"/>
        <v>9</v>
      </c>
      <c r="Q131" s="2">
        <v>52.5</v>
      </c>
      <c r="R131">
        <f t="shared" ref="R131:R194" si="40">ROUND(N(O131) + N(P131) + N(Q131), 0)</f>
        <v>68</v>
      </c>
      <c r="S131" s="2">
        <v>7</v>
      </c>
      <c r="T131" s="3">
        <v>12</v>
      </c>
      <c r="U131" s="4">
        <f t="shared" ref="U131:U194" si="41">CEILING((N(S131)+N(T131))/80*10,0.5)</f>
        <v>2.5</v>
      </c>
      <c r="V131">
        <f t="shared" si="34"/>
        <v>3.5</v>
      </c>
      <c r="W131" s="2">
        <v>15.5</v>
      </c>
      <c r="X131">
        <f t="shared" ref="X131:X194" si="42">ROUND(N(U131) + N(V131) + N(W131), 0)</f>
        <v>22</v>
      </c>
      <c r="Y131" s="2">
        <v>14</v>
      </c>
      <c r="Z131" s="3">
        <v>21</v>
      </c>
      <c r="AA131" s="4">
        <f t="shared" ref="AA131:AA194" si="43">CEILING((N(Y131)+N(Z131))/80*10,0.5)</f>
        <v>4.5</v>
      </c>
      <c r="AB131">
        <f t="shared" si="35"/>
        <v>8</v>
      </c>
      <c r="AC131" s="2">
        <v>24</v>
      </c>
      <c r="AD131">
        <f t="shared" ref="AD131:AD194" si="44">ROUND(N(AA131) + N(AB131) + N(AC131), 0)</f>
        <v>37</v>
      </c>
      <c r="AE131" s="2">
        <v>15</v>
      </c>
      <c r="AF131" s="3">
        <v>22.5</v>
      </c>
      <c r="AG131" s="4">
        <f t="shared" ref="AG131:AG194" si="45">CEILING((N(AE131)+N(AF131))/80*10,0.5)</f>
        <v>5</v>
      </c>
      <c r="AH131">
        <f t="shared" si="36"/>
        <v>4</v>
      </c>
      <c r="AI131" s="2">
        <v>27</v>
      </c>
      <c r="AJ131">
        <f t="shared" ref="AJ131:AJ194" si="46">ROUND(N(AG131) + N(AH131) + N(AI131), 0)</f>
        <v>36</v>
      </c>
      <c r="AK131" s="2">
        <v>12</v>
      </c>
      <c r="AL131" s="3">
        <v>11.5</v>
      </c>
      <c r="AM131" s="4">
        <v>15.5</v>
      </c>
      <c r="AN131" s="2">
        <v>6</v>
      </c>
      <c r="AO131" s="3">
        <v>11</v>
      </c>
      <c r="AP131" s="4">
        <v>21</v>
      </c>
      <c r="AQ131">
        <v>8</v>
      </c>
      <c r="AR131">
        <v>8.5</v>
      </c>
      <c r="AS131">
        <v>9</v>
      </c>
      <c r="AT131">
        <v>11.5</v>
      </c>
      <c r="AU131">
        <f t="shared" ref="AU131:AU194" si="47">CEILING(N(AT131)/2,0.5)</f>
        <v>6</v>
      </c>
      <c r="AV131" t="s">
        <v>230</v>
      </c>
      <c r="AW131" t="s">
        <v>231</v>
      </c>
      <c r="AX131" t="s">
        <v>237</v>
      </c>
      <c r="AY131" t="s">
        <v>247</v>
      </c>
      <c r="AZ131" t="s">
        <v>329</v>
      </c>
      <c r="BA131" t="s">
        <v>327</v>
      </c>
      <c r="BB131" t="s">
        <v>328</v>
      </c>
      <c r="BC131" t="s">
        <v>218</v>
      </c>
      <c r="BD131" t="s">
        <v>220</v>
      </c>
      <c r="BE131">
        <v>3.5</v>
      </c>
      <c r="BF131">
        <v>10</v>
      </c>
      <c r="BG131">
        <v>7.5</v>
      </c>
      <c r="BH131">
        <v>8.5</v>
      </c>
      <c r="BI131">
        <v>3.5</v>
      </c>
      <c r="BJ131" t="s">
        <v>222</v>
      </c>
      <c r="BK131">
        <v>4</v>
      </c>
      <c r="BL131">
        <v>8</v>
      </c>
      <c r="BM131">
        <v>8.5</v>
      </c>
      <c r="BN131">
        <v>5</v>
      </c>
      <c r="BO131">
        <v>3.5</v>
      </c>
    </row>
    <row r="132" spans="1:67" x14ac:dyDescent="0.25">
      <c r="A132">
        <v>9</v>
      </c>
      <c r="B132" t="s">
        <v>384</v>
      </c>
      <c r="C132" t="s">
        <v>387</v>
      </c>
      <c r="D132">
        <v>16154</v>
      </c>
      <c r="E132" t="s">
        <v>58</v>
      </c>
      <c r="F132" t="s">
        <v>12</v>
      </c>
      <c r="G132" s="2">
        <v>32.5</v>
      </c>
      <c r="H132" s="3">
        <v>28.5</v>
      </c>
      <c r="I132" s="4">
        <f t="shared" si="37"/>
        <v>8</v>
      </c>
      <c r="J132">
        <f t="shared" si="32"/>
        <v>8</v>
      </c>
      <c r="K132" s="2">
        <v>55.5</v>
      </c>
      <c r="L132">
        <f t="shared" si="38"/>
        <v>72</v>
      </c>
      <c r="M132" s="2">
        <v>39.5</v>
      </c>
      <c r="N132" s="3">
        <v>39.5</v>
      </c>
      <c r="O132" s="4">
        <f t="shared" si="39"/>
        <v>10</v>
      </c>
      <c r="P132">
        <f t="shared" si="33"/>
        <v>9.5</v>
      </c>
      <c r="Q132" s="2">
        <v>77</v>
      </c>
      <c r="R132">
        <f t="shared" si="40"/>
        <v>97</v>
      </c>
      <c r="S132" s="2">
        <v>26.5</v>
      </c>
      <c r="T132" s="3">
        <v>25</v>
      </c>
      <c r="U132" s="4">
        <f t="shared" si="41"/>
        <v>6.5</v>
      </c>
      <c r="V132">
        <f t="shared" si="34"/>
        <v>5.5</v>
      </c>
      <c r="W132" s="2">
        <v>63.5</v>
      </c>
      <c r="X132">
        <f t="shared" si="42"/>
        <v>76</v>
      </c>
      <c r="Y132" s="2">
        <v>28.5</v>
      </c>
      <c r="Z132" s="3">
        <v>31.5</v>
      </c>
      <c r="AA132" s="4">
        <f t="shared" si="43"/>
        <v>7.5</v>
      </c>
      <c r="AB132">
        <f t="shared" si="35"/>
        <v>8</v>
      </c>
      <c r="AC132" s="2">
        <v>60.5</v>
      </c>
      <c r="AD132">
        <f t="shared" si="44"/>
        <v>76</v>
      </c>
      <c r="AE132" s="2">
        <v>35</v>
      </c>
      <c r="AF132" s="3">
        <v>26.5</v>
      </c>
      <c r="AG132" s="4">
        <f t="shared" si="45"/>
        <v>8</v>
      </c>
      <c r="AH132">
        <f t="shared" si="36"/>
        <v>8</v>
      </c>
      <c r="AI132" s="2">
        <v>59</v>
      </c>
      <c r="AJ132">
        <f t="shared" si="46"/>
        <v>75</v>
      </c>
      <c r="AK132" s="2">
        <v>22</v>
      </c>
      <c r="AL132" s="3">
        <v>22</v>
      </c>
      <c r="AM132" s="4">
        <v>16</v>
      </c>
      <c r="AN132" s="2">
        <v>7</v>
      </c>
      <c r="AO132" s="3">
        <v>22</v>
      </c>
      <c r="AP132" s="4">
        <v>30.5</v>
      </c>
      <c r="AQ132">
        <v>8</v>
      </c>
      <c r="AR132">
        <v>9</v>
      </c>
      <c r="AS132">
        <v>10</v>
      </c>
      <c r="AT132">
        <v>13</v>
      </c>
      <c r="AU132">
        <f t="shared" si="47"/>
        <v>6.5</v>
      </c>
      <c r="AV132" t="s">
        <v>230</v>
      </c>
      <c r="AW132" t="s">
        <v>322</v>
      </c>
      <c r="AX132" t="s">
        <v>232</v>
      </c>
      <c r="AY132" t="s">
        <v>240</v>
      </c>
      <c r="AZ132" t="s">
        <v>332</v>
      </c>
      <c r="BA132" t="s">
        <v>327</v>
      </c>
      <c r="BB132" t="s">
        <v>328</v>
      </c>
      <c r="BC132" t="s">
        <v>218</v>
      </c>
      <c r="BD132" t="s">
        <v>220</v>
      </c>
      <c r="BE132">
        <v>8.5</v>
      </c>
      <c r="BF132">
        <v>10</v>
      </c>
      <c r="BG132">
        <v>10</v>
      </c>
      <c r="BH132">
        <v>9</v>
      </c>
      <c r="BI132">
        <v>4</v>
      </c>
      <c r="BJ132" t="s">
        <v>222</v>
      </c>
      <c r="BK132">
        <v>7</v>
      </c>
      <c r="BL132">
        <v>9</v>
      </c>
      <c r="BM132">
        <v>5.5</v>
      </c>
      <c r="BN132">
        <v>7</v>
      </c>
      <c r="BO132">
        <v>6.5</v>
      </c>
    </row>
    <row r="133" spans="1:67" x14ac:dyDescent="0.25">
      <c r="A133">
        <v>10</v>
      </c>
      <c r="B133" t="s">
        <v>384</v>
      </c>
      <c r="C133" t="s">
        <v>387</v>
      </c>
      <c r="D133">
        <v>16586</v>
      </c>
      <c r="E133" t="s">
        <v>63</v>
      </c>
      <c r="F133" t="s">
        <v>12</v>
      </c>
      <c r="G133" s="2">
        <v>22</v>
      </c>
      <c r="H133" s="3">
        <v>21</v>
      </c>
      <c r="I133" s="4">
        <f t="shared" si="37"/>
        <v>5.5</v>
      </c>
      <c r="J133">
        <f t="shared" si="32"/>
        <v>6</v>
      </c>
      <c r="K133" s="2">
        <v>31.5</v>
      </c>
      <c r="L133">
        <f t="shared" si="38"/>
        <v>43</v>
      </c>
      <c r="M133" s="2">
        <v>33.5</v>
      </c>
      <c r="N133" s="3">
        <v>30.5</v>
      </c>
      <c r="O133" s="4">
        <f t="shared" si="39"/>
        <v>8</v>
      </c>
      <c r="P133">
        <f t="shared" si="33"/>
        <v>9</v>
      </c>
      <c r="Q133" s="2">
        <v>56</v>
      </c>
      <c r="R133">
        <f t="shared" si="40"/>
        <v>73</v>
      </c>
      <c r="S133" s="2">
        <v>28</v>
      </c>
      <c r="T133" s="3">
        <v>21.5</v>
      </c>
      <c r="U133" s="4">
        <f t="shared" si="41"/>
        <v>6.5</v>
      </c>
      <c r="V133">
        <f t="shared" si="34"/>
        <v>6.5</v>
      </c>
      <c r="W133" s="2">
        <v>48</v>
      </c>
      <c r="X133">
        <f t="shared" si="42"/>
        <v>61</v>
      </c>
      <c r="Y133" s="2">
        <v>27.5</v>
      </c>
      <c r="Z133" s="3">
        <v>27</v>
      </c>
      <c r="AA133" s="4">
        <f t="shared" si="43"/>
        <v>7</v>
      </c>
      <c r="AB133">
        <f t="shared" si="35"/>
        <v>9</v>
      </c>
      <c r="AC133" s="2">
        <v>45.5</v>
      </c>
      <c r="AD133">
        <f t="shared" si="44"/>
        <v>62</v>
      </c>
      <c r="AE133" s="2">
        <v>25</v>
      </c>
      <c r="AF133" s="3">
        <v>24</v>
      </c>
      <c r="AG133" s="4">
        <f t="shared" si="45"/>
        <v>6.5</v>
      </c>
      <c r="AH133">
        <f t="shared" si="36"/>
        <v>6.5</v>
      </c>
      <c r="AI133" s="2">
        <v>36.5</v>
      </c>
      <c r="AJ133">
        <f t="shared" si="46"/>
        <v>50</v>
      </c>
      <c r="AK133" s="2">
        <v>15.5</v>
      </c>
      <c r="AL133" s="3">
        <v>10</v>
      </c>
      <c r="AM133" s="4">
        <v>17.5</v>
      </c>
      <c r="AN133" s="2">
        <v>6</v>
      </c>
      <c r="AO133" s="3">
        <v>12.5</v>
      </c>
      <c r="AP133" s="4">
        <v>22.5</v>
      </c>
      <c r="AQ133">
        <v>8</v>
      </c>
      <c r="AR133">
        <v>7</v>
      </c>
      <c r="AS133">
        <v>10</v>
      </c>
      <c r="AT133">
        <v>8</v>
      </c>
      <c r="AU133">
        <f t="shared" si="47"/>
        <v>4</v>
      </c>
      <c r="AV133" t="s">
        <v>230</v>
      </c>
      <c r="AW133" t="s">
        <v>322</v>
      </c>
      <c r="AX133" t="s">
        <v>232</v>
      </c>
      <c r="AY133" t="s">
        <v>240</v>
      </c>
      <c r="AZ133" t="s">
        <v>329</v>
      </c>
      <c r="BA133" t="s">
        <v>327</v>
      </c>
      <c r="BB133" t="s">
        <v>328</v>
      </c>
      <c r="BC133" t="s">
        <v>218</v>
      </c>
      <c r="BD133" t="s">
        <v>220</v>
      </c>
      <c r="BE133">
        <v>7.5</v>
      </c>
      <c r="BF133">
        <v>10</v>
      </c>
      <c r="BG133">
        <v>10</v>
      </c>
      <c r="BH133">
        <v>6.5</v>
      </c>
      <c r="BI133">
        <v>7</v>
      </c>
      <c r="BJ133" t="s">
        <v>222</v>
      </c>
      <c r="BK133">
        <v>5</v>
      </c>
      <c r="BL133">
        <v>8</v>
      </c>
      <c r="BM133">
        <v>7.5</v>
      </c>
      <c r="BN133">
        <v>5.5</v>
      </c>
      <c r="BO133">
        <v>6</v>
      </c>
    </row>
    <row r="134" spans="1:67" x14ac:dyDescent="0.25">
      <c r="A134">
        <v>11</v>
      </c>
      <c r="B134" t="s">
        <v>384</v>
      </c>
      <c r="C134" t="s">
        <v>387</v>
      </c>
      <c r="D134">
        <v>16165</v>
      </c>
      <c r="E134" t="s">
        <v>68</v>
      </c>
      <c r="F134" t="s">
        <v>12</v>
      </c>
      <c r="G134" s="2">
        <v>15</v>
      </c>
      <c r="H134" s="3">
        <v>13.5</v>
      </c>
      <c r="I134" s="4">
        <f t="shared" si="37"/>
        <v>4</v>
      </c>
      <c r="J134">
        <f t="shared" si="32"/>
        <v>4.5</v>
      </c>
      <c r="K134" s="2">
        <v>31</v>
      </c>
      <c r="L134">
        <f t="shared" si="38"/>
        <v>40</v>
      </c>
      <c r="M134" s="2" t="s">
        <v>32</v>
      </c>
      <c r="N134" s="3">
        <v>25.5</v>
      </c>
      <c r="O134" s="4">
        <f t="shared" si="39"/>
        <v>3.5</v>
      </c>
      <c r="P134">
        <f t="shared" si="33"/>
        <v>9</v>
      </c>
      <c r="Q134" s="2">
        <v>38</v>
      </c>
      <c r="R134">
        <f t="shared" si="40"/>
        <v>51</v>
      </c>
      <c r="S134" s="2" t="s">
        <v>32</v>
      </c>
      <c r="T134" s="3">
        <v>8.5</v>
      </c>
      <c r="U134" s="4">
        <f t="shared" si="41"/>
        <v>1.5</v>
      </c>
      <c r="V134">
        <f t="shared" si="34"/>
        <v>2</v>
      </c>
      <c r="W134" s="2">
        <v>29.5</v>
      </c>
      <c r="X134">
        <f t="shared" si="42"/>
        <v>33</v>
      </c>
      <c r="Y134" s="2" t="s">
        <v>15</v>
      </c>
      <c r="Z134" s="3">
        <v>23</v>
      </c>
      <c r="AA134" s="4">
        <f t="shared" si="43"/>
        <v>3</v>
      </c>
      <c r="AB134">
        <f t="shared" si="35"/>
        <v>6.5</v>
      </c>
      <c r="AC134" s="2">
        <v>37</v>
      </c>
      <c r="AD134">
        <f t="shared" si="44"/>
        <v>47</v>
      </c>
      <c r="AE134" s="2" t="s">
        <v>32</v>
      </c>
      <c r="AF134" s="3">
        <v>16.5</v>
      </c>
      <c r="AG134" s="4">
        <f t="shared" si="45"/>
        <v>2.5</v>
      </c>
      <c r="AH134">
        <f t="shared" si="36"/>
        <v>5</v>
      </c>
      <c r="AI134" s="2">
        <v>15.5</v>
      </c>
      <c r="AJ134">
        <f t="shared" si="46"/>
        <v>23</v>
      </c>
      <c r="AK134" s="2">
        <v>8.5</v>
      </c>
      <c r="AL134" s="3">
        <v>8</v>
      </c>
      <c r="AM134" s="4">
        <v>13</v>
      </c>
      <c r="AN134" s="2">
        <v>7</v>
      </c>
      <c r="AO134" s="3">
        <v>14</v>
      </c>
      <c r="AP134" s="4">
        <v>20</v>
      </c>
      <c r="AQ134">
        <v>8</v>
      </c>
      <c r="AR134">
        <v>6</v>
      </c>
      <c r="AS134">
        <v>10</v>
      </c>
      <c r="AT134">
        <v>3</v>
      </c>
      <c r="AU134">
        <f t="shared" si="47"/>
        <v>1.5</v>
      </c>
      <c r="AV134" t="s">
        <v>230</v>
      </c>
      <c r="AW134" t="s">
        <v>231</v>
      </c>
      <c r="AX134" t="s">
        <v>237</v>
      </c>
      <c r="AY134" t="s">
        <v>285</v>
      </c>
      <c r="AZ134" t="s">
        <v>329</v>
      </c>
      <c r="BA134" t="s">
        <v>327</v>
      </c>
      <c r="BB134" t="s">
        <v>328</v>
      </c>
      <c r="BC134" t="s">
        <v>218</v>
      </c>
      <c r="BD134" t="s">
        <v>220</v>
      </c>
      <c r="BE134">
        <v>4.5</v>
      </c>
      <c r="BF134">
        <v>10</v>
      </c>
      <c r="BG134">
        <v>7.5</v>
      </c>
      <c r="BH134">
        <v>4</v>
      </c>
      <c r="BI134">
        <v>1</v>
      </c>
      <c r="BJ134" t="s">
        <v>222</v>
      </c>
      <c r="BK134">
        <v>5</v>
      </c>
      <c r="BL134">
        <v>8</v>
      </c>
      <c r="BM134">
        <v>5</v>
      </c>
      <c r="BN134">
        <v>4.5</v>
      </c>
      <c r="BO134">
        <v>3</v>
      </c>
    </row>
    <row r="135" spans="1:67" x14ac:dyDescent="0.25">
      <c r="A135">
        <v>12</v>
      </c>
      <c r="B135" t="s">
        <v>384</v>
      </c>
      <c r="C135" t="s">
        <v>387</v>
      </c>
      <c r="D135">
        <v>16391</v>
      </c>
      <c r="E135" t="s">
        <v>73</v>
      </c>
      <c r="F135" t="s">
        <v>12</v>
      </c>
      <c r="G135" s="2">
        <v>28.5</v>
      </c>
      <c r="H135" s="3">
        <v>32</v>
      </c>
      <c r="I135" s="4">
        <f t="shared" si="37"/>
        <v>8</v>
      </c>
      <c r="J135">
        <f t="shared" si="32"/>
        <v>7</v>
      </c>
      <c r="K135" s="2">
        <v>52</v>
      </c>
      <c r="L135">
        <f t="shared" si="38"/>
        <v>67</v>
      </c>
      <c r="M135" s="2">
        <v>30</v>
      </c>
      <c r="N135" s="3">
        <v>32.5</v>
      </c>
      <c r="O135" s="4">
        <f t="shared" si="39"/>
        <v>8</v>
      </c>
      <c r="P135">
        <f t="shared" si="33"/>
        <v>9.5</v>
      </c>
      <c r="Q135" s="2">
        <v>59.5</v>
      </c>
      <c r="R135">
        <f t="shared" si="40"/>
        <v>77</v>
      </c>
      <c r="S135" s="2">
        <v>31</v>
      </c>
      <c r="T135" s="3">
        <v>20.5</v>
      </c>
      <c r="U135" s="4">
        <f t="shared" si="41"/>
        <v>6.5</v>
      </c>
      <c r="V135">
        <f t="shared" si="34"/>
        <v>3</v>
      </c>
      <c r="W135" s="2">
        <v>46</v>
      </c>
      <c r="X135">
        <f t="shared" si="42"/>
        <v>56</v>
      </c>
      <c r="Y135" s="2">
        <v>30.5</v>
      </c>
      <c r="Z135" s="3">
        <v>38.5</v>
      </c>
      <c r="AA135" s="4">
        <f t="shared" si="43"/>
        <v>9</v>
      </c>
      <c r="AB135">
        <f t="shared" si="35"/>
        <v>9</v>
      </c>
      <c r="AC135" s="2">
        <v>62.5</v>
      </c>
      <c r="AD135">
        <f t="shared" si="44"/>
        <v>81</v>
      </c>
      <c r="AE135" s="2">
        <v>29.5</v>
      </c>
      <c r="AF135" s="3">
        <v>36.5</v>
      </c>
      <c r="AG135" s="4">
        <f t="shared" si="45"/>
        <v>8.5</v>
      </c>
      <c r="AH135">
        <f t="shared" si="36"/>
        <v>7</v>
      </c>
      <c r="AI135" s="2">
        <v>60</v>
      </c>
      <c r="AJ135">
        <f t="shared" si="46"/>
        <v>76</v>
      </c>
      <c r="AK135" s="2">
        <v>15.5</v>
      </c>
      <c r="AL135" s="3">
        <v>16</v>
      </c>
      <c r="AM135" s="4">
        <v>13.5</v>
      </c>
      <c r="AN135" s="2">
        <v>5</v>
      </c>
      <c r="AO135" s="3">
        <v>17</v>
      </c>
      <c r="AP135" s="4">
        <v>24</v>
      </c>
      <c r="AQ135">
        <v>8</v>
      </c>
      <c r="AR135">
        <v>7.5</v>
      </c>
      <c r="AS135">
        <v>9</v>
      </c>
      <c r="AT135">
        <v>7</v>
      </c>
      <c r="AU135">
        <f t="shared" si="47"/>
        <v>3.5</v>
      </c>
      <c r="AV135" t="s">
        <v>230</v>
      </c>
      <c r="AW135" t="s">
        <v>322</v>
      </c>
      <c r="AX135" t="s">
        <v>232</v>
      </c>
      <c r="AY135" t="s">
        <v>242</v>
      </c>
      <c r="AZ135" t="s">
        <v>333</v>
      </c>
      <c r="BA135" t="s">
        <v>327</v>
      </c>
      <c r="BB135" t="s">
        <v>328</v>
      </c>
      <c r="BC135" t="s">
        <v>218</v>
      </c>
      <c r="BD135" t="s">
        <v>220</v>
      </c>
      <c r="BE135">
        <v>5.5</v>
      </c>
      <c r="BF135">
        <v>10</v>
      </c>
      <c r="BG135">
        <v>10</v>
      </c>
      <c r="BH135">
        <v>8.5</v>
      </c>
      <c r="BI135">
        <v>2</v>
      </c>
      <c r="BJ135" t="s">
        <v>222</v>
      </c>
      <c r="BK135">
        <v>8</v>
      </c>
      <c r="BL135">
        <v>8.5</v>
      </c>
      <c r="BM135">
        <v>8</v>
      </c>
      <c r="BN135">
        <v>5.5</v>
      </c>
      <c r="BO135">
        <v>4</v>
      </c>
    </row>
    <row r="136" spans="1:67" x14ac:dyDescent="0.25">
      <c r="A136">
        <v>13</v>
      </c>
      <c r="B136" t="s">
        <v>384</v>
      </c>
      <c r="C136" t="s">
        <v>387</v>
      </c>
      <c r="D136">
        <v>17380</v>
      </c>
      <c r="E136" t="s">
        <v>78</v>
      </c>
      <c r="F136" t="s">
        <v>12</v>
      </c>
      <c r="G136" s="2">
        <v>17</v>
      </c>
      <c r="H136" s="3">
        <v>12</v>
      </c>
      <c r="I136" s="4">
        <f t="shared" si="37"/>
        <v>4</v>
      </c>
      <c r="J136">
        <f t="shared" si="32"/>
        <v>4</v>
      </c>
      <c r="K136" s="2">
        <v>34</v>
      </c>
      <c r="L136">
        <f t="shared" si="38"/>
        <v>42</v>
      </c>
      <c r="M136" s="2">
        <v>25</v>
      </c>
      <c r="N136" s="3">
        <v>22</v>
      </c>
      <c r="O136" s="4">
        <f t="shared" si="39"/>
        <v>6</v>
      </c>
      <c r="P136">
        <f t="shared" si="33"/>
        <v>8.5</v>
      </c>
      <c r="Q136" s="2">
        <v>42</v>
      </c>
      <c r="R136">
        <f t="shared" si="40"/>
        <v>57</v>
      </c>
      <c r="S136" s="2">
        <v>15</v>
      </c>
      <c r="T136" s="3">
        <v>17</v>
      </c>
      <c r="U136" s="4">
        <f t="shared" si="41"/>
        <v>4</v>
      </c>
      <c r="V136">
        <f t="shared" si="34"/>
        <v>2.5</v>
      </c>
      <c r="W136" s="2">
        <v>38</v>
      </c>
      <c r="X136">
        <f t="shared" si="42"/>
        <v>45</v>
      </c>
      <c r="Y136" s="2">
        <v>9</v>
      </c>
      <c r="Z136" s="3">
        <v>31</v>
      </c>
      <c r="AA136" s="4">
        <f t="shared" si="43"/>
        <v>5</v>
      </c>
      <c r="AB136">
        <f t="shared" si="35"/>
        <v>7</v>
      </c>
      <c r="AC136" s="2">
        <v>33.5</v>
      </c>
      <c r="AD136">
        <f t="shared" si="44"/>
        <v>46</v>
      </c>
      <c r="AE136" s="2">
        <v>22</v>
      </c>
      <c r="AF136" s="3">
        <v>29</v>
      </c>
      <c r="AG136" s="4">
        <f t="shared" si="45"/>
        <v>6.5</v>
      </c>
      <c r="AH136">
        <f t="shared" si="36"/>
        <v>7</v>
      </c>
      <c r="AI136" s="2">
        <v>34.5</v>
      </c>
      <c r="AJ136">
        <f t="shared" si="46"/>
        <v>48</v>
      </c>
      <c r="AK136" s="2">
        <v>12</v>
      </c>
      <c r="AL136" s="3">
        <v>12</v>
      </c>
      <c r="AM136" s="4">
        <v>15</v>
      </c>
      <c r="AN136" s="2">
        <v>7</v>
      </c>
      <c r="AO136" s="3">
        <v>20</v>
      </c>
      <c r="AP136" s="4">
        <v>24.5</v>
      </c>
      <c r="AQ136">
        <v>7</v>
      </c>
      <c r="AR136">
        <v>8</v>
      </c>
      <c r="AS136">
        <v>9</v>
      </c>
      <c r="AT136">
        <v>11</v>
      </c>
      <c r="AU136">
        <f t="shared" si="47"/>
        <v>5.5</v>
      </c>
      <c r="AV136" t="s">
        <v>230</v>
      </c>
      <c r="AW136" t="s">
        <v>231</v>
      </c>
      <c r="AX136" t="s">
        <v>232</v>
      </c>
      <c r="AY136" t="s">
        <v>240</v>
      </c>
      <c r="AZ136" t="s">
        <v>319</v>
      </c>
      <c r="BA136" t="s">
        <v>327</v>
      </c>
      <c r="BB136" t="s">
        <v>328</v>
      </c>
      <c r="BC136" t="s">
        <v>218</v>
      </c>
      <c r="BD136" t="s">
        <v>220</v>
      </c>
      <c r="BE136">
        <v>6.5</v>
      </c>
      <c r="BF136">
        <v>10</v>
      </c>
      <c r="BG136">
        <v>8.5</v>
      </c>
      <c r="BH136">
        <v>3.5</v>
      </c>
      <c r="BI136">
        <v>1</v>
      </c>
      <c r="BJ136" t="s">
        <v>222</v>
      </c>
      <c r="BK136">
        <v>7</v>
      </c>
      <c r="BL136">
        <v>7</v>
      </c>
      <c r="BM136">
        <v>5.5</v>
      </c>
      <c r="BN136">
        <v>4</v>
      </c>
      <c r="BO136">
        <v>3.5</v>
      </c>
    </row>
    <row r="137" spans="1:67" x14ac:dyDescent="0.25">
      <c r="A137">
        <v>14</v>
      </c>
      <c r="B137" t="s">
        <v>384</v>
      </c>
      <c r="C137" t="s">
        <v>387</v>
      </c>
      <c r="D137">
        <v>16372</v>
      </c>
      <c r="E137" t="s">
        <v>83</v>
      </c>
      <c r="F137" t="s">
        <v>12</v>
      </c>
      <c r="G137" s="2">
        <v>26.5</v>
      </c>
      <c r="H137" s="3">
        <v>23.5</v>
      </c>
      <c r="I137" s="4">
        <f t="shared" si="37"/>
        <v>6.5</v>
      </c>
      <c r="J137">
        <f t="shared" si="32"/>
        <v>6.5</v>
      </c>
      <c r="K137" s="2">
        <v>50</v>
      </c>
      <c r="L137">
        <f t="shared" si="38"/>
        <v>63</v>
      </c>
      <c r="M137" s="2">
        <v>35.5</v>
      </c>
      <c r="N137" s="3">
        <v>35.5</v>
      </c>
      <c r="O137" s="4">
        <f t="shared" si="39"/>
        <v>9</v>
      </c>
      <c r="P137">
        <f t="shared" si="33"/>
        <v>10</v>
      </c>
      <c r="Q137" s="2">
        <v>73</v>
      </c>
      <c r="R137">
        <f t="shared" si="40"/>
        <v>92</v>
      </c>
      <c r="S137" s="2">
        <v>22.5</v>
      </c>
      <c r="T137" s="3">
        <v>13.5</v>
      </c>
      <c r="U137" s="4">
        <f t="shared" si="41"/>
        <v>4.5</v>
      </c>
      <c r="V137">
        <f t="shared" si="34"/>
        <v>5</v>
      </c>
      <c r="W137" s="2">
        <v>30.5</v>
      </c>
      <c r="X137">
        <f t="shared" si="42"/>
        <v>40</v>
      </c>
      <c r="Y137" s="2">
        <v>19.5</v>
      </c>
      <c r="Z137" s="3">
        <v>29.5</v>
      </c>
      <c r="AA137" s="4">
        <f t="shared" si="43"/>
        <v>6.5</v>
      </c>
      <c r="AB137">
        <f t="shared" si="35"/>
        <v>8</v>
      </c>
      <c r="AC137" s="2">
        <v>44</v>
      </c>
      <c r="AD137">
        <f t="shared" si="44"/>
        <v>59</v>
      </c>
      <c r="AE137" s="2">
        <v>7.5</v>
      </c>
      <c r="AF137" s="3">
        <v>28</v>
      </c>
      <c r="AG137" s="4">
        <f t="shared" si="45"/>
        <v>4.5</v>
      </c>
      <c r="AH137">
        <f t="shared" si="36"/>
        <v>5</v>
      </c>
      <c r="AI137" s="2">
        <v>32.5</v>
      </c>
      <c r="AJ137">
        <f t="shared" si="46"/>
        <v>42</v>
      </c>
      <c r="AK137" s="2">
        <v>18</v>
      </c>
      <c r="AL137" s="3">
        <v>14</v>
      </c>
      <c r="AM137" s="4">
        <v>18.5</v>
      </c>
      <c r="AN137" s="2">
        <v>6</v>
      </c>
      <c r="AO137" s="3">
        <v>18</v>
      </c>
      <c r="AP137" s="4">
        <v>27</v>
      </c>
      <c r="AQ137">
        <v>8</v>
      </c>
      <c r="AR137">
        <v>8</v>
      </c>
      <c r="AS137">
        <v>10</v>
      </c>
      <c r="AT137">
        <v>9</v>
      </c>
      <c r="AU137">
        <f t="shared" si="47"/>
        <v>4.5</v>
      </c>
      <c r="AV137" t="s">
        <v>230</v>
      </c>
      <c r="AW137" t="s">
        <v>231</v>
      </c>
      <c r="AX137" t="s">
        <v>232</v>
      </c>
      <c r="AY137" t="s">
        <v>253</v>
      </c>
      <c r="AZ137" t="s">
        <v>329</v>
      </c>
      <c r="BA137" t="s">
        <v>327</v>
      </c>
      <c r="BB137" t="s">
        <v>328</v>
      </c>
      <c r="BC137" t="s">
        <v>218</v>
      </c>
      <c r="BD137" t="s">
        <v>220</v>
      </c>
      <c r="BE137">
        <v>5</v>
      </c>
      <c r="BF137">
        <v>10</v>
      </c>
      <c r="BG137">
        <v>9</v>
      </c>
      <c r="BH137">
        <v>6</v>
      </c>
      <c r="BI137">
        <v>6</v>
      </c>
      <c r="BJ137" t="s">
        <v>222</v>
      </c>
      <c r="BK137">
        <v>5</v>
      </c>
      <c r="BL137">
        <v>9.5</v>
      </c>
      <c r="BM137">
        <v>6.5</v>
      </c>
      <c r="BN137">
        <v>6.5</v>
      </c>
      <c r="BO137">
        <v>3.5</v>
      </c>
    </row>
    <row r="138" spans="1:67" x14ac:dyDescent="0.25">
      <c r="A138">
        <v>15</v>
      </c>
      <c r="B138" t="s">
        <v>384</v>
      </c>
      <c r="C138" t="s">
        <v>387</v>
      </c>
      <c r="D138">
        <v>16270</v>
      </c>
      <c r="E138" t="s">
        <v>88</v>
      </c>
      <c r="F138" t="s">
        <v>12</v>
      </c>
      <c r="G138" s="2">
        <v>27.5</v>
      </c>
      <c r="H138" s="3" t="s">
        <v>14</v>
      </c>
      <c r="I138" s="4">
        <f t="shared" si="37"/>
        <v>3.5</v>
      </c>
      <c r="J138">
        <f t="shared" si="32"/>
        <v>7</v>
      </c>
      <c r="K138" s="2">
        <v>37.5</v>
      </c>
      <c r="L138">
        <f t="shared" si="38"/>
        <v>48</v>
      </c>
      <c r="M138" s="2">
        <v>23</v>
      </c>
      <c r="N138" s="3">
        <v>15</v>
      </c>
      <c r="O138" s="4">
        <f t="shared" si="39"/>
        <v>5</v>
      </c>
      <c r="P138">
        <f t="shared" si="33"/>
        <v>5.5</v>
      </c>
      <c r="Q138" s="2">
        <v>24.5</v>
      </c>
      <c r="R138">
        <f t="shared" si="40"/>
        <v>35</v>
      </c>
      <c r="S138" s="2">
        <v>12.5</v>
      </c>
      <c r="T138" s="3">
        <v>0</v>
      </c>
      <c r="U138" s="4">
        <f t="shared" si="41"/>
        <v>2</v>
      </c>
      <c r="V138">
        <f t="shared" si="34"/>
        <v>2.5</v>
      </c>
      <c r="W138" s="2">
        <v>14</v>
      </c>
      <c r="X138">
        <f t="shared" si="42"/>
        <v>19</v>
      </c>
      <c r="Y138" s="2">
        <v>15.5</v>
      </c>
      <c r="Z138" s="3">
        <v>26</v>
      </c>
      <c r="AA138" s="4">
        <f t="shared" si="43"/>
        <v>5.5</v>
      </c>
      <c r="AB138">
        <f t="shared" si="35"/>
        <v>9</v>
      </c>
      <c r="AC138" s="2">
        <v>41.5</v>
      </c>
      <c r="AD138">
        <f t="shared" si="44"/>
        <v>56</v>
      </c>
      <c r="AE138" s="2">
        <v>29</v>
      </c>
      <c r="AF138" s="3" t="s">
        <v>14</v>
      </c>
      <c r="AG138" s="4">
        <f t="shared" si="45"/>
        <v>4</v>
      </c>
      <c r="AH138">
        <f t="shared" si="36"/>
        <v>7.5</v>
      </c>
      <c r="AI138" s="2">
        <v>27</v>
      </c>
      <c r="AJ138">
        <f t="shared" si="46"/>
        <v>39</v>
      </c>
      <c r="AK138" s="2">
        <v>5</v>
      </c>
      <c r="AL138" s="3">
        <v>4.5</v>
      </c>
      <c r="AM138" s="4">
        <v>13.5</v>
      </c>
      <c r="AN138" s="2">
        <v>1.5</v>
      </c>
      <c r="AO138" s="3" t="s">
        <v>14</v>
      </c>
      <c r="AP138" s="4">
        <v>27</v>
      </c>
      <c r="AQ138">
        <v>8</v>
      </c>
      <c r="AR138">
        <v>7.5</v>
      </c>
      <c r="AS138">
        <v>5</v>
      </c>
      <c r="AT138">
        <v>12</v>
      </c>
      <c r="AU138">
        <f t="shared" si="47"/>
        <v>6</v>
      </c>
      <c r="AV138" t="s">
        <v>230</v>
      </c>
      <c r="AW138" t="s">
        <v>231</v>
      </c>
      <c r="AX138" t="s">
        <v>237</v>
      </c>
      <c r="AY138" t="s">
        <v>238</v>
      </c>
      <c r="AZ138" t="s">
        <v>329</v>
      </c>
      <c r="BA138" t="s">
        <v>327</v>
      </c>
      <c r="BB138" t="s">
        <v>328</v>
      </c>
      <c r="BC138" t="s">
        <v>218</v>
      </c>
      <c r="BD138" t="s">
        <v>220</v>
      </c>
      <c r="BE138">
        <v>9</v>
      </c>
      <c r="BF138">
        <v>7</v>
      </c>
      <c r="BG138">
        <v>10</v>
      </c>
      <c r="BH138">
        <v>8</v>
      </c>
      <c r="BI138">
        <v>1</v>
      </c>
      <c r="BJ138" t="s">
        <v>222</v>
      </c>
      <c r="BK138">
        <v>6</v>
      </c>
      <c r="BL138">
        <v>4</v>
      </c>
      <c r="BM138">
        <v>7.5</v>
      </c>
      <c r="BN138">
        <v>5.5</v>
      </c>
      <c r="BO138">
        <v>3.5</v>
      </c>
    </row>
    <row r="139" spans="1:67" x14ac:dyDescent="0.25">
      <c r="A139">
        <v>16</v>
      </c>
      <c r="B139" t="s">
        <v>384</v>
      </c>
      <c r="C139" t="s">
        <v>387</v>
      </c>
      <c r="D139">
        <v>16590</v>
      </c>
      <c r="E139" t="s">
        <v>93</v>
      </c>
      <c r="F139" t="s">
        <v>12</v>
      </c>
      <c r="G139" s="2">
        <v>3</v>
      </c>
      <c r="H139" s="3">
        <v>5.5</v>
      </c>
      <c r="I139" s="4">
        <f t="shared" si="37"/>
        <v>1.5</v>
      </c>
      <c r="J139">
        <f t="shared" si="32"/>
        <v>3.5</v>
      </c>
      <c r="K139" s="2">
        <v>10</v>
      </c>
      <c r="L139">
        <f t="shared" si="38"/>
        <v>15</v>
      </c>
      <c r="M139" s="2">
        <v>15</v>
      </c>
      <c r="N139" s="3">
        <v>21.5</v>
      </c>
      <c r="O139" s="4">
        <f t="shared" si="39"/>
        <v>5</v>
      </c>
      <c r="P139">
        <f t="shared" si="33"/>
        <v>6.5</v>
      </c>
      <c r="Q139" s="2">
        <v>16</v>
      </c>
      <c r="R139">
        <f t="shared" si="40"/>
        <v>28</v>
      </c>
      <c r="S139" s="2">
        <v>5.5</v>
      </c>
      <c r="T139" s="3">
        <v>1.5</v>
      </c>
      <c r="U139" s="4">
        <f t="shared" si="41"/>
        <v>1</v>
      </c>
      <c r="V139">
        <f t="shared" si="34"/>
        <v>2</v>
      </c>
      <c r="W139" s="2">
        <v>17</v>
      </c>
      <c r="X139">
        <f t="shared" si="42"/>
        <v>20</v>
      </c>
      <c r="Y139" s="2">
        <v>4</v>
      </c>
      <c r="Z139" s="3">
        <v>4.5</v>
      </c>
      <c r="AA139" s="4">
        <f t="shared" si="43"/>
        <v>1.5</v>
      </c>
      <c r="AB139">
        <f t="shared" si="35"/>
        <v>4</v>
      </c>
      <c r="AC139" s="2">
        <v>23.5</v>
      </c>
      <c r="AD139">
        <f t="shared" si="44"/>
        <v>29</v>
      </c>
      <c r="AE139" s="2">
        <v>5</v>
      </c>
      <c r="AF139" s="3">
        <v>8</v>
      </c>
      <c r="AG139" s="4">
        <f t="shared" si="45"/>
        <v>2</v>
      </c>
      <c r="AH139">
        <f t="shared" si="36"/>
        <v>1.5</v>
      </c>
      <c r="AI139" s="2">
        <v>4</v>
      </c>
      <c r="AJ139">
        <f t="shared" si="46"/>
        <v>8</v>
      </c>
      <c r="AK139" s="2">
        <v>6.5</v>
      </c>
      <c r="AL139" s="3">
        <v>3.5</v>
      </c>
      <c r="AM139" s="4">
        <v>9.5</v>
      </c>
      <c r="AN139" s="2">
        <v>7.5</v>
      </c>
      <c r="AO139" s="3">
        <v>10</v>
      </c>
      <c r="AP139" s="4">
        <v>20.5</v>
      </c>
      <c r="AQ139">
        <v>8</v>
      </c>
      <c r="AR139">
        <v>4</v>
      </c>
      <c r="AS139">
        <v>7</v>
      </c>
      <c r="AT139">
        <v>11</v>
      </c>
      <c r="AU139">
        <f t="shared" si="47"/>
        <v>5.5</v>
      </c>
      <c r="AV139" t="s">
        <v>230</v>
      </c>
      <c r="AW139" t="s">
        <v>231</v>
      </c>
      <c r="AX139" t="s">
        <v>237</v>
      </c>
      <c r="AY139" t="s">
        <v>251</v>
      </c>
      <c r="AZ139" t="s">
        <v>329</v>
      </c>
      <c r="BA139" t="s">
        <v>327</v>
      </c>
      <c r="BB139" t="s">
        <v>328</v>
      </c>
      <c r="BC139" t="s">
        <v>218</v>
      </c>
      <c r="BD139" t="s">
        <v>220</v>
      </c>
      <c r="BE139">
        <v>1.5</v>
      </c>
      <c r="BF139">
        <v>8</v>
      </c>
      <c r="BG139">
        <v>4.5</v>
      </c>
      <c r="BH139">
        <v>3</v>
      </c>
      <c r="BI139">
        <v>2</v>
      </c>
      <c r="BJ139" t="s">
        <v>222</v>
      </c>
      <c r="BK139">
        <v>1</v>
      </c>
      <c r="BL139">
        <v>5</v>
      </c>
      <c r="BM139">
        <v>3</v>
      </c>
      <c r="BN139">
        <v>4</v>
      </c>
      <c r="BO139">
        <v>2</v>
      </c>
    </row>
    <row r="140" spans="1:67" x14ac:dyDescent="0.25">
      <c r="A140">
        <v>17</v>
      </c>
      <c r="B140" t="s">
        <v>384</v>
      </c>
      <c r="C140" t="s">
        <v>387</v>
      </c>
      <c r="D140">
        <v>16242</v>
      </c>
      <c r="E140" t="s">
        <v>98</v>
      </c>
      <c r="F140" t="s">
        <v>12</v>
      </c>
      <c r="G140" s="2">
        <v>32</v>
      </c>
      <c r="H140" s="3">
        <v>28</v>
      </c>
      <c r="I140" s="4">
        <f t="shared" si="37"/>
        <v>7.5</v>
      </c>
      <c r="J140">
        <f t="shared" si="32"/>
        <v>9</v>
      </c>
      <c r="K140" s="2">
        <v>53.5</v>
      </c>
      <c r="L140">
        <f t="shared" si="38"/>
        <v>70</v>
      </c>
      <c r="M140" s="2">
        <v>35</v>
      </c>
      <c r="N140" s="3">
        <v>33.5</v>
      </c>
      <c r="O140" s="4">
        <f t="shared" si="39"/>
        <v>9</v>
      </c>
      <c r="P140">
        <f t="shared" si="33"/>
        <v>10</v>
      </c>
      <c r="Q140" s="2">
        <v>62</v>
      </c>
      <c r="R140">
        <f t="shared" si="40"/>
        <v>81</v>
      </c>
      <c r="S140" s="2">
        <v>25.5</v>
      </c>
      <c r="T140" s="3">
        <v>26.5</v>
      </c>
      <c r="U140" s="4">
        <f t="shared" si="41"/>
        <v>6.5</v>
      </c>
      <c r="V140">
        <f t="shared" si="34"/>
        <v>6</v>
      </c>
      <c r="W140" s="2">
        <v>46</v>
      </c>
      <c r="X140">
        <f t="shared" si="42"/>
        <v>59</v>
      </c>
      <c r="Y140" s="2">
        <v>33</v>
      </c>
      <c r="Z140" s="3">
        <v>39.5</v>
      </c>
      <c r="AA140" s="4">
        <f t="shared" si="43"/>
        <v>9.5</v>
      </c>
      <c r="AB140">
        <f t="shared" si="35"/>
        <v>9</v>
      </c>
      <c r="AC140" s="2">
        <v>65.5</v>
      </c>
      <c r="AD140">
        <f t="shared" si="44"/>
        <v>84</v>
      </c>
      <c r="AE140" s="2">
        <v>33</v>
      </c>
      <c r="AF140" s="3">
        <v>21</v>
      </c>
      <c r="AG140" s="4">
        <f t="shared" si="45"/>
        <v>7</v>
      </c>
      <c r="AH140">
        <f t="shared" si="36"/>
        <v>7.5</v>
      </c>
      <c r="AI140" s="2">
        <v>67.5</v>
      </c>
      <c r="AJ140">
        <f t="shared" si="46"/>
        <v>82</v>
      </c>
      <c r="AK140" s="2">
        <v>16.5</v>
      </c>
      <c r="AL140" s="3">
        <v>15</v>
      </c>
      <c r="AM140" s="4">
        <v>18.5</v>
      </c>
      <c r="AN140" s="2">
        <v>6</v>
      </c>
      <c r="AO140" s="3">
        <v>17</v>
      </c>
      <c r="AP140" s="4">
        <v>25.5</v>
      </c>
      <c r="AQ140">
        <v>8</v>
      </c>
      <c r="AR140">
        <v>8</v>
      </c>
      <c r="AS140">
        <v>8</v>
      </c>
      <c r="AT140">
        <v>13</v>
      </c>
      <c r="AU140">
        <f t="shared" si="47"/>
        <v>6.5</v>
      </c>
      <c r="AV140" t="s">
        <v>230</v>
      </c>
      <c r="AW140" t="s">
        <v>322</v>
      </c>
      <c r="AX140" t="s">
        <v>232</v>
      </c>
      <c r="AY140" t="s">
        <v>251</v>
      </c>
      <c r="AZ140" t="s">
        <v>319</v>
      </c>
      <c r="BA140" t="s">
        <v>327</v>
      </c>
      <c r="BB140" t="s">
        <v>328</v>
      </c>
      <c r="BC140" t="s">
        <v>218</v>
      </c>
      <c r="BD140" t="s">
        <v>220</v>
      </c>
      <c r="BE140">
        <v>7.5</v>
      </c>
      <c r="BF140">
        <v>10</v>
      </c>
      <c r="BG140">
        <v>10</v>
      </c>
      <c r="BH140">
        <v>9.5</v>
      </c>
      <c r="BI140">
        <v>4.5</v>
      </c>
      <c r="BJ140" t="s">
        <v>222</v>
      </c>
      <c r="BK140">
        <v>7</v>
      </c>
      <c r="BL140">
        <v>9.5</v>
      </c>
      <c r="BM140">
        <v>7.5</v>
      </c>
      <c r="BN140">
        <v>8</v>
      </c>
      <c r="BO140">
        <v>7</v>
      </c>
    </row>
    <row r="141" spans="1:67" x14ac:dyDescent="0.25">
      <c r="A141">
        <v>18</v>
      </c>
      <c r="B141" t="s">
        <v>384</v>
      </c>
      <c r="C141" t="s">
        <v>387</v>
      </c>
      <c r="D141">
        <v>16593</v>
      </c>
      <c r="E141" t="s">
        <v>103</v>
      </c>
      <c r="F141" t="s">
        <v>12</v>
      </c>
      <c r="G141" s="2">
        <v>19.5</v>
      </c>
      <c r="H141" s="3">
        <v>18</v>
      </c>
      <c r="I141" s="4">
        <f t="shared" si="37"/>
        <v>5</v>
      </c>
      <c r="J141">
        <f t="shared" si="32"/>
        <v>6.5</v>
      </c>
      <c r="K141" s="2">
        <v>50</v>
      </c>
      <c r="L141">
        <f t="shared" si="38"/>
        <v>62</v>
      </c>
      <c r="M141" s="2">
        <v>37</v>
      </c>
      <c r="N141" s="3">
        <v>31</v>
      </c>
      <c r="O141" s="4">
        <f t="shared" si="39"/>
        <v>8.5</v>
      </c>
      <c r="P141">
        <f t="shared" si="33"/>
        <v>10</v>
      </c>
      <c r="Q141" s="2">
        <v>72.5</v>
      </c>
      <c r="R141">
        <f t="shared" si="40"/>
        <v>91</v>
      </c>
      <c r="S141" s="2">
        <v>17.5</v>
      </c>
      <c r="T141" s="3">
        <v>6.5</v>
      </c>
      <c r="U141" s="4">
        <f t="shared" si="41"/>
        <v>3</v>
      </c>
      <c r="V141">
        <f t="shared" si="34"/>
        <v>5</v>
      </c>
      <c r="W141" s="2">
        <v>28</v>
      </c>
      <c r="X141">
        <f t="shared" si="42"/>
        <v>36</v>
      </c>
      <c r="Y141" s="2">
        <v>21.5</v>
      </c>
      <c r="Z141" s="3">
        <v>27</v>
      </c>
      <c r="AA141" s="4">
        <f t="shared" si="43"/>
        <v>6.5</v>
      </c>
      <c r="AB141">
        <f t="shared" si="35"/>
        <v>8</v>
      </c>
      <c r="AC141" s="2">
        <v>45.5</v>
      </c>
      <c r="AD141">
        <f t="shared" si="44"/>
        <v>60</v>
      </c>
      <c r="AE141" s="2">
        <v>23</v>
      </c>
      <c r="AF141" s="3">
        <v>23</v>
      </c>
      <c r="AG141" s="4">
        <f t="shared" si="45"/>
        <v>6</v>
      </c>
      <c r="AH141">
        <f t="shared" si="36"/>
        <v>6</v>
      </c>
      <c r="AI141" s="2">
        <v>45</v>
      </c>
      <c r="AJ141">
        <f t="shared" si="46"/>
        <v>57</v>
      </c>
      <c r="AK141" s="2">
        <v>16</v>
      </c>
      <c r="AL141" s="3">
        <v>21.5</v>
      </c>
      <c r="AM141" s="4">
        <v>19</v>
      </c>
      <c r="AN141" s="2">
        <v>8</v>
      </c>
      <c r="AO141" s="3">
        <v>17</v>
      </c>
      <c r="AP141" s="4">
        <v>32</v>
      </c>
      <c r="AQ141">
        <v>8</v>
      </c>
      <c r="AR141">
        <v>7</v>
      </c>
      <c r="AS141">
        <v>10</v>
      </c>
      <c r="AT141">
        <v>12</v>
      </c>
      <c r="AU141">
        <f t="shared" si="47"/>
        <v>6</v>
      </c>
      <c r="AV141" t="s">
        <v>230</v>
      </c>
      <c r="AW141" t="s">
        <v>322</v>
      </c>
      <c r="AX141" t="s">
        <v>232</v>
      </c>
      <c r="AY141" t="s">
        <v>251</v>
      </c>
      <c r="AZ141" t="s">
        <v>319</v>
      </c>
      <c r="BA141" t="s">
        <v>327</v>
      </c>
      <c r="BB141" t="s">
        <v>328</v>
      </c>
      <c r="BC141" t="s">
        <v>218</v>
      </c>
      <c r="BD141" t="s">
        <v>220</v>
      </c>
      <c r="BE141">
        <v>6.5</v>
      </c>
      <c r="BF141">
        <v>10</v>
      </c>
      <c r="BG141">
        <v>8.5</v>
      </c>
      <c r="BH141">
        <v>7.5</v>
      </c>
      <c r="BI141">
        <v>3.5</v>
      </c>
      <c r="BJ141" t="s">
        <v>222</v>
      </c>
      <c r="BK141">
        <v>5</v>
      </c>
      <c r="BL141">
        <v>10</v>
      </c>
      <c r="BM141">
        <v>7</v>
      </c>
      <c r="BN141">
        <v>5</v>
      </c>
      <c r="BO141">
        <v>6</v>
      </c>
    </row>
    <row r="142" spans="1:67" x14ac:dyDescent="0.25">
      <c r="A142">
        <v>19</v>
      </c>
      <c r="B142" t="s">
        <v>384</v>
      </c>
      <c r="C142" t="s">
        <v>387</v>
      </c>
      <c r="D142">
        <v>17242</v>
      </c>
      <c r="E142" t="s">
        <v>108</v>
      </c>
      <c r="F142" t="s">
        <v>12</v>
      </c>
      <c r="G142" s="2">
        <v>25.5</v>
      </c>
      <c r="H142" s="3">
        <v>30</v>
      </c>
      <c r="I142" s="4">
        <f t="shared" si="37"/>
        <v>7</v>
      </c>
      <c r="J142">
        <f t="shared" si="32"/>
        <v>9</v>
      </c>
      <c r="K142" s="2">
        <v>51</v>
      </c>
      <c r="L142">
        <f t="shared" si="38"/>
        <v>67</v>
      </c>
      <c r="M142" s="2" t="s">
        <v>32</v>
      </c>
      <c r="N142" s="3">
        <v>39.5</v>
      </c>
      <c r="O142" s="4">
        <f t="shared" si="39"/>
        <v>5</v>
      </c>
      <c r="P142">
        <f t="shared" si="33"/>
        <v>10</v>
      </c>
      <c r="Q142" s="2">
        <v>76.5</v>
      </c>
      <c r="R142">
        <f t="shared" si="40"/>
        <v>92</v>
      </c>
      <c r="S142" s="2">
        <v>24</v>
      </c>
      <c r="T142" s="3">
        <v>18.5</v>
      </c>
      <c r="U142" s="4">
        <f t="shared" si="41"/>
        <v>5.5</v>
      </c>
      <c r="V142">
        <f t="shared" si="34"/>
        <v>4</v>
      </c>
      <c r="W142" s="2">
        <v>38</v>
      </c>
      <c r="X142">
        <f t="shared" si="42"/>
        <v>48</v>
      </c>
      <c r="Y142" s="2">
        <v>25.5</v>
      </c>
      <c r="Z142" s="3">
        <v>27</v>
      </c>
      <c r="AA142" s="4">
        <f t="shared" si="43"/>
        <v>7</v>
      </c>
      <c r="AB142">
        <f t="shared" si="35"/>
        <v>8</v>
      </c>
      <c r="AC142" s="2">
        <v>51</v>
      </c>
      <c r="AD142">
        <f t="shared" si="44"/>
        <v>66</v>
      </c>
      <c r="AE142" s="2">
        <v>26</v>
      </c>
      <c r="AF142" s="3">
        <v>29</v>
      </c>
      <c r="AG142" s="4">
        <f t="shared" si="45"/>
        <v>7</v>
      </c>
      <c r="AH142">
        <f t="shared" si="36"/>
        <v>8</v>
      </c>
      <c r="AI142" s="2">
        <v>57</v>
      </c>
      <c r="AJ142">
        <f t="shared" si="46"/>
        <v>72</v>
      </c>
      <c r="AK142" s="2">
        <v>13</v>
      </c>
      <c r="AL142" s="3">
        <v>21</v>
      </c>
      <c r="AM142" s="4">
        <v>16</v>
      </c>
      <c r="AN142" s="2">
        <v>8</v>
      </c>
      <c r="AO142" s="3">
        <v>21</v>
      </c>
      <c r="AP142" s="4">
        <v>31</v>
      </c>
      <c r="AQ142">
        <v>8</v>
      </c>
      <c r="AR142">
        <v>9</v>
      </c>
      <c r="AS142">
        <v>10</v>
      </c>
      <c r="AT142">
        <v>18</v>
      </c>
      <c r="AU142">
        <f t="shared" si="47"/>
        <v>9</v>
      </c>
      <c r="AV142" t="s">
        <v>230</v>
      </c>
      <c r="AW142" t="s">
        <v>322</v>
      </c>
      <c r="AX142" t="s">
        <v>232</v>
      </c>
      <c r="AY142" t="s">
        <v>233</v>
      </c>
      <c r="AZ142" t="s">
        <v>319</v>
      </c>
      <c r="BA142" t="s">
        <v>327</v>
      </c>
      <c r="BB142" t="s">
        <v>328</v>
      </c>
      <c r="BC142" t="s">
        <v>218</v>
      </c>
      <c r="BD142" t="s">
        <v>220</v>
      </c>
      <c r="BE142">
        <v>7.5</v>
      </c>
      <c r="BF142">
        <v>10</v>
      </c>
      <c r="BG142">
        <v>10</v>
      </c>
      <c r="BH142">
        <v>9.5</v>
      </c>
      <c r="BI142">
        <v>2.5</v>
      </c>
      <c r="BJ142" t="s">
        <v>222</v>
      </c>
      <c r="BK142">
        <v>8</v>
      </c>
      <c r="BL142">
        <v>10</v>
      </c>
      <c r="BM142">
        <v>6</v>
      </c>
      <c r="BN142">
        <v>8</v>
      </c>
      <c r="BO142">
        <v>5.5</v>
      </c>
    </row>
    <row r="143" spans="1:67" x14ac:dyDescent="0.25">
      <c r="A143">
        <v>20</v>
      </c>
      <c r="B143" t="s">
        <v>384</v>
      </c>
      <c r="C143" t="s">
        <v>387</v>
      </c>
      <c r="D143">
        <v>17301</v>
      </c>
      <c r="E143" t="s">
        <v>113</v>
      </c>
      <c r="F143" t="s">
        <v>12</v>
      </c>
      <c r="G143" s="2">
        <v>20</v>
      </c>
      <c r="H143" s="3">
        <v>28</v>
      </c>
      <c r="I143" s="4">
        <f t="shared" si="37"/>
        <v>6</v>
      </c>
      <c r="J143">
        <f t="shared" si="32"/>
        <v>6.5</v>
      </c>
      <c r="K143" s="2">
        <v>46.5</v>
      </c>
      <c r="L143">
        <f t="shared" si="38"/>
        <v>59</v>
      </c>
      <c r="M143" s="2">
        <v>23</v>
      </c>
      <c r="N143" s="3">
        <v>29.5</v>
      </c>
      <c r="O143" s="4">
        <f t="shared" si="39"/>
        <v>7</v>
      </c>
      <c r="P143">
        <f t="shared" si="33"/>
        <v>8.5</v>
      </c>
      <c r="Q143" s="2">
        <v>57.5</v>
      </c>
      <c r="R143">
        <f t="shared" si="40"/>
        <v>73</v>
      </c>
      <c r="S143" s="2">
        <v>10.5</v>
      </c>
      <c r="T143" s="3">
        <v>5</v>
      </c>
      <c r="U143" s="4">
        <f t="shared" si="41"/>
        <v>2</v>
      </c>
      <c r="V143">
        <f t="shared" si="34"/>
        <v>3</v>
      </c>
      <c r="W143" s="2">
        <v>18.5</v>
      </c>
      <c r="X143">
        <f t="shared" si="42"/>
        <v>24</v>
      </c>
      <c r="Y143" s="2">
        <v>19</v>
      </c>
      <c r="Z143" s="3">
        <v>22.5</v>
      </c>
      <c r="AA143" s="4">
        <f t="shared" si="43"/>
        <v>5.5</v>
      </c>
      <c r="AB143">
        <f t="shared" si="35"/>
        <v>7.5</v>
      </c>
      <c r="AC143" s="2">
        <v>37</v>
      </c>
      <c r="AD143">
        <f t="shared" si="44"/>
        <v>50</v>
      </c>
      <c r="AE143" s="2">
        <v>13</v>
      </c>
      <c r="AF143" s="3">
        <v>21.5</v>
      </c>
      <c r="AG143" s="4">
        <f t="shared" si="45"/>
        <v>4.5</v>
      </c>
      <c r="AH143">
        <f t="shared" si="36"/>
        <v>3.5</v>
      </c>
      <c r="AI143" s="2">
        <v>27.5</v>
      </c>
      <c r="AJ143">
        <f t="shared" si="46"/>
        <v>36</v>
      </c>
      <c r="AK143" s="2">
        <v>2.5</v>
      </c>
      <c r="AL143" s="3">
        <v>3</v>
      </c>
      <c r="AM143" s="4">
        <v>2.5</v>
      </c>
      <c r="AN143" s="2">
        <v>1.5</v>
      </c>
      <c r="AO143" s="3">
        <v>13</v>
      </c>
      <c r="AP143" s="4">
        <v>27.5</v>
      </c>
      <c r="AQ143">
        <v>8</v>
      </c>
      <c r="AR143">
        <v>7.5</v>
      </c>
      <c r="AS143">
        <v>9</v>
      </c>
      <c r="AT143">
        <v>8</v>
      </c>
      <c r="AU143">
        <f t="shared" si="47"/>
        <v>4</v>
      </c>
      <c r="AV143" t="s">
        <v>230</v>
      </c>
      <c r="AW143" t="s">
        <v>231</v>
      </c>
      <c r="AX143" t="s">
        <v>237</v>
      </c>
      <c r="AY143" t="s">
        <v>251</v>
      </c>
      <c r="AZ143" t="s">
        <v>319</v>
      </c>
      <c r="BA143" t="s">
        <v>327</v>
      </c>
      <c r="BB143" t="s">
        <v>328</v>
      </c>
      <c r="BC143" t="s">
        <v>218</v>
      </c>
      <c r="BD143" t="s">
        <v>220</v>
      </c>
      <c r="BE143" t="s">
        <v>14</v>
      </c>
      <c r="BF143">
        <v>8</v>
      </c>
      <c r="BG143">
        <v>8</v>
      </c>
      <c r="BH143">
        <v>7.5</v>
      </c>
      <c r="BI143">
        <v>1</v>
      </c>
      <c r="BJ143" t="s">
        <v>222</v>
      </c>
      <c r="BK143">
        <v>7</v>
      </c>
      <c r="BL143">
        <v>8.5</v>
      </c>
      <c r="BM143">
        <v>6.5</v>
      </c>
      <c r="BN143">
        <v>5</v>
      </c>
      <c r="BO143">
        <v>4.5</v>
      </c>
    </row>
    <row r="144" spans="1:67" x14ac:dyDescent="0.25">
      <c r="A144">
        <v>21</v>
      </c>
      <c r="B144" t="s">
        <v>384</v>
      </c>
      <c r="C144" t="s">
        <v>387</v>
      </c>
      <c r="D144">
        <v>16171</v>
      </c>
      <c r="E144" t="s">
        <v>118</v>
      </c>
      <c r="F144" t="s">
        <v>12</v>
      </c>
      <c r="G144" s="2">
        <v>33</v>
      </c>
      <c r="H144" s="3">
        <v>30</v>
      </c>
      <c r="I144" s="4">
        <f t="shared" si="37"/>
        <v>8</v>
      </c>
      <c r="J144">
        <f t="shared" si="32"/>
        <v>8.5</v>
      </c>
      <c r="K144" s="2">
        <v>69</v>
      </c>
      <c r="L144">
        <f t="shared" si="38"/>
        <v>86</v>
      </c>
      <c r="M144" s="2">
        <v>36</v>
      </c>
      <c r="N144" s="3">
        <v>38.5</v>
      </c>
      <c r="O144" s="4">
        <f t="shared" si="39"/>
        <v>9.5</v>
      </c>
      <c r="P144">
        <f t="shared" si="33"/>
        <v>10</v>
      </c>
      <c r="Q144" s="2">
        <v>73</v>
      </c>
      <c r="R144">
        <f t="shared" si="40"/>
        <v>93</v>
      </c>
      <c r="S144" s="2">
        <v>34</v>
      </c>
      <c r="T144" s="3">
        <v>28.5</v>
      </c>
      <c r="U144" s="4">
        <f t="shared" si="41"/>
        <v>8</v>
      </c>
      <c r="V144">
        <f t="shared" si="34"/>
        <v>7.5</v>
      </c>
      <c r="W144" s="2">
        <v>57.5</v>
      </c>
      <c r="X144">
        <f t="shared" si="42"/>
        <v>73</v>
      </c>
      <c r="Y144" s="2">
        <v>30.5</v>
      </c>
      <c r="Z144" s="3">
        <v>34.5</v>
      </c>
      <c r="AA144" s="4">
        <f t="shared" si="43"/>
        <v>8.5</v>
      </c>
      <c r="AB144">
        <f t="shared" si="35"/>
        <v>9</v>
      </c>
      <c r="AC144" s="2">
        <v>67.5</v>
      </c>
      <c r="AD144">
        <f t="shared" si="44"/>
        <v>85</v>
      </c>
      <c r="AE144" s="2">
        <v>33.5</v>
      </c>
      <c r="AF144" s="3">
        <v>34</v>
      </c>
      <c r="AG144" s="4">
        <f t="shared" si="45"/>
        <v>8.5</v>
      </c>
      <c r="AH144">
        <f t="shared" si="36"/>
        <v>9</v>
      </c>
      <c r="AI144" s="2">
        <v>58.5</v>
      </c>
      <c r="AJ144">
        <f t="shared" si="46"/>
        <v>76</v>
      </c>
      <c r="AK144" s="2">
        <v>18.5</v>
      </c>
      <c r="AL144" s="3">
        <v>22.5</v>
      </c>
      <c r="AM144" s="4">
        <v>20.5</v>
      </c>
      <c r="AN144" s="2">
        <v>7</v>
      </c>
      <c r="AO144" s="3">
        <v>22.5</v>
      </c>
      <c r="AP144" s="4">
        <v>34</v>
      </c>
      <c r="AQ144">
        <v>9</v>
      </c>
      <c r="AR144">
        <v>9</v>
      </c>
      <c r="AS144">
        <v>9</v>
      </c>
      <c r="AT144">
        <v>14.5</v>
      </c>
      <c r="AU144">
        <f t="shared" si="47"/>
        <v>7.5</v>
      </c>
      <c r="AV144" t="s">
        <v>230</v>
      </c>
      <c r="AW144" t="s">
        <v>322</v>
      </c>
      <c r="AX144" t="s">
        <v>232</v>
      </c>
      <c r="AY144" t="s">
        <v>240</v>
      </c>
      <c r="AZ144" t="s">
        <v>334</v>
      </c>
      <c r="BA144" t="s">
        <v>327</v>
      </c>
      <c r="BB144" t="s">
        <v>328</v>
      </c>
      <c r="BC144" t="s">
        <v>218</v>
      </c>
      <c r="BD144" t="s">
        <v>220</v>
      </c>
      <c r="BE144">
        <v>8</v>
      </c>
      <c r="BF144">
        <v>10</v>
      </c>
      <c r="BG144">
        <v>9.5</v>
      </c>
      <c r="BH144">
        <v>9</v>
      </c>
      <c r="BI144">
        <v>7</v>
      </c>
      <c r="BJ144" t="s">
        <v>222</v>
      </c>
      <c r="BK144">
        <v>10</v>
      </c>
      <c r="BL144">
        <v>9.5</v>
      </c>
      <c r="BM144">
        <v>8.5</v>
      </c>
      <c r="BN144">
        <v>7.5</v>
      </c>
      <c r="BO144">
        <v>7.5</v>
      </c>
    </row>
    <row r="145" spans="1:67" x14ac:dyDescent="0.25">
      <c r="A145">
        <v>22</v>
      </c>
      <c r="B145" t="s">
        <v>384</v>
      </c>
      <c r="C145" t="s">
        <v>387</v>
      </c>
      <c r="D145">
        <v>16436</v>
      </c>
      <c r="E145" t="s">
        <v>123</v>
      </c>
      <c r="F145" t="s">
        <v>12</v>
      </c>
      <c r="G145" s="2">
        <v>30.5</v>
      </c>
      <c r="H145" s="3">
        <v>22.5</v>
      </c>
      <c r="I145" s="4">
        <f t="shared" si="37"/>
        <v>7</v>
      </c>
      <c r="J145">
        <f t="shared" si="32"/>
        <v>5.5</v>
      </c>
      <c r="K145" s="2">
        <v>36.5</v>
      </c>
      <c r="L145">
        <f t="shared" si="38"/>
        <v>49</v>
      </c>
      <c r="M145" s="2">
        <v>37.5</v>
      </c>
      <c r="N145" s="3">
        <v>29</v>
      </c>
      <c r="O145" s="4">
        <f t="shared" si="39"/>
        <v>8.5</v>
      </c>
      <c r="P145">
        <f t="shared" si="33"/>
        <v>9.5</v>
      </c>
      <c r="Q145" s="2">
        <v>51.5</v>
      </c>
      <c r="R145">
        <f t="shared" si="40"/>
        <v>70</v>
      </c>
      <c r="S145" s="2">
        <v>13.5</v>
      </c>
      <c r="T145" s="3">
        <v>21.5</v>
      </c>
      <c r="U145" s="4">
        <f t="shared" si="41"/>
        <v>4.5</v>
      </c>
      <c r="V145">
        <f t="shared" si="34"/>
        <v>4.5</v>
      </c>
      <c r="W145" s="2">
        <v>28</v>
      </c>
      <c r="X145">
        <f t="shared" si="42"/>
        <v>37</v>
      </c>
      <c r="Y145" s="2">
        <v>31.5</v>
      </c>
      <c r="Z145" s="3">
        <v>36.5</v>
      </c>
      <c r="AA145" s="4">
        <f t="shared" si="43"/>
        <v>8.5</v>
      </c>
      <c r="AB145">
        <f t="shared" si="35"/>
        <v>8.5</v>
      </c>
      <c r="AC145" s="2">
        <v>49.5</v>
      </c>
      <c r="AD145">
        <f t="shared" si="44"/>
        <v>67</v>
      </c>
      <c r="AE145" s="2">
        <v>29</v>
      </c>
      <c r="AF145" s="3">
        <v>30.5</v>
      </c>
      <c r="AG145" s="4">
        <f t="shared" si="45"/>
        <v>7.5</v>
      </c>
      <c r="AH145">
        <f t="shared" si="36"/>
        <v>8</v>
      </c>
      <c r="AI145" s="2">
        <v>44.5</v>
      </c>
      <c r="AJ145">
        <f t="shared" si="46"/>
        <v>60</v>
      </c>
      <c r="AK145" s="2">
        <v>20</v>
      </c>
      <c r="AL145" s="3">
        <v>22.5</v>
      </c>
      <c r="AM145" s="4">
        <v>17</v>
      </c>
      <c r="AN145" s="2">
        <v>6</v>
      </c>
      <c r="AO145" s="3">
        <v>18</v>
      </c>
      <c r="AP145" s="4">
        <v>24</v>
      </c>
      <c r="AQ145">
        <v>8</v>
      </c>
      <c r="AR145">
        <v>9.5</v>
      </c>
      <c r="AS145">
        <v>10</v>
      </c>
      <c r="AT145">
        <v>11</v>
      </c>
      <c r="AU145">
        <f t="shared" si="47"/>
        <v>5.5</v>
      </c>
      <c r="AV145" t="s">
        <v>230</v>
      </c>
      <c r="AW145" t="s">
        <v>322</v>
      </c>
      <c r="AX145" t="s">
        <v>232</v>
      </c>
      <c r="AY145" t="s">
        <v>335</v>
      </c>
      <c r="AZ145" t="s">
        <v>329</v>
      </c>
      <c r="BA145" t="s">
        <v>327</v>
      </c>
      <c r="BB145" t="s">
        <v>328</v>
      </c>
      <c r="BC145" t="s">
        <v>218</v>
      </c>
      <c r="BD145" t="s">
        <v>220</v>
      </c>
      <c r="BE145">
        <v>8.5</v>
      </c>
      <c r="BF145">
        <v>10</v>
      </c>
      <c r="BG145">
        <v>9.5</v>
      </c>
      <c r="BH145">
        <v>6</v>
      </c>
      <c r="BI145">
        <v>4</v>
      </c>
      <c r="BJ145" t="s">
        <v>222</v>
      </c>
      <c r="BK145">
        <v>7</v>
      </c>
      <c r="BL145">
        <v>8.5</v>
      </c>
      <c r="BM145">
        <v>7.5</v>
      </c>
      <c r="BN145">
        <v>4.5</v>
      </c>
      <c r="BO145">
        <v>5</v>
      </c>
    </row>
    <row r="146" spans="1:67" x14ac:dyDescent="0.25">
      <c r="A146">
        <v>23</v>
      </c>
      <c r="B146" t="s">
        <v>384</v>
      </c>
      <c r="C146" t="s">
        <v>387</v>
      </c>
      <c r="D146">
        <v>16355</v>
      </c>
      <c r="E146" t="s">
        <v>128</v>
      </c>
      <c r="F146" t="s">
        <v>12</v>
      </c>
      <c r="G146" s="2">
        <v>19</v>
      </c>
      <c r="H146" s="3">
        <v>22</v>
      </c>
      <c r="I146" s="4">
        <f t="shared" si="37"/>
        <v>5.5</v>
      </c>
      <c r="J146">
        <f t="shared" si="32"/>
        <v>6</v>
      </c>
      <c r="K146" s="2">
        <v>44.5</v>
      </c>
      <c r="L146">
        <f t="shared" si="38"/>
        <v>56</v>
      </c>
      <c r="M146" s="2">
        <v>26.5</v>
      </c>
      <c r="N146" s="3">
        <v>33</v>
      </c>
      <c r="O146" s="4">
        <f t="shared" si="39"/>
        <v>7.5</v>
      </c>
      <c r="P146">
        <f t="shared" si="33"/>
        <v>9.5</v>
      </c>
      <c r="Q146" s="2">
        <v>49</v>
      </c>
      <c r="R146">
        <f t="shared" si="40"/>
        <v>66</v>
      </c>
      <c r="S146" s="2">
        <v>13.5</v>
      </c>
      <c r="T146" s="3">
        <v>9.5</v>
      </c>
      <c r="U146" s="4">
        <f t="shared" si="41"/>
        <v>3</v>
      </c>
      <c r="V146">
        <f t="shared" si="34"/>
        <v>3</v>
      </c>
      <c r="W146" s="2">
        <v>21.5</v>
      </c>
      <c r="X146">
        <f t="shared" si="42"/>
        <v>28</v>
      </c>
      <c r="Y146" s="2">
        <v>20.5</v>
      </c>
      <c r="Z146" s="3">
        <v>29</v>
      </c>
      <c r="AA146" s="4">
        <f t="shared" si="43"/>
        <v>6.5</v>
      </c>
      <c r="AB146">
        <f t="shared" si="35"/>
        <v>6</v>
      </c>
      <c r="AC146" s="2">
        <v>43</v>
      </c>
      <c r="AD146">
        <f t="shared" si="44"/>
        <v>56</v>
      </c>
      <c r="AE146" s="2">
        <v>25</v>
      </c>
      <c r="AF146" s="3">
        <v>28.5</v>
      </c>
      <c r="AG146" s="4">
        <f t="shared" si="45"/>
        <v>7</v>
      </c>
      <c r="AH146">
        <f t="shared" si="36"/>
        <v>8</v>
      </c>
      <c r="AI146" s="2">
        <v>43</v>
      </c>
      <c r="AJ146">
        <f t="shared" si="46"/>
        <v>58</v>
      </c>
      <c r="AK146" s="2">
        <v>8.5</v>
      </c>
      <c r="AL146" s="3">
        <v>2</v>
      </c>
      <c r="AM146" s="4">
        <v>9</v>
      </c>
      <c r="AN146" s="2">
        <v>6</v>
      </c>
      <c r="AO146" s="3">
        <v>11</v>
      </c>
      <c r="AP146" s="4">
        <v>21.5</v>
      </c>
      <c r="AQ146">
        <v>8</v>
      </c>
      <c r="AR146">
        <v>8</v>
      </c>
      <c r="AS146">
        <v>9</v>
      </c>
      <c r="AT146">
        <v>8.5</v>
      </c>
      <c r="AU146">
        <f t="shared" si="47"/>
        <v>4.5</v>
      </c>
      <c r="AV146" t="s">
        <v>230</v>
      </c>
      <c r="AW146" t="s">
        <v>231</v>
      </c>
      <c r="AX146" t="s">
        <v>237</v>
      </c>
      <c r="AY146" t="s">
        <v>336</v>
      </c>
      <c r="AZ146" t="s">
        <v>337</v>
      </c>
      <c r="BA146" t="s">
        <v>327</v>
      </c>
      <c r="BB146" t="s">
        <v>328</v>
      </c>
      <c r="BC146" t="s">
        <v>218</v>
      </c>
      <c r="BD146" t="s">
        <v>220</v>
      </c>
      <c r="BE146">
        <v>6.5</v>
      </c>
      <c r="BF146">
        <v>10</v>
      </c>
      <c r="BG146">
        <v>6</v>
      </c>
      <c r="BH146">
        <v>6</v>
      </c>
      <c r="BI146">
        <v>2.5</v>
      </c>
      <c r="BJ146" t="s">
        <v>222</v>
      </c>
      <c r="BK146">
        <v>9.5</v>
      </c>
      <c r="BL146">
        <v>8.5</v>
      </c>
      <c r="BM146">
        <v>5.5</v>
      </c>
      <c r="BN146">
        <v>5.5</v>
      </c>
      <c r="BO146">
        <v>3</v>
      </c>
    </row>
    <row r="147" spans="1:67" x14ac:dyDescent="0.25">
      <c r="A147">
        <v>24</v>
      </c>
      <c r="B147" t="s">
        <v>384</v>
      </c>
      <c r="C147" t="s">
        <v>387</v>
      </c>
      <c r="D147">
        <v>16412</v>
      </c>
      <c r="E147" t="s">
        <v>133</v>
      </c>
      <c r="F147" t="s">
        <v>12</v>
      </c>
      <c r="G147" s="2">
        <v>18</v>
      </c>
      <c r="H147" s="3">
        <v>15</v>
      </c>
      <c r="I147" s="4">
        <f t="shared" si="37"/>
        <v>4.5</v>
      </c>
      <c r="J147">
        <f t="shared" si="32"/>
        <v>5</v>
      </c>
      <c r="K147" s="2">
        <v>41.5</v>
      </c>
      <c r="L147">
        <f t="shared" si="38"/>
        <v>51</v>
      </c>
      <c r="M147" s="2">
        <v>28</v>
      </c>
      <c r="N147" s="3">
        <v>31.5</v>
      </c>
      <c r="O147" s="4">
        <f t="shared" si="39"/>
        <v>7.5</v>
      </c>
      <c r="P147">
        <f t="shared" si="33"/>
        <v>9.5</v>
      </c>
      <c r="Q147" s="2">
        <v>45</v>
      </c>
      <c r="R147">
        <f t="shared" si="40"/>
        <v>62</v>
      </c>
      <c r="S147" s="2">
        <v>22</v>
      </c>
      <c r="T147" s="3">
        <v>16.5</v>
      </c>
      <c r="U147" s="4">
        <f t="shared" si="41"/>
        <v>5</v>
      </c>
      <c r="V147">
        <f t="shared" si="34"/>
        <v>5</v>
      </c>
      <c r="W147" s="2">
        <v>30.5</v>
      </c>
      <c r="X147">
        <f t="shared" si="42"/>
        <v>41</v>
      </c>
      <c r="Y147" s="2">
        <v>18.5</v>
      </c>
      <c r="Z147" s="3">
        <v>23.5</v>
      </c>
      <c r="AA147" s="4">
        <f t="shared" si="43"/>
        <v>5.5</v>
      </c>
      <c r="AB147">
        <f t="shared" si="35"/>
        <v>8</v>
      </c>
      <c r="AC147" s="2">
        <v>41.5</v>
      </c>
      <c r="AD147">
        <f t="shared" si="44"/>
        <v>55</v>
      </c>
      <c r="AE147" s="2">
        <v>15</v>
      </c>
      <c r="AF147" s="3">
        <v>22</v>
      </c>
      <c r="AG147" s="4">
        <f t="shared" si="45"/>
        <v>5</v>
      </c>
      <c r="AH147">
        <f t="shared" si="36"/>
        <v>8</v>
      </c>
      <c r="AI147" s="2">
        <v>27</v>
      </c>
      <c r="AJ147">
        <f t="shared" si="46"/>
        <v>40</v>
      </c>
      <c r="AK147" s="2">
        <v>14.5</v>
      </c>
      <c r="AL147" s="3">
        <v>11.5</v>
      </c>
      <c r="AM147" s="4">
        <v>16.5</v>
      </c>
      <c r="AN147" s="2">
        <v>8</v>
      </c>
      <c r="AO147" s="3">
        <v>18</v>
      </c>
      <c r="AP147" s="4">
        <v>29</v>
      </c>
      <c r="AQ147">
        <v>8</v>
      </c>
      <c r="AR147">
        <v>8.5</v>
      </c>
      <c r="AS147">
        <v>10</v>
      </c>
      <c r="AT147">
        <v>10.5</v>
      </c>
      <c r="AU147">
        <f t="shared" si="47"/>
        <v>5.5</v>
      </c>
      <c r="AV147" t="s">
        <v>230</v>
      </c>
      <c r="AW147" t="s">
        <v>231</v>
      </c>
      <c r="AX147" t="s">
        <v>232</v>
      </c>
      <c r="AY147" t="s">
        <v>242</v>
      </c>
      <c r="AZ147" t="s">
        <v>329</v>
      </c>
      <c r="BA147" t="s">
        <v>327</v>
      </c>
      <c r="BB147" t="s">
        <v>328</v>
      </c>
      <c r="BC147" t="s">
        <v>218</v>
      </c>
      <c r="BD147" t="s">
        <v>220</v>
      </c>
      <c r="BE147">
        <v>9.5</v>
      </c>
      <c r="BF147">
        <v>10</v>
      </c>
      <c r="BG147">
        <v>9.5</v>
      </c>
      <c r="BH147">
        <v>6</v>
      </c>
      <c r="BI147">
        <v>4</v>
      </c>
      <c r="BJ147" t="s">
        <v>222</v>
      </c>
      <c r="BK147">
        <v>6</v>
      </c>
      <c r="BL147">
        <v>9</v>
      </c>
      <c r="BM147">
        <v>6.5</v>
      </c>
      <c r="BN147">
        <v>4</v>
      </c>
      <c r="BO147">
        <v>5.5</v>
      </c>
    </row>
    <row r="148" spans="1:67" x14ac:dyDescent="0.25">
      <c r="A148">
        <v>25</v>
      </c>
      <c r="B148" t="s">
        <v>384</v>
      </c>
      <c r="C148" t="s">
        <v>387</v>
      </c>
      <c r="D148">
        <v>16413</v>
      </c>
      <c r="E148" t="s">
        <v>138</v>
      </c>
      <c r="F148" t="s">
        <v>12</v>
      </c>
      <c r="G148" s="2">
        <v>11</v>
      </c>
      <c r="H148" s="3">
        <v>9</v>
      </c>
      <c r="I148" s="4">
        <f t="shared" si="37"/>
        <v>2.5</v>
      </c>
      <c r="J148">
        <f t="shared" si="32"/>
        <v>5.5</v>
      </c>
      <c r="K148" s="2">
        <v>35</v>
      </c>
      <c r="L148">
        <f t="shared" si="38"/>
        <v>43</v>
      </c>
      <c r="M148" s="2">
        <v>23</v>
      </c>
      <c r="N148" s="3">
        <v>22.5</v>
      </c>
      <c r="O148" s="4">
        <f t="shared" si="39"/>
        <v>6</v>
      </c>
      <c r="P148">
        <f t="shared" si="33"/>
        <v>9.5</v>
      </c>
      <c r="Q148" s="2">
        <v>38.5</v>
      </c>
      <c r="R148">
        <f t="shared" si="40"/>
        <v>54</v>
      </c>
      <c r="S148" s="2">
        <v>21</v>
      </c>
      <c r="T148" s="3">
        <v>15</v>
      </c>
      <c r="U148" s="4">
        <f t="shared" si="41"/>
        <v>4.5</v>
      </c>
      <c r="V148">
        <f t="shared" si="34"/>
        <v>3</v>
      </c>
      <c r="W148" s="2">
        <v>43</v>
      </c>
      <c r="X148">
        <f t="shared" si="42"/>
        <v>51</v>
      </c>
      <c r="Y148" s="2">
        <v>11</v>
      </c>
      <c r="Z148" s="3">
        <v>14.5</v>
      </c>
      <c r="AA148" s="4">
        <f t="shared" si="43"/>
        <v>3.5</v>
      </c>
      <c r="AB148">
        <f t="shared" si="35"/>
        <v>5.5</v>
      </c>
      <c r="AC148" s="2">
        <v>24.5</v>
      </c>
      <c r="AD148">
        <f t="shared" si="44"/>
        <v>34</v>
      </c>
      <c r="AE148" s="2">
        <v>10.5</v>
      </c>
      <c r="AF148" s="3">
        <v>22.5</v>
      </c>
      <c r="AG148" s="4">
        <f t="shared" si="45"/>
        <v>4.5</v>
      </c>
      <c r="AH148">
        <f t="shared" si="36"/>
        <v>6.5</v>
      </c>
      <c r="AI148" s="2">
        <v>20</v>
      </c>
      <c r="AJ148">
        <f t="shared" si="46"/>
        <v>31</v>
      </c>
      <c r="AK148" s="2">
        <v>8.5</v>
      </c>
      <c r="AL148" s="3">
        <v>9</v>
      </c>
      <c r="AM148" s="4">
        <v>18</v>
      </c>
      <c r="AN148" s="2">
        <v>6</v>
      </c>
      <c r="AO148" s="3">
        <v>12</v>
      </c>
      <c r="AP148" s="4">
        <v>23.5</v>
      </c>
      <c r="AQ148">
        <v>8</v>
      </c>
      <c r="AR148">
        <v>8</v>
      </c>
      <c r="AS148">
        <v>10</v>
      </c>
      <c r="AT148">
        <v>9.5</v>
      </c>
      <c r="AU148">
        <f t="shared" si="47"/>
        <v>5</v>
      </c>
      <c r="AV148" t="s">
        <v>230</v>
      </c>
      <c r="AW148" t="s">
        <v>322</v>
      </c>
      <c r="AX148" t="s">
        <v>232</v>
      </c>
      <c r="AY148" t="s">
        <v>242</v>
      </c>
      <c r="AZ148" t="s">
        <v>323</v>
      </c>
      <c r="BA148" t="s">
        <v>327</v>
      </c>
      <c r="BB148" t="s">
        <v>328</v>
      </c>
      <c r="BC148" t="s">
        <v>218</v>
      </c>
      <c r="BD148" t="s">
        <v>220</v>
      </c>
      <c r="BE148">
        <v>7.5</v>
      </c>
      <c r="BF148">
        <v>10</v>
      </c>
      <c r="BG148">
        <v>6.5</v>
      </c>
      <c r="BH148">
        <v>6.5</v>
      </c>
      <c r="BI148">
        <v>2.5</v>
      </c>
      <c r="BJ148" t="s">
        <v>222</v>
      </c>
      <c r="BK148">
        <v>5.5</v>
      </c>
      <c r="BL148">
        <v>8.5</v>
      </c>
      <c r="BM148">
        <v>4.5</v>
      </c>
      <c r="BN148">
        <v>4.5</v>
      </c>
      <c r="BO148">
        <v>3.5</v>
      </c>
    </row>
    <row r="149" spans="1:67" x14ac:dyDescent="0.25">
      <c r="A149">
        <v>26</v>
      </c>
      <c r="B149" t="s">
        <v>384</v>
      </c>
      <c r="C149" t="s">
        <v>387</v>
      </c>
      <c r="D149">
        <v>16182</v>
      </c>
      <c r="E149" t="s">
        <v>143</v>
      </c>
      <c r="F149" t="s">
        <v>12</v>
      </c>
      <c r="G149" s="2">
        <v>14.5</v>
      </c>
      <c r="H149" s="3">
        <v>13</v>
      </c>
      <c r="I149" s="4">
        <f t="shared" si="37"/>
        <v>3.5</v>
      </c>
      <c r="J149">
        <f t="shared" si="32"/>
        <v>5</v>
      </c>
      <c r="K149" s="2">
        <v>31.5</v>
      </c>
      <c r="L149">
        <f t="shared" si="38"/>
        <v>40</v>
      </c>
      <c r="M149" s="2">
        <v>26</v>
      </c>
      <c r="N149" s="3">
        <v>25</v>
      </c>
      <c r="O149" s="4">
        <f t="shared" si="39"/>
        <v>6.5</v>
      </c>
      <c r="P149">
        <f t="shared" si="33"/>
        <v>8.5</v>
      </c>
      <c r="Q149" s="2">
        <v>43.5</v>
      </c>
      <c r="R149">
        <f t="shared" si="40"/>
        <v>59</v>
      </c>
      <c r="S149" s="2">
        <v>8.5</v>
      </c>
      <c r="T149" s="3">
        <v>13.5</v>
      </c>
      <c r="U149" s="4">
        <f t="shared" si="41"/>
        <v>3</v>
      </c>
      <c r="V149">
        <f t="shared" si="34"/>
        <v>2.5</v>
      </c>
      <c r="W149" s="2">
        <v>26.5</v>
      </c>
      <c r="X149">
        <f t="shared" si="42"/>
        <v>32</v>
      </c>
      <c r="Y149" s="2">
        <v>12.5</v>
      </c>
      <c r="Z149" s="3">
        <v>29</v>
      </c>
      <c r="AA149" s="4">
        <f t="shared" si="43"/>
        <v>5.5</v>
      </c>
      <c r="AB149">
        <f t="shared" si="35"/>
        <v>7</v>
      </c>
      <c r="AC149" s="2">
        <v>38</v>
      </c>
      <c r="AD149">
        <f t="shared" si="44"/>
        <v>51</v>
      </c>
      <c r="AE149" s="2">
        <v>17</v>
      </c>
      <c r="AF149" s="3">
        <v>21</v>
      </c>
      <c r="AG149" s="4">
        <f t="shared" si="45"/>
        <v>5</v>
      </c>
      <c r="AH149">
        <f t="shared" si="36"/>
        <v>8</v>
      </c>
      <c r="AI149" s="2">
        <v>33.5</v>
      </c>
      <c r="AJ149">
        <f t="shared" si="46"/>
        <v>47</v>
      </c>
      <c r="AK149" s="2">
        <v>14</v>
      </c>
      <c r="AL149" s="3">
        <v>7.5</v>
      </c>
      <c r="AM149" s="4">
        <v>12</v>
      </c>
      <c r="AN149" s="2">
        <v>6</v>
      </c>
      <c r="AO149" s="3">
        <v>13</v>
      </c>
      <c r="AP149" s="4">
        <v>19</v>
      </c>
      <c r="AQ149">
        <v>8</v>
      </c>
      <c r="AR149">
        <v>7</v>
      </c>
      <c r="AS149">
        <v>9</v>
      </c>
      <c r="AT149">
        <v>13</v>
      </c>
      <c r="AU149">
        <f t="shared" si="47"/>
        <v>6.5</v>
      </c>
      <c r="AV149" t="s">
        <v>230</v>
      </c>
      <c r="AW149" t="s">
        <v>231</v>
      </c>
      <c r="AX149" t="s">
        <v>237</v>
      </c>
      <c r="AY149" t="s">
        <v>244</v>
      </c>
      <c r="AZ149" t="s">
        <v>338</v>
      </c>
      <c r="BA149" t="s">
        <v>327</v>
      </c>
      <c r="BB149" t="s">
        <v>328</v>
      </c>
      <c r="BC149" t="s">
        <v>218</v>
      </c>
      <c r="BD149" t="s">
        <v>220</v>
      </c>
      <c r="BE149">
        <v>7.5</v>
      </c>
      <c r="BF149">
        <v>10</v>
      </c>
      <c r="BG149">
        <v>8</v>
      </c>
      <c r="BH149">
        <v>5.5</v>
      </c>
      <c r="BI149">
        <v>1</v>
      </c>
      <c r="BJ149" t="s">
        <v>222</v>
      </c>
      <c r="BK149">
        <v>8</v>
      </c>
      <c r="BL149">
        <v>6.5</v>
      </c>
      <c r="BM149">
        <v>5.5</v>
      </c>
      <c r="BN149">
        <v>4</v>
      </c>
      <c r="BO149">
        <v>3.5</v>
      </c>
    </row>
    <row r="150" spans="1:67" x14ac:dyDescent="0.25">
      <c r="A150">
        <v>27</v>
      </c>
      <c r="B150" t="s">
        <v>384</v>
      </c>
      <c r="C150" t="s">
        <v>387</v>
      </c>
      <c r="D150">
        <v>16190</v>
      </c>
      <c r="E150" t="s">
        <v>148</v>
      </c>
      <c r="F150" t="s">
        <v>12</v>
      </c>
      <c r="G150" s="2">
        <v>20</v>
      </c>
      <c r="H150" s="3">
        <v>16</v>
      </c>
      <c r="I150" s="4">
        <f t="shared" si="37"/>
        <v>4.5</v>
      </c>
      <c r="J150">
        <f t="shared" si="32"/>
        <v>6</v>
      </c>
      <c r="K150" s="2">
        <v>38.5</v>
      </c>
      <c r="L150">
        <f t="shared" si="38"/>
        <v>49</v>
      </c>
      <c r="M150" s="2">
        <v>33</v>
      </c>
      <c r="N150" s="3">
        <v>33.5</v>
      </c>
      <c r="O150" s="4">
        <f t="shared" si="39"/>
        <v>8.5</v>
      </c>
      <c r="P150">
        <f t="shared" si="33"/>
        <v>10</v>
      </c>
      <c r="Q150" s="2">
        <v>65</v>
      </c>
      <c r="R150">
        <f t="shared" si="40"/>
        <v>84</v>
      </c>
      <c r="S150" s="2">
        <v>16.5</v>
      </c>
      <c r="T150" s="3">
        <v>16.5</v>
      </c>
      <c r="U150" s="4">
        <f t="shared" si="41"/>
        <v>4.5</v>
      </c>
      <c r="V150">
        <f t="shared" si="34"/>
        <v>4.5</v>
      </c>
      <c r="W150" s="2">
        <v>39.5</v>
      </c>
      <c r="X150">
        <f t="shared" si="42"/>
        <v>49</v>
      </c>
      <c r="Y150" s="2">
        <v>22.5</v>
      </c>
      <c r="Z150" s="3">
        <v>29.5</v>
      </c>
      <c r="AA150" s="4">
        <f t="shared" si="43"/>
        <v>6.5</v>
      </c>
      <c r="AB150">
        <f t="shared" si="35"/>
        <v>7.5</v>
      </c>
      <c r="AC150" s="2">
        <v>38.5</v>
      </c>
      <c r="AD150">
        <f t="shared" si="44"/>
        <v>53</v>
      </c>
      <c r="AE150" s="2">
        <v>19</v>
      </c>
      <c r="AF150" s="3">
        <v>27.5</v>
      </c>
      <c r="AG150" s="4">
        <f t="shared" si="45"/>
        <v>6</v>
      </c>
      <c r="AH150">
        <f t="shared" si="36"/>
        <v>6</v>
      </c>
      <c r="AI150" s="2">
        <v>34.5</v>
      </c>
      <c r="AJ150">
        <f t="shared" si="46"/>
        <v>47</v>
      </c>
      <c r="AK150" s="2">
        <v>10.5</v>
      </c>
      <c r="AL150" s="3">
        <v>11</v>
      </c>
      <c r="AM150" s="4">
        <v>12.5</v>
      </c>
      <c r="AN150" s="2">
        <v>6</v>
      </c>
      <c r="AO150" s="3">
        <v>15</v>
      </c>
      <c r="AP150" s="4">
        <v>28.5</v>
      </c>
      <c r="AQ150">
        <v>8</v>
      </c>
      <c r="AR150">
        <v>9</v>
      </c>
      <c r="AS150">
        <v>10</v>
      </c>
      <c r="AT150">
        <v>10.5</v>
      </c>
      <c r="AU150">
        <f t="shared" si="47"/>
        <v>5.5</v>
      </c>
      <c r="AV150" t="s">
        <v>230</v>
      </c>
      <c r="AW150" t="s">
        <v>322</v>
      </c>
      <c r="AX150" t="s">
        <v>232</v>
      </c>
      <c r="AY150" t="s">
        <v>240</v>
      </c>
      <c r="AZ150" t="s">
        <v>339</v>
      </c>
      <c r="BA150" t="s">
        <v>327</v>
      </c>
      <c r="BB150" t="s">
        <v>328</v>
      </c>
      <c r="BC150" t="s">
        <v>218</v>
      </c>
      <c r="BD150" t="s">
        <v>220</v>
      </c>
      <c r="BE150">
        <v>5.5</v>
      </c>
      <c r="BF150">
        <v>10</v>
      </c>
      <c r="BG150">
        <v>9</v>
      </c>
      <c r="BH150">
        <v>6.5</v>
      </c>
      <c r="BI150">
        <v>3</v>
      </c>
      <c r="BJ150" t="s">
        <v>222</v>
      </c>
      <c r="BK150">
        <v>6</v>
      </c>
      <c r="BL150">
        <v>9.5</v>
      </c>
      <c r="BM150">
        <v>6</v>
      </c>
      <c r="BN150">
        <v>5</v>
      </c>
      <c r="BO150">
        <v>6</v>
      </c>
    </row>
    <row r="151" spans="1:67" x14ac:dyDescent="0.25">
      <c r="A151">
        <v>28</v>
      </c>
      <c r="B151" t="s">
        <v>384</v>
      </c>
      <c r="C151" t="s">
        <v>387</v>
      </c>
      <c r="D151">
        <v>16179</v>
      </c>
      <c r="E151" t="s">
        <v>153</v>
      </c>
      <c r="F151" t="s">
        <v>12</v>
      </c>
      <c r="G151" s="2">
        <v>28</v>
      </c>
      <c r="H151" s="3">
        <v>31.5</v>
      </c>
      <c r="I151" s="4">
        <f t="shared" si="37"/>
        <v>7.5</v>
      </c>
      <c r="J151">
        <f t="shared" si="32"/>
        <v>8.5</v>
      </c>
      <c r="K151" s="2">
        <v>63</v>
      </c>
      <c r="L151">
        <f t="shared" si="38"/>
        <v>79</v>
      </c>
      <c r="M151" s="2">
        <v>37.5</v>
      </c>
      <c r="N151" s="3">
        <v>38</v>
      </c>
      <c r="O151" s="4">
        <f t="shared" si="39"/>
        <v>9.5</v>
      </c>
      <c r="P151">
        <f t="shared" si="33"/>
        <v>10</v>
      </c>
      <c r="Q151" s="2">
        <v>75.5</v>
      </c>
      <c r="R151">
        <f t="shared" si="40"/>
        <v>95</v>
      </c>
      <c r="S151" s="2">
        <v>31.5</v>
      </c>
      <c r="T151" s="3">
        <v>28.5</v>
      </c>
      <c r="U151" s="4">
        <f t="shared" si="41"/>
        <v>7.5</v>
      </c>
      <c r="V151">
        <f t="shared" si="34"/>
        <v>7</v>
      </c>
      <c r="W151" s="2">
        <v>62.5</v>
      </c>
      <c r="X151">
        <f t="shared" si="42"/>
        <v>77</v>
      </c>
      <c r="Y151" s="2">
        <v>34.5</v>
      </c>
      <c r="Z151" s="3">
        <v>39.5</v>
      </c>
      <c r="AA151" s="4">
        <f t="shared" si="43"/>
        <v>9.5</v>
      </c>
      <c r="AB151">
        <f t="shared" si="35"/>
        <v>8.5</v>
      </c>
      <c r="AC151" s="2">
        <v>69</v>
      </c>
      <c r="AD151">
        <f t="shared" si="44"/>
        <v>87</v>
      </c>
      <c r="AE151" s="2">
        <v>39</v>
      </c>
      <c r="AF151" s="3">
        <v>35</v>
      </c>
      <c r="AG151" s="4">
        <f t="shared" si="45"/>
        <v>9.5</v>
      </c>
      <c r="AH151">
        <f t="shared" si="36"/>
        <v>9</v>
      </c>
      <c r="AI151" s="2">
        <v>76</v>
      </c>
      <c r="AJ151">
        <f t="shared" si="46"/>
        <v>95</v>
      </c>
      <c r="AK151" s="2">
        <v>20</v>
      </c>
      <c r="AL151" s="3" t="s">
        <v>15</v>
      </c>
      <c r="AM151" s="4">
        <v>20</v>
      </c>
      <c r="AN151" s="2">
        <v>6</v>
      </c>
      <c r="AO151" s="3">
        <v>22</v>
      </c>
      <c r="AP151" s="4">
        <v>34</v>
      </c>
      <c r="AQ151">
        <v>9</v>
      </c>
      <c r="AR151">
        <v>8</v>
      </c>
      <c r="AS151">
        <v>10</v>
      </c>
      <c r="AT151">
        <v>12</v>
      </c>
      <c r="AU151">
        <f t="shared" si="47"/>
        <v>6</v>
      </c>
      <c r="AV151" t="s">
        <v>230</v>
      </c>
      <c r="AW151" t="s">
        <v>322</v>
      </c>
      <c r="AX151" t="s">
        <v>232</v>
      </c>
      <c r="AY151" t="s">
        <v>244</v>
      </c>
      <c r="AZ151" t="s">
        <v>340</v>
      </c>
      <c r="BA151" t="s">
        <v>327</v>
      </c>
      <c r="BB151" t="s">
        <v>328</v>
      </c>
      <c r="BC151" t="s">
        <v>218</v>
      </c>
      <c r="BD151" t="s">
        <v>220</v>
      </c>
      <c r="BE151">
        <v>9.5</v>
      </c>
      <c r="BF151">
        <v>10</v>
      </c>
      <c r="BG151">
        <v>9.5</v>
      </c>
      <c r="BH151">
        <v>8</v>
      </c>
      <c r="BI151">
        <v>6</v>
      </c>
      <c r="BJ151" t="s">
        <v>222</v>
      </c>
      <c r="BK151">
        <v>8</v>
      </c>
      <c r="BL151">
        <v>9.5</v>
      </c>
      <c r="BM151">
        <v>7.5</v>
      </c>
      <c r="BN151">
        <v>8.5</v>
      </c>
      <c r="BO151">
        <v>8</v>
      </c>
    </row>
    <row r="152" spans="1:67" x14ac:dyDescent="0.25">
      <c r="A152">
        <v>29</v>
      </c>
      <c r="B152" t="s">
        <v>384</v>
      </c>
      <c r="C152" t="s">
        <v>387</v>
      </c>
      <c r="D152">
        <v>17948</v>
      </c>
      <c r="E152" t="s">
        <v>158</v>
      </c>
      <c r="F152" t="s">
        <v>12</v>
      </c>
      <c r="G152" s="2" t="s">
        <v>14</v>
      </c>
      <c r="H152" s="3">
        <v>30</v>
      </c>
      <c r="I152" s="4">
        <f t="shared" si="37"/>
        <v>4</v>
      </c>
      <c r="J152">
        <f t="shared" si="32"/>
        <v>8</v>
      </c>
      <c r="K152" s="2">
        <v>61</v>
      </c>
      <c r="L152">
        <f t="shared" si="38"/>
        <v>73</v>
      </c>
      <c r="M152" s="2" t="s">
        <v>32</v>
      </c>
      <c r="N152" s="3">
        <v>28</v>
      </c>
      <c r="O152" s="4">
        <f t="shared" si="39"/>
        <v>3.5</v>
      </c>
      <c r="P152">
        <f t="shared" si="33"/>
        <v>10</v>
      </c>
      <c r="Q152" s="2">
        <v>66</v>
      </c>
      <c r="R152">
        <f t="shared" si="40"/>
        <v>80</v>
      </c>
      <c r="S152" s="2" t="s">
        <v>32</v>
      </c>
      <c r="T152" s="3">
        <v>18</v>
      </c>
      <c r="U152" s="4">
        <f t="shared" si="41"/>
        <v>2.5</v>
      </c>
      <c r="V152">
        <f t="shared" si="34"/>
        <v>7</v>
      </c>
      <c r="W152" s="2">
        <v>69.5</v>
      </c>
      <c r="X152">
        <f t="shared" si="42"/>
        <v>79</v>
      </c>
      <c r="Y152" s="2" t="s">
        <v>15</v>
      </c>
      <c r="Z152" s="3">
        <v>38.5</v>
      </c>
      <c r="AA152" s="4">
        <f t="shared" si="43"/>
        <v>5</v>
      </c>
      <c r="AB152">
        <f t="shared" si="35"/>
        <v>8.5</v>
      </c>
      <c r="AC152" s="2">
        <v>70</v>
      </c>
      <c r="AD152">
        <f t="shared" si="44"/>
        <v>84</v>
      </c>
      <c r="AE152" s="2" t="s">
        <v>32</v>
      </c>
      <c r="AF152" s="3">
        <v>32</v>
      </c>
      <c r="AG152" s="4">
        <f t="shared" si="45"/>
        <v>4</v>
      </c>
      <c r="AH152">
        <f t="shared" si="36"/>
        <v>9</v>
      </c>
      <c r="AI152" s="2">
        <v>66.5</v>
      </c>
      <c r="AJ152">
        <f t="shared" si="46"/>
        <v>80</v>
      </c>
      <c r="AK152" s="2" t="s">
        <v>15</v>
      </c>
      <c r="AL152" s="3">
        <v>24</v>
      </c>
      <c r="AM152" s="4">
        <v>29</v>
      </c>
      <c r="AN152" s="2">
        <v>10</v>
      </c>
      <c r="AO152" s="3">
        <v>19</v>
      </c>
      <c r="AP152" s="4">
        <v>32.5</v>
      </c>
      <c r="AQ152">
        <v>8</v>
      </c>
      <c r="AR152">
        <v>8.5</v>
      </c>
      <c r="AS152">
        <v>10</v>
      </c>
      <c r="AT152">
        <v>14</v>
      </c>
      <c r="AU152">
        <f t="shared" si="47"/>
        <v>7</v>
      </c>
      <c r="AV152" t="s">
        <v>230</v>
      </c>
      <c r="AW152" t="s">
        <v>322</v>
      </c>
      <c r="AX152" t="s">
        <v>232</v>
      </c>
      <c r="AY152" t="s">
        <v>341</v>
      </c>
      <c r="AZ152" t="s">
        <v>319</v>
      </c>
      <c r="BA152" t="s">
        <v>327</v>
      </c>
      <c r="BB152" t="s">
        <v>328</v>
      </c>
      <c r="BC152" t="s">
        <v>218</v>
      </c>
      <c r="BD152" t="s">
        <v>220</v>
      </c>
      <c r="BE152">
        <v>10</v>
      </c>
      <c r="BF152">
        <v>10</v>
      </c>
      <c r="BG152">
        <v>10</v>
      </c>
      <c r="BH152">
        <v>8</v>
      </c>
      <c r="BI152">
        <v>6</v>
      </c>
      <c r="BJ152" t="s">
        <v>222</v>
      </c>
      <c r="BK152">
        <v>8</v>
      </c>
      <c r="BL152">
        <v>9.5</v>
      </c>
      <c r="BM152">
        <v>7</v>
      </c>
      <c r="BN152">
        <v>8</v>
      </c>
      <c r="BO152">
        <v>7.5</v>
      </c>
    </row>
    <row r="153" spans="1:67" x14ac:dyDescent="0.25">
      <c r="A153">
        <v>30</v>
      </c>
      <c r="B153" t="s">
        <v>384</v>
      </c>
      <c r="C153" t="s">
        <v>387</v>
      </c>
      <c r="D153">
        <v>16210</v>
      </c>
      <c r="E153" t="s">
        <v>163</v>
      </c>
      <c r="F153" t="s">
        <v>12</v>
      </c>
      <c r="G153" s="2">
        <v>21</v>
      </c>
      <c r="H153" s="3">
        <v>20.5</v>
      </c>
      <c r="I153" s="4">
        <f t="shared" si="37"/>
        <v>5.5</v>
      </c>
      <c r="J153">
        <f t="shared" si="32"/>
        <v>6</v>
      </c>
      <c r="K153" s="2">
        <v>44</v>
      </c>
      <c r="L153">
        <f t="shared" si="38"/>
        <v>56</v>
      </c>
      <c r="M153" s="2">
        <v>24</v>
      </c>
      <c r="N153" s="3">
        <v>15.5</v>
      </c>
      <c r="O153" s="4">
        <f t="shared" si="39"/>
        <v>5</v>
      </c>
      <c r="P153">
        <f t="shared" si="33"/>
        <v>7</v>
      </c>
      <c r="Q153" s="2">
        <v>33.5</v>
      </c>
      <c r="R153">
        <f t="shared" si="40"/>
        <v>46</v>
      </c>
      <c r="S153" s="2">
        <v>22</v>
      </c>
      <c r="T153" s="3">
        <v>13.5</v>
      </c>
      <c r="U153" s="4">
        <f t="shared" si="41"/>
        <v>4.5</v>
      </c>
      <c r="V153">
        <f t="shared" si="34"/>
        <v>4.5</v>
      </c>
      <c r="W153" s="2">
        <v>29.5</v>
      </c>
      <c r="X153">
        <f t="shared" si="42"/>
        <v>39</v>
      </c>
      <c r="Y153" s="2">
        <v>12.5</v>
      </c>
      <c r="Z153" s="3">
        <v>22.5</v>
      </c>
      <c r="AA153" s="4">
        <f t="shared" si="43"/>
        <v>4.5</v>
      </c>
      <c r="AB153">
        <f t="shared" si="35"/>
        <v>7.5</v>
      </c>
      <c r="AC153" s="2">
        <v>31</v>
      </c>
      <c r="AD153">
        <f t="shared" si="44"/>
        <v>43</v>
      </c>
      <c r="AE153" s="2">
        <v>18.5</v>
      </c>
      <c r="AF153" s="3">
        <v>20</v>
      </c>
      <c r="AG153" s="4">
        <f t="shared" si="45"/>
        <v>5</v>
      </c>
      <c r="AH153">
        <f t="shared" si="36"/>
        <v>7.5</v>
      </c>
      <c r="AI153" s="2">
        <v>36</v>
      </c>
      <c r="AJ153">
        <f t="shared" si="46"/>
        <v>49</v>
      </c>
      <c r="AK153" s="2">
        <v>8.5</v>
      </c>
      <c r="AL153" s="3">
        <v>9</v>
      </c>
      <c r="AM153" s="4">
        <v>13.5</v>
      </c>
      <c r="AN153" s="2">
        <v>5.5</v>
      </c>
      <c r="AO153" s="3">
        <v>13</v>
      </c>
      <c r="AP153" s="4">
        <v>24.5</v>
      </c>
      <c r="AQ153">
        <v>8</v>
      </c>
      <c r="AR153">
        <v>7</v>
      </c>
      <c r="AS153">
        <v>5</v>
      </c>
      <c r="AT153">
        <v>7.5</v>
      </c>
      <c r="AU153">
        <f t="shared" si="47"/>
        <v>4</v>
      </c>
      <c r="AV153" t="s">
        <v>230</v>
      </c>
      <c r="AW153" t="s">
        <v>322</v>
      </c>
      <c r="AX153" t="s">
        <v>232</v>
      </c>
      <c r="AY153" t="s">
        <v>279</v>
      </c>
      <c r="AZ153" t="s">
        <v>338</v>
      </c>
      <c r="BA153" t="s">
        <v>327</v>
      </c>
      <c r="BB153" t="s">
        <v>328</v>
      </c>
      <c r="BC153" t="s">
        <v>218</v>
      </c>
      <c r="BD153" t="s">
        <v>220</v>
      </c>
      <c r="BE153">
        <v>7.5</v>
      </c>
      <c r="BF153">
        <v>7</v>
      </c>
      <c r="BG153">
        <v>9.5</v>
      </c>
      <c r="BH153">
        <v>5.5</v>
      </c>
      <c r="BI153">
        <v>3</v>
      </c>
      <c r="BJ153" t="s">
        <v>222</v>
      </c>
      <c r="BK153">
        <v>7</v>
      </c>
      <c r="BL153">
        <v>6.5</v>
      </c>
      <c r="BM153">
        <v>5.5</v>
      </c>
      <c r="BN153">
        <v>6.5</v>
      </c>
      <c r="BO153">
        <v>5.5</v>
      </c>
    </row>
    <row r="154" spans="1:67" x14ac:dyDescent="0.25">
      <c r="A154">
        <v>31</v>
      </c>
      <c r="B154" t="s">
        <v>384</v>
      </c>
      <c r="C154" t="s">
        <v>387</v>
      </c>
      <c r="D154">
        <v>18721</v>
      </c>
      <c r="E154" t="s">
        <v>168</v>
      </c>
      <c r="F154" t="s">
        <v>12</v>
      </c>
      <c r="G154" s="2">
        <v>31.5</v>
      </c>
      <c r="H154" s="3">
        <v>32.5</v>
      </c>
      <c r="I154" s="4">
        <f t="shared" si="37"/>
        <v>8</v>
      </c>
      <c r="J154">
        <f t="shared" si="32"/>
        <v>9.5</v>
      </c>
      <c r="K154" s="2">
        <v>63.5</v>
      </c>
      <c r="L154">
        <f t="shared" si="38"/>
        <v>81</v>
      </c>
      <c r="M154" s="2">
        <v>37</v>
      </c>
      <c r="N154" s="3">
        <v>36</v>
      </c>
      <c r="O154" s="4">
        <f t="shared" si="39"/>
        <v>9.5</v>
      </c>
      <c r="P154">
        <f t="shared" si="33"/>
        <v>8.5</v>
      </c>
      <c r="Q154" s="2">
        <v>69</v>
      </c>
      <c r="R154">
        <f t="shared" si="40"/>
        <v>87</v>
      </c>
      <c r="S154" s="2">
        <v>28.5</v>
      </c>
      <c r="T154" s="3">
        <v>22</v>
      </c>
      <c r="U154" s="4">
        <f t="shared" si="41"/>
        <v>6.5</v>
      </c>
      <c r="V154">
        <f t="shared" si="34"/>
        <v>5.5</v>
      </c>
      <c r="W154" s="2">
        <v>58</v>
      </c>
      <c r="X154">
        <f t="shared" si="42"/>
        <v>70</v>
      </c>
      <c r="Y154" s="2">
        <v>32</v>
      </c>
      <c r="Z154" s="3">
        <v>33.5</v>
      </c>
      <c r="AA154" s="4">
        <f t="shared" si="43"/>
        <v>8.5</v>
      </c>
      <c r="AB154">
        <f t="shared" si="35"/>
        <v>8</v>
      </c>
      <c r="AC154" s="2">
        <v>64</v>
      </c>
      <c r="AD154">
        <f t="shared" si="44"/>
        <v>81</v>
      </c>
      <c r="AE154" s="2">
        <v>31.5</v>
      </c>
      <c r="AF154" s="3">
        <v>31.5</v>
      </c>
      <c r="AG154" s="4">
        <f t="shared" si="45"/>
        <v>8</v>
      </c>
      <c r="AH154">
        <f t="shared" si="36"/>
        <v>8.5</v>
      </c>
      <c r="AI154" s="2">
        <v>66</v>
      </c>
      <c r="AJ154">
        <f t="shared" si="46"/>
        <v>83</v>
      </c>
      <c r="AK154" s="2">
        <v>12.5</v>
      </c>
      <c r="AL154" s="3">
        <v>22.5</v>
      </c>
      <c r="AM154" s="4">
        <v>23</v>
      </c>
      <c r="AN154" s="2">
        <v>5</v>
      </c>
      <c r="AO154" s="3">
        <v>20</v>
      </c>
      <c r="AP154" s="4">
        <v>20.5</v>
      </c>
      <c r="AQ154">
        <v>8</v>
      </c>
      <c r="AR154">
        <v>8.5</v>
      </c>
      <c r="AS154">
        <v>10</v>
      </c>
      <c r="AT154">
        <v>18</v>
      </c>
      <c r="AU154">
        <f t="shared" si="47"/>
        <v>9</v>
      </c>
      <c r="AV154" t="s">
        <v>230</v>
      </c>
      <c r="AW154" t="s">
        <v>231</v>
      </c>
      <c r="AX154" t="s">
        <v>232</v>
      </c>
      <c r="AY154" t="s">
        <v>242</v>
      </c>
      <c r="AZ154" t="s">
        <v>342</v>
      </c>
      <c r="BA154" t="s">
        <v>327</v>
      </c>
      <c r="BB154" t="s">
        <v>328</v>
      </c>
      <c r="BC154" t="s">
        <v>218</v>
      </c>
      <c r="BD154" t="s">
        <v>220</v>
      </c>
      <c r="BE154">
        <v>10</v>
      </c>
      <c r="BF154">
        <v>7</v>
      </c>
      <c r="BG154">
        <v>8.5</v>
      </c>
      <c r="BH154">
        <v>10</v>
      </c>
      <c r="BI154">
        <v>6</v>
      </c>
      <c r="BJ154" t="s">
        <v>222</v>
      </c>
      <c r="BK154">
        <v>6.5</v>
      </c>
      <c r="BL154">
        <v>10</v>
      </c>
      <c r="BM154">
        <v>7.5</v>
      </c>
      <c r="BN154">
        <v>9</v>
      </c>
      <c r="BO154">
        <v>5</v>
      </c>
    </row>
    <row r="155" spans="1:67" x14ac:dyDescent="0.25">
      <c r="A155">
        <v>32</v>
      </c>
      <c r="B155" t="s">
        <v>384</v>
      </c>
      <c r="C155" t="s">
        <v>387</v>
      </c>
      <c r="D155">
        <v>16217</v>
      </c>
      <c r="E155" t="s">
        <v>173</v>
      </c>
      <c r="F155" t="s">
        <v>12</v>
      </c>
      <c r="G155" s="2">
        <v>33</v>
      </c>
      <c r="H155" s="3">
        <v>34.5</v>
      </c>
      <c r="I155" s="4">
        <f t="shared" si="37"/>
        <v>8.5</v>
      </c>
      <c r="J155">
        <f t="shared" si="32"/>
        <v>8.5</v>
      </c>
      <c r="K155" s="2">
        <v>68.5</v>
      </c>
      <c r="L155">
        <f t="shared" si="38"/>
        <v>86</v>
      </c>
      <c r="M155" s="2">
        <v>39.5</v>
      </c>
      <c r="N155" s="3">
        <v>34.5</v>
      </c>
      <c r="O155" s="4">
        <f t="shared" si="39"/>
        <v>9.5</v>
      </c>
      <c r="P155">
        <f t="shared" si="33"/>
        <v>10</v>
      </c>
      <c r="Q155" s="2">
        <v>73.5</v>
      </c>
      <c r="R155">
        <f t="shared" si="40"/>
        <v>93</v>
      </c>
      <c r="S155" s="2">
        <v>29.5</v>
      </c>
      <c r="T155" s="3">
        <v>29</v>
      </c>
      <c r="U155" s="4">
        <f t="shared" si="41"/>
        <v>7.5</v>
      </c>
      <c r="V155">
        <f t="shared" si="34"/>
        <v>4.5</v>
      </c>
      <c r="W155" s="2">
        <v>56.5</v>
      </c>
      <c r="X155">
        <f t="shared" si="42"/>
        <v>69</v>
      </c>
      <c r="Y155" s="2">
        <v>32.5</v>
      </c>
      <c r="Z155" s="3">
        <v>34</v>
      </c>
      <c r="AA155" s="4">
        <f t="shared" si="43"/>
        <v>8.5</v>
      </c>
      <c r="AB155">
        <f t="shared" si="35"/>
        <v>9</v>
      </c>
      <c r="AC155" s="2" t="s">
        <v>14</v>
      </c>
      <c r="AD155">
        <f t="shared" si="44"/>
        <v>18</v>
      </c>
      <c r="AE155" s="2">
        <v>27</v>
      </c>
      <c r="AF155" s="3">
        <v>31</v>
      </c>
      <c r="AG155" s="4">
        <f t="shared" si="45"/>
        <v>7.5</v>
      </c>
      <c r="AH155">
        <f t="shared" si="36"/>
        <v>8</v>
      </c>
      <c r="AI155" s="2">
        <v>54</v>
      </c>
      <c r="AJ155">
        <f t="shared" si="46"/>
        <v>70</v>
      </c>
      <c r="AK155" s="2">
        <v>24</v>
      </c>
      <c r="AL155" s="3">
        <v>23.5</v>
      </c>
      <c r="AM155" s="4">
        <v>25.5</v>
      </c>
      <c r="AN155" s="2">
        <v>9.5</v>
      </c>
      <c r="AO155" s="3">
        <v>21</v>
      </c>
      <c r="AP155" s="4">
        <v>35.5</v>
      </c>
      <c r="AQ155">
        <v>8</v>
      </c>
      <c r="AR155">
        <v>9.5</v>
      </c>
      <c r="AS155">
        <v>10</v>
      </c>
      <c r="AT155">
        <v>12</v>
      </c>
      <c r="AU155">
        <f t="shared" si="47"/>
        <v>6</v>
      </c>
      <c r="AV155" t="s">
        <v>230</v>
      </c>
      <c r="AW155" t="s">
        <v>322</v>
      </c>
      <c r="AX155" t="s">
        <v>232</v>
      </c>
      <c r="AY155" t="s">
        <v>254</v>
      </c>
      <c r="AZ155" t="s">
        <v>329</v>
      </c>
      <c r="BA155" t="s">
        <v>327</v>
      </c>
      <c r="BB155" t="s">
        <v>328</v>
      </c>
      <c r="BC155" t="s">
        <v>218</v>
      </c>
      <c r="BD155" t="s">
        <v>220</v>
      </c>
      <c r="BE155">
        <v>8.5</v>
      </c>
      <c r="BF155">
        <v>10</v>
      </c>
      <c r="BG155">
        <v>10</v>
      </c>
      <c r="BH155">
        <v>10</v>
      </c>
      <c r="BI155">
        <v>6.5</v>
      </c>
      <c r="BJ155" t="s">
        <v>222</v>
      </c>
      <c r="BK155">
        <v>7</v>
      </c>
      <c r="BL155">
        <v>10</v>
      </c>
      <c r="BM155">
        <v>8</v>
      </c>
      <c r="BN155">
        <v>7</v>
      </c>
      <c r="BO155">
        <v>2.5</v>
      </c>
    </row>
    <row r="156" spans="1:67" x14ac:dyDescent="0.25">
      <c r="A156">
        <v>33</v>
      </c>
      <c r="B156" t="s">
        <v>384</v>
      </c>
      <c r="C156" t="s">
        <v>387</v>
      </c>
      <c r="D156">
        <v>16215</v>
      </c>
      <c r="E156" t="s">
        <v>178</v>
      </c>
      <c r="F156" t="s">
        <v>12</v>
      </c>
      <c r="G156" s="2">
        <v>28</v>
      </c>
      <c r="H156" s="3">
        <v>25.5</v>
      </c>
      <c r="I156" s="4">
        <f t="shared" si="37"/>
        <v>7</v>
      </c>
      <c r="J156">
        <f t="shared" si="32"/>
        <v>6</v>
      </c>
      <c r="K156" s="2">
        <v>51</v>
      </c>
      <c r="L156">
        <f t="shared" si="38"/>
        <v>64</v>
      </c>
      <c r="M156" s="2">
        <v>37</v>
      </c>
      <c r="N156" s="3">
        <v>29</v>
      </c>
      <c r="O156" s="4">
        <f t="shared" si="39"/>
        <v>8.5</v>
      </c>
      <c r="P156">
        <f t="shared" si="33"/>
        <v>10</v>
      </c>
      <c r="Q156" s="2">
        <v>67</v>
      </c>
      <c r="R156">
        <f t="shared" si="40"/>
        <v>86</v>
      </c>
      <c r="S156" s="2">
        <v>23.5</v>
      </c>
      <c r="T156" s="3">
        <v>18</v>
      </c>
      <c r="U156" s="4">
        <f t="shared" si="41"/>
        <v>5.5</v>
      </c>
      <c r="V156">
        <f t="shared" si="34"/>
        <v>1</v>
      </c>
      <c r="W156" s="2">
        <v>54.5</v>
      </c>
      <c r="X156">
        <f t="shared" si="42"/>
        <v>61</v>
      </c>
      <c r="Y156" s="2">
        <v>34</v>
      </c>
      <c r="Z156" s="3">
        <v>33</v>
      </c>
      <c r="AA156" s="4">
        <f t="shared" si="43"/>
        <v>8.5</v>
      </c>
      <c r="AB156">
        <f t="shared" si="35"/>
        <v>8</v>
      </c>
      <c r="AC156" s="2">
        <v>53.5</v>
      </c>
      <c r="AD156">
        <f t="shared" si="44"/>
        <v>70</v>
      </c>
      <c r="AE156" s="2">
        <v>23</v>
      </c>
      <c r="AF156" s="3">
        <v>31</v>
      </c>
      <c r="AG156" s="4">
        <f t="shared" si="45"/>
        <v>7</v>
      </c>
      <c r="AH156">
        <f t="shared" si="36"/>
        <v>7.5</v>
      </c>
      <c r="AI156" s="2">
        <v>50.5</v>
      </c>
      <c r="AJ156">
        <f t="shared" si="46"/>
        <v>65</v>
      </c>
      <c r="AK156" s="2">
        <v>21</v>
      </c>
      <c r="AL156" s="3">
        <v>17</v>
      </c>
      <c r="AM156" s="4">
        <v>20</v>
      </c>
      <c r="AN156" s="2">
        <v>6</v>
      </c>
      <c r="AO156" s="3">
        <v>15</v>
      </c>
      <c r="AP156" s="4">
        <v>26.5</v>
      </c>
      <c r="AQ156">
        <v>8</v>
      </c>
      <c r="AR156">
        <v>10</v>
      </c>
      <c r="AS156">
        <v>9</v>
      </c>
      <c r="AT156">
        <v>10</v>
      </c>
      <c r="AU156">
        <f t="shared" si="47"/>
        <v>5</v>
      </c>
      <c r="AV156" t="s">
        <v>230</v>
      </c>
      <c r="AW156" t="s">
        <v>231</v>
      </c>
      <c r="AX156" t="s">
        <v>232</v>
      </c>
      <c r="AY156" t="s">
        <v>233</v>
      </c>
      <c r="AZ156" t="s">
        <v>343</v>
      </c>
      <c r="BA156" t="s">
        <v>327</v>
      </c>
      <c r="BB156" t="s">
        <v>328</v>
      </c>
      <c r="BC156" t="s">
        <v>218</v>
      </c>
      <c r="BD156" t="s">
        <v>220</v>
      </c>
      <c r="BE156">
        <v>8</v>
      </c>
      <c r="BF156">
        <v>10</v>
      </c>
      <c r="BG156">
        <v>9</v>
      </c>
      <c r="BH156">
        <v>8</v>
      </c>
      <c r="BI156">
        <v>2</v>
      </c>
      <c r="BJ156" t="s">
        <v>222</v>
      </c>
      <c r="BK156">
        <v>7</v>
      </c>
      <c r="BL156">
        <v>10</v>
      </c>
      <c r="BM156">
        <v>7</v>
      </c>
      <c r="BN156">
        <v>3.5</v>
      </c>
      <c r="BO156">
        <v>0</v>
      </c>
    </row>
    <row r="157" spans="1:67" x14ac:dyDescent="0.25">
      <c r="A157">
        <v>34</v>
      </c>
      <c r="B157" t="s">
        <v>384</v>
      </c>
      <c r="C157" t="s">
        <v>387</v>
      </c>
      <c r="D157">
        <v>16247</v>
      </c>
      <c r="E157" t="s">
        <v>183</v>
      </c>
      <c r="F157" t="s">
        <v>12</v>
      </c>
      <c r="G157" s="2">
        <v>33.5</v>
      </c>
      <c r="H157" s="3">
        <v>25</v>
      </c>
      <c r="I157" s="4">
        <f t="shared" si="37"/>
        <v>7.5</v>
      </c>
      <c r="J157">
        <f t="shared" si="32"/>
        <v>8.5</v>
      </c>
      <c r="K157" s="2">
        <v>58</v>
      </c>
      <c r="L157">
        <f t="shared" si="38"/>
        <v>74</v>
      </c>
      <c r="M157" s="2">
        <v>19</v>
      </c>
      <c r="N157" s="3">
        <v>17.5</v>
      </c>
      <c r="O157" s="4">
        <f t="shared" si="39"/>
        <v>5</v>
      </c>
      <c r="P157">
        <f t="shared" si="33"/>
        <v>6.5</v>
      </c>
      <c r="Q157" s="2">
        <v>33.5</v>
      </c>
      <c r="R157">
        <f t="shared" si="40"/>
        <v>45</v>
      </c>
      <c r="S157" s="2">
        <v>32.5</v>
      </c>
      <c r="T157" s="3">
        <v>20</v>
      </c>
      <c r="U157" s="4">
        <f t="shared" si="41"/>
        <v>7</v>
      </c>
      <c r="V157">
        <f t="shared" si="34"/>
        <v>6</v>
      </c>
      <c r="W157" s="2">
        <v>38.5</v>
      </c>
      <c r="X157">
        <f t="shared" si="42"/>
        <v>52</v>
      </c>
      <c r="Y157" s="2">
        <v>29.5</v>
      </c>
      <c r="Z157" s="3">
        <v>26</v>
      </c>
      <c r="AA157" s="4">
        <f t="shared" si="43"/>
        <v>7</v>
      </c>
      <c r="AB157">
        <f t="shared" si="35"/>
        <v>8.5</v>
      </c>
      <c r="AC157" s="2">
        <v>57.5</v>
      </c>
      <c r="AD157">
        <f t="shared" si="44"/>
        <v>73</v>
      </c>
      <c r="AE157" s="2">
        <v>30</v>
      </c>
      <c r="AF157" s="3">
        <v>29.5</v>
      </c>
      <c r="AG157" s="4">
        <f t="shared" si="45"/>
        <v>7.5</v>
      </c>
      <c r="AH157">
        <f t="shared" si="36"/>
        <v>4</v>
      </c>
      <c r="AI157" s="2">
        <v>56.5</v>
      </c>
      <c r="AJ157">
        <f t="shared" si="46"/>
        <v>68</v>
      </c>
      <c r="AK157" s="2">
        <v>19</v>
      </c>
      <c r="AL157" s="3">
        <v>10</v>
      </c>
      <c r="AM157" s="4">
        <v>15</v>
      </c>
      <c r="AN157" s="2">
        <v>7</v>
      </c>
      <c r="AO157" s="3">
        <v>12</v>
      </c>
      <c r="AP157" s="4">
        <v>32</v>
      </c>
      <c r="AQ157">
        <v>8</v>
      </c>
      <c r="AR157">
        <v>7</v>
      </c>
      <c r="AS157">
        <v>7</v>
      </c>
      <c r="AT157">
        <v>13</v>
      </c>
      <c r="AU157">
        <f t="shared" si="47"/>
        <v>6.5</v>
      </c>
      <c r="AV157" t="s">
        <v>230</v>
      </c>
      <c r="AW157" t="s">
        <v>322</v>
      </c>
      <c r="AX157" t="s">
        <v>232</v>
      </c>
      <c r="AY157" t="s">
        <v>344</v>
      </c>
      <c r="AZ157" t="s">
        <v>343</v>
      </c>
      <c r="BA157" t="s">
        <v>327</v>
      </c>
      <c r="BB157" t="s">
        <v>328</v>
      </c>
      <c r="BC157" t="s">
        <v>218</v>
      </c>
      <c r="BD157" t="s">
        <v>220</v>
      </c>
      <c r="BE157">
        <v>7.5</v>
      </c>
      <c r="BF157">
        <v>9</v>
      </c>
      <c r="BG157">
        <v>9</v>
      </c>
      <c r="BH157">
        <v>9.5</v>
      </c>
      <c r="BI157">
        <v>5.5</v>
      </c>
      <c r="BJ157" t="s">
        <v>222</v>
      </c>
      <c r="BK157" t="s">
        <v>14</v>
      </c>
      <c r="BL157">
        <v>4</v>
      </c>
      <c r="BM157">
        <v>8</v>
      </c>
      <c r="BN157">
        <v>7</v>
      </c>
      <c r="BO157">
        <v>6</v>
      </c>
    </row>
    <row r="158" spans="1:67" x14ac:dyDescent="0.25">
      <c r="A158">
        <v>35</v>
      </c>
      <c r="B158" t="s">
        <v>384</v>
      </c>
      <c r="C158" t="s">
        <v>387</v>
      </c>
      <c r="D158">
        <v>17394</v>
      </c>
      <c r="E158" t="s">
        <v>188</v>
      </c>
      <c r="F158" t="s">
        <v>12</v>
      </c>
      <c r="G158" s="2">
        <v>37.5</v>
      </c>
      <c r="H158" s="3">
        <v>35.5</v>
      </c>
      <c r="I158" s="4">
        <f t="shared" si="37"/>
        <v>9.5</v>
      </c>
      <c r="J158">
        <f t="shared" si="32"/>
        <v>8.5</v>
      </c>
      <c r="K158" s="2">
        <v>67.5</v>
      </c>
      <c r="L158">
        <f t="shared" si="38"/>
        <v>86</v>
      </c>
      <c r="M158" s="2">
        <v>34</v>
      </c>
      <c r="N158" s="3">
        <v>35.5</v>
      </c>
      <c r="O158" s="4">
        <f t="shared" si="39"/>
        <v>9</v>
      </c>
      <c r="P158">
        <f t="shared" si="33"/>
        <v>10</v>
      </c>
      <c r="Q158" s="2">
        <v>63.5</v>
      </c>
      <c r="R158">
        <f t="shared" si="40"/>
        <v>83</v>
      </c>
      <c r="S158" s="2">
        <v>37.5</v>
      </c>
      <c r="T158" s="3">
        <v>35</v>
      </c>
      <c r="U158" s="4">
        <f t="shared" si="41"/>
        <v>9.5</v>
      </c>
      <c r="V158">
        <f t="shared" si="34"/>
        <v>8</v>
      </c>
      <c r="W158" s="2">
        <v>70</v>
      </c>
      <c r="X158">
        <f t="shared" si="42"/>
        <v>88</v>
      </c>
      <c r="Y158" s="2">
        <v>36</v>
      </c>
      <c r="Z158" s="3">
        <v>34.5</v>
      </c>
      <c r="AA158" s="4">
        <f t="shared" si="43"/>
        <v>9</v>
      </c>
      <c r="AB158">
        <f t="shared" si="35"/>
        <v>9.5</v>
      </c>
      <c r="AC158" s="2">
        <v>64</v>
      </c>
      <c r="AD158">
        <f t="shared" si="44"/>
        <v>83</v>
      </c>
      <c r="AE158" s="2">
        <v>36.5</v>
      </c>
      <c r="AF158" s="3">
        <v>38.5</v>
      </c>
      <c r="AG158" s="4">
        <f t="shared" si="45"/>
        <v>9.5</v>
      </c>
      <c r="AH158">
        <f t="shared" si="36"/>
        <v>10</v>
      </c>
      <c r="AI158" s="2">
        <v>66.5</v>
      </c>
      <c r="AJ158">
        <f t="shared" si="46"/>
        <v>86</v>
      </c>
      <c r="AK158" s="2">
        <v>20</v>
      </c>
      <c r="AL158" s="3">
        <v>20.5</v>
      </c>
      <c r="AM158" s="4">
        <v>27</v>
      </c>
      <c r="AN158" s="2">
        <v>8</v>
      </c>
      <c r="AO158" s="3">
        <v>21</v>
      </c>
      <c r="AP158" s="4">
        <v>23.5</v>
      </c>
      <c r="AQ158">
        <v>8</v>
      </c>
      <c r="AR158">
        <v>9.5</v>
      </c>
      <c r="AS158">
        <v>10</v>
      </c>
      <c r="AT158">
        <v>15</v>
      </c>
      <c r="AU158">
        <f t="shared" si="47"/>
        <v>7.5</v>
      </c>
      <c r="AV158" t="s">
        <v>230</v>
      </c>
      <c r="AW158" t="s">
        <v>322</v>
      </c>
      <c r="AX158" t="s">
        <v>232</v>
      </c>
      <c r="AY158" t="s">
        <v>233</v>
      </c>
      <c r="AZ158" t="s">
        <v>345</v>
      </c>
      <c r="BA158" t="s">
        <v>327</v>
      </c>
      <c r="BB158" t="s">
        <v>328</v>
      </c>
      <c r="BC158" t="s">
        <v>218</v>
      </c>
      <c r="BD158" t="s">
        <v>220</v>
      </c>
      <c r="BE158">
        <v>10</v>
      </c>
      <c r="BF158">
        <v>10</v>
      </c>
      <c r="BG158">
        <v>10</v>
      </c>
      <c r="BH158">
        <v>8</v>
      </c>
      <c r="BI158">
        <v>9</v>
      </c>
      <c r="BJ158" t="s">
        <v>222</v>
      </c>
      <c r="BK158">
        <v>10</v>
      </c>
      <c r="BL158">
        <v>10</v>
      </c>
      <c r="BM158">
        <v>8.5</v>
      </c>
      <c r="BN158">
        <v>9</v>
      </c>
      <c r="BO158">
        <v>7</v>
      </c>
    </row>
    <row r="159" spans="1:67" x14ac:dyDescent="0.25">
      <c r="A159">
        <v>36</v>
      </c>
      <c r="B159" t="s">
        <v>384</v>
      </c>
      <c r="C159" t="s">
        <v>387</v>
      </c>
      <c r="D159">
        <v>16230</v>
      </c>
      <c r="E159" t="s">
        <v>193</v>
      </c>
      <c r="F159" t="s">
        <v>12</v>
      </c>
      <c r="G159" s="2">
        <v>31</v>
      </c>
      <c r="H159" s="3">
        <v>25.5</v>
      </c>
      <c r="I159" s="4">
        <f t="shared" si="37"/>
        <v>7.5</v>
      </c>
      <c r="J159">
        <f t="shared" si="32"/>
        <v>8</v>
      </c>
      <c r="K159" s="2">
        <v>65</v>
      </c>
      <c r="L159">
        <f t="shared" si="38"/>
        <v>81</v>
      </c>
      <c r="M159" s="2">
        <v>37.5</v>
      </c>
      <c r="N159" s="3">
        <v>34.5</v>
      </c>
      <c r="O159" s="4">
        <f t="shared" si="39"/>
        <v>9</v>
      </c>
      <c r="P159">
        <f t="shared" si="33"/>
        <v>10</v>
      </c>
      <c r="Q159" s="2">
        <v>65</v>
      </c>
      <c r="R159">
        <f t="shared" si="40"/>
        <v>84</v>
      </c>
      <c r="S159" s="2">
        <v>28.5</v>
      </c>
      <c r="T159" s="3">
        <v>20</v>
      </c>
      <c r="U159" s="4">
        <f t="shared" si="41"/>
        <v>6.5</v>
      </c>
      <c r="V159">
        <f t="shared" si="34"/>
        <v>5.5</v>
      </c>
      <c r="W159" s="2">
        <v>50.5</v>
      </c>
      <c r="X159">
        <f t="shared" si="42"/>
        <v>63</v>
      </c>
      <c r="Y159" s="2">
        <v>23.5</v>
      </c>
      <c r="Z159" s="3">
        <v>35</v>
      </c>
      <c r="AA159" s="4">
        <f t="shared" si="43"/>
        <v>7.5</v>
      </c>
      <c r="AB159">
        <f t="shared" si="35"/>
        <v>8.5</v>
      </c>
      <c r="AC159" s="2">
        <v>66</v>
      </c>
      <c r="AD159">
        <f t="shared" si="44"/>
        <v>82</v>
      </c>
      <c r="AE159" s="2">
        <v>28</v>
      </c>
      <c r="AF159" s="3">
        <v>31</v>
      </c>
      <c r="AG159" s="4">
        <f t="shared" si="45"/>
        <v>7.5</v>
      </c>
      <c r="AH159">
        <f t="shared" si="36"/>
        <v>7.5</v>
      </c>
      <c r="AI159" s="2">
        <v>59</v>
      </c>
      <c r="AJ159">
        <f t="shared" si="46"/>
        <v>74</v>
      </c>
      <c r="AK159" s="2">
        <v>18.5</v>
      </c>
      <c r="AL159" s="3">
        <v>17.5</v>
      </c>
      <c r="AM159" s="4">
        <v>24.5</v>
      </c>
      <c r="AN159" s="2">
        <v>6.5</v>
      </c>
      <c r="AO159" s="3">
        <v>18</v>
      </c>
      <c r="AP159" s="4">
        <v>30.5</v>
      </c>
      <c r="AQ159">
        <v>8</v>
      </c>
      <c r="AR159">
        <v>8</v>
      </c>
      <c r="AS159">
        <v>9</v>
      </c>
      <c r="AT159">
        <v>14.5</v>
      </c>
      <c r="AU159">
        <f t="shared" si="47"/>
        <v>7.5</v>
      </c>
      <c r="AV159" t="s">
        <v>230</v>
      </c>
      <c r="AW159" t="s">
        <v>322</v>
      </c>
      <c r="AX159" t="s">
        <v>232</v>
      </c>
      <c r="AY159" t="s">
        <v>254</v>
      </c>
      <c r="AZ159" t="s">
        <v>346</v>
      </c>
      <c r="BA159" t="s">
        <v>327</v>
      </c>
      <c r="BB159" t="s">
        <v>328</v>
      </c>
      <c r="BC159" t="s">
        <v>218</v>
      </c>
      <c r="BD159" t="s">
        <v>220</v>
      </c>
      <c r="BE159">
        <v>8</v>
      </c>
      <c r="BF159">
        <v>10</v>
      </c>
      <c r="BG159">
        <v>9.5</v>
      </c>
      <c r="BH159">
        <v>7.5</v>
      </c>
      <c r="BI159">
        <v>5</v>
      </c>
      <c r="BJ159" t="s">
        <v>222</v>
      </c>
      <c r="BK159">
        <v>7</v>
      </c>
      <c r="BL159">
        <v>10</v>
      </c>
      <c r="BM159">
        <v>7</v>
      </c>
      <c r="BN159">
        <v>8.5</v>
      </c>
      <c r="BO159">
        <v>6</v>
      </c>
    </row>
    <row r="160" spans="1:67" x14ac:dyDescent="0.25">
      <c r="A160">
        <v>37</v>
      </c>
      <c r="B160" t="s">
        <v>384</v>
      </c>
      <c r="C160" t="s">
        <v>387</v>
      </c>
      <c r="D160">
        <v>17073</v>
      </c>
      <c r="E160" t="s">
        <v>198</v>
      </c>
      <c r="F160" t="s">
        <v>12</v>
      </c>
      <c r="G160" s="2">
        <v>26</v>
      </c>
      <c r="H160" s="3">
        <v>30</v>
      </c>
      <c r="I160" s="4">
        <f t="shared" si="37"/>
        <v>7</v>
      </c>
      <c r="J160">
        <f t="shared" si="32"/>
        <v>7</v>
      </c>
      <c r="K160" s="2">
        <v>52.5</v>
      </c>
      <c r="L160">
        <f t="shared" si="38"/>
        <v>67</v>
      </c>
      <c r="M160" s="2">
        <v>22</v>
      </c>
      <c r="N160" s="3">
        <v>23.5</v>
      </c>
      <c r="O160" s="4">
        <f t="shared" si="39"/>
        <v>6</v>
      </c>
      <c r="P160">
        <f t="shared" si="33"/>
        <v>7</v>
      </c>
      <c r="Q160" s="2">
        <v>31.5</v>
      </c>
      <c r="R160">
        <f t="shared" si="40"/>
        <v>45</v>
      </c>
      <c r="S160" s="2">
        <v>33</v>
      </c>
      <c r="T160" s="3">
        <v>22</v>
      </c>
      <c r="U160" s="4">
        <f t="shared" si="41"/>
        <v>7</v>
      </c>
      <c r="V160">
        <f t="shared" si="34"/>
        <v>4.5</v>
      </c>
      <c r="W160" s="2">
        <v>61</v>
      </c>
      <c r="X160">
        <f t="shared" si="42"/>
        <v>73</v>
      </c>
      <c r="Y160" s="2">
        <v>21.5</v>
      </c>
      <c r="Z160" s="3">
        <v>29</v>
      </c>
      <c r="AA160" s="4">
        <f t="shared" si="43"/>
        <v>6.5</v>
      </c>
      <c r="AB160">
        <f t="shared" si="35"/>
        <v>7</v>
      </c>
      <c r="AC160" s="2">
        <v>45.5</v>
      </c>
      <c r="AD160">
        <f t="shared" si="44"/>
        <v>59</v>
      </c>
      <c r="AE160" s="2">
        <v>21</v>
      </c>
      <c r="AF160" s="3">
        <v>33</v>
      </c>
      <c r="AG160" s="4">
        <f t="shared" si="45"/>
        <v>7</v>
      </c>
      <c r="AH160">
        <f t="shared" si="36"/>
        <v>8.5</v>
      </c>
      <c r="AI160" s="2">
        <v>40.5</v>
      </c>
      <c r="AJ160">
        <f t="shared" si="46"/>
        <v>56</v>
      </c>
      <c r="AK160" s="2">
        <v>21</v>
      </c>
      <c r="AL160" s="3">
        <v>15</v>
      </c>
      <c r="AM160" s="4">
        <v>17.5</v>
      </c>
      <c r="AN160" s="2">
        <v>10</v>
      </c>
      <c r="AO160" s="3">
        <v>21</v>
      </c>
      <c r="AP160" s="4">
        <v>24.5</v>
      </c>
      <c r="AQ160">
        <v>8</v>
      </c>
      <c r="AR160">
        <v>9</v>
      </c>
      <c r="AS160">
        <v>7</v>
      </c>
      <c r="AT160">
        <v>10</v>
      </c>
      <c r="AU160">
        <f t="shared" si="47"/>
        <v>5</v>
      </c>
      <c r="AV160" t="s">
        <v>230</v>
      </c>
      <c r="AW160" t="s">
        <v>322</v>
      </c>
      <c r="AX160" t="s">
        <v>232</v>
      </c>
      <c r="AY160" t="s">
        <v>247</v>
      </c>
      <c r="AZ160" t="s">
        <v>329</v>
      </c>
      <c r="BA160" t="s">
        <v>327</v>
      </c>
      <c r="BB160" t="s">
        <v>328</v>
      </c>
      <c r="BC160" t="s">
        <v>218</v>
      </c>
      <c r="BD160" t="s">
        <v>220</v>
      </c>
      <c r="BE160">
        <v>7</v>
      </c>
      <c r="BF160">
        <v>8</v>
      </c>
      <c r="BG160">
        <v>8</v>
      </c>
      <c r="BH160">
        <v>6.5</v>
      </c>
      <c r="BI160">
        <v>3.5</v>
      </c>
      <c r="BJ160" t="s">
        <v>222</v>
      </c>
      <c r="BK160">
        <v>10</v>
      </c>
      <c r="BL160">
        <v>6</v>
      </c>
      <c r="BM160">
        <v>6</v>
      </c>
      <c r="BN160">
        <v>7</v>
      </c>
      <c r="BO160">
        <v>5</v>
      </c>
    </row>
    <row r="161" spans="1:67" x14ac:dyDescent="0.25">
      <c r="A161">
        <v>38</v>
      </c>
      <c r="B161" t="s">
        <v>384</v>
      </c>
      <c r="C161" t="s">
        <v>387</v>
      </c>
      <c r="D161">
        <v>16585</v>
      </c>
      <c r="E161" t="s">
        <v>203</v>
      </c>
      <c r="F161" t="s">
        <v>12</v>
      </c>
      <c r="G161" s="2">
        <v>25.5</v>
      </c>
      <c r="H161" s="3">
        <v>27.5</v>
      </c>
      <c r="I161" s="4">
        <f t="shared" si="37"/>
        <v>7</v>
      </c>
      <c r="J161">
        <f t="shared" si="32"/>
        <v>2</v>
      </c>
      <c r="K161" s="2">
        <v>45</v>
      </c>
      <c r="L161">
        <f t="shared" si="38"/>
        <v>54</v>
      </c>
      <c r="M161" s="2">
        <v>22.5</v>
      </c>
      <c r="N161" s="3">
        <v>28</v>
      </c>
      <c r="O161" s="4">
        <f t="shared" si="39"/>
        <v>6.5</v>
      </c>
      <c r="P161">
        <f t="shared" si="33"/>
        <v>5</v>
      </c>
      <c r="Q161" s="2">
        <v>41.5</v>
      </c>
      <c r="R161">
        <f t="shared" si="40"/>
        <v>53</v>
      </c>
      <c r="S161" s="2">
        <v>16.5</v>
      </c>
      <c r="T161" s="3">
        <v>23.5</v>
      </c>
      <c r="U161" s="4">
        <f t="shared" si="41"/>
        <v>5</v>
      </c>
      <c r="V161">
        <f t="shared" si="34"/>
        <v>3.5</v>
      </c>
      <c r="W161" s="2">
        <v>36</v>
      </c>
      <c r="X161">
        <f t="shared" si="42"/>
        <v>45</v>
      </c>
      <c r="Y161" s="2">
        <v>19</v>
      </c>
      <c r="Z161" s="3">
        <v>31</v>
      </c>
      <c r="AA161" s="4">
        <f t="shared" si="43"/>
        <v>6.5</v>
      </c>
      <c r="AB161">
        <f t="shared" si="35"/>
        <v>5</v>
      </c>
      <c r="AC161" s="2">
        <v>44.5</v>
      </c>
      <c r="AD161">
        <f t="shared" si="44"/>
        <v>56</v>
      </c>
      <c r="AE161" s="2" t="s">
        <v>32</v>
      </c>
      <c r="AF161" s="3">
        <v>24</v>
      </c>
      <c r="AG161" s="4">
        <f t="shared" si="45"/>
        <v>3</v>
      </c>
      <c r="AH161">
        <f t="shared" si="36"/>
        <v>3.5</v>
      </c>
      <c r="AI161" s="2">
        <v>34</v>
      </c>
      <c r="AJ161">
        <f t="shared" si="46"/>
        <v>41</v>
      </c>
      <c r="AK161" s="2">
        <v>14.5</v>
      </c>
      <c r="AL161" s="3">
        <v>13.5</v>
      </c>
      <c r="AM161" s="4">
        <v>13</v>
      </c>
      <c r="AN161" s="2">
        <v>7</v>
      </c>
      <c r="AO161" s="3">
        <v>19</v>
      </c>
      <c r="AP161" s="4">
        <v>35.5</v>
      </c>
      <c r="AQ161">
        <v>8</v>
      </c>
      <c r="AR161">
        <v>8.5</v>
      </c>
      <c r="AS161">
        <v>9</v>
      </c>
      <c r="AT161">
        <v>11.5</v>
      </c>
      <c r="AU161">
        <f t="shared" si="47"/>
        <v>6</v>
      </c>
      <c r="AV161" t="s">
        <v>230</v>
      </c>
      <c r="AW161" t="s">
        <v>322</v>
      </c>
      <c r="AX161" t="s">
        <v>232</v>
      </c>
      <c r="AY161" t="s">
        <v>288</v>
      </c>
      <c r="AZ161" t="s">
        <v>329</v>
      </c>
      <c r="BA161" t="s">
        <v>327</v>
      </c>
      <c r="BB161" t="s">
        <v>328</v>
      </c>
      <c r="BC161" t="s">
        <v>218</v>
      </c>
      <c r="BD161" t="s">
        <v>220</v>
      </c>
      <c r="BE161">
        <v>6.5</v>
      </c>
      <c r="BF161">
        <v>10</v>
      </c>
      <c r="BG161">
        <v>9.5</v>
      </c>
      <c r="BH161">
        <v>4</v>
      </c>
      <c r="BI161">
        <v>3.5</v>
      </c>
      <c r="BJ161" t="s">
        <v>222</v>
      </c>
      <c r="BK161" t="s">
        <v>14</v>
      </c>
      <c r="BL161" t="s">
        <v>32</v>
      </c>
      <c r="BM161" t="s">
        <v>15</v>
      </c>
      <c r="BN161" t="s">
        <v>14</v>
      </c>
      <c r="BO161">
        <v>3</v>
      </c>
    </row>
    <row r="162" spans="1:67" x14ac:dyDescent="0.25">
      <c r="A162">
        <v>39</v>
      </c>
      <c r="B162" t="s">
        <v>384</v>
      </c>
      <c r="C162" t="s">
        <v>387</v>
      </c>
      <c r="D162">
        <v>16250</v>
      </c>
      <c r="E162" t="s">
        <v>208</v>
      </c>
      <c r="F162" t="s">
        <v>12</v>
      </c>
      <c r="G162" s="2">
        <v>11</v>
      </c>
      <c r="H162" s="3">
        <v>11</v>
      </c>
      <c r="I162" s="4">
        <f t="shared" si="37"/>
        <v>3</v>
      </c>
      <c r="J162">
        <f t="shared" si="32"/>
        <v>5</v>
      </c>
      <c r="K162" s="2">
        <v>14.5</v>
      </c>
      <c r="L162">
        <f t="shared" si="38"/>
        <v>23</v>
      </c>
      <c r="M162" s="2">
        <v>21.5</v>
      </c>
      <c r="N162" s="3">
        <v>20</v>
      </c>
      <c r="O162" s="4">
        <f t="shared" si="39"/>
        <v>5.5</v>
      </c>
      <c r="P162">
        <f t="shared" si="33"/>
        <v>7</v>
      </c>
      <c r="Q162" s="2">
        <v>29.5</v>
      </c>
      <c r="R162">
        <f t="shared" si="40"/>
        <v>42</v>
      </c>
      <c r="S162" s="2">
        <v>11.5</v>
      </c>
      <c r="T162" s="3">
        <v>5</v>
      </c>
      <c r="U162" s="4">
        <f t="shared" si="41"/>
        <v>2.5</v>
      </c>
      <c r="V162">
        <f t="shared" si="34"/>
        <v>2.5</v>
      </c>
      <c r="W162" s="2">
        <v>18</v>
      </c>
      <c r="X162">
        <f t="shared" si="42"/>
        <v>23</v>
      </c>
      <c r="Y162" s="2">
        <v>8.5</v>
      </c>
      <c r="Z162" s="3" t="s">
        <v>15</v>
      </c>
      <c r="AA162" s="4">
        <f t="shared" si="43"/>
        <v>1.5</v>
      </c>
      <c r="AB162">
        <f t="shared" si="35"/>
        <v>4.5</v>
      </c>
      <c r="AC162" s="2">
        <v>22.5</v>
      </c>
      <c r="AD162">
        <f t="shared" si="44"/>
        <v>29</v>
      </c>
      <c r="AE162" s="2">
        <v>10</v>
      </c>
      <c r="AF162" s="3">
        <v>19.5</v>
      </c>
      <c r="AG162" s="4">
        <f t="shared" si="45"/>
        <v>4</v>
      </c>
      <c r="AH162">
        <f t="shared" si="36"/>
        <v>4</v>
      </c>
      <c r="AI162" s="2" t="s">
        <v>14</v>
      </c>
      <c r="AJ162">
        <f t="shared" si="46"/>
        <v>8</v>
      </c>
      <c r="AK162" s="2">
        <v>2.5</v>
      </c>
      <c r="AL162" s="3">
        <v>3.5</v>
      </c>
      <c r="AM162" s="4">
        <v>3.5</v>
      </c>
      <c r="AN162" s="2">
        <v>4</v>
      </c>
      <c r="AO162" s="3">
        <v>11</v>
      </c>
      <c r="AP162" s="4">
        <v>19.5</v>
      </c>
      <c r="AQ162">
        <v>8</v>
      </c>
      <c r="AR162">
        <v>7</v>
      </c>
      <c r="AS162">
        <v>9</v>
      </c>
      <c r="AT162">
        <v>5</v>
      </c>
      <c r="AU162">
        <f t="shared" si="47"/>
        <v>2.5</v>
      </c>
      <c r="AV162" t="s">
        <v>268</v>
      </c>
      <c r="AW162" t="s">
        <v>322</v>
      </c>
      <c r="AX162" t="s">
        <v>237</v>
      </c>
      <c r="AY162" t="s">
        <v>347</v>
      </c>
      <c r="AZ162" t="s">
        <v>346</v>
      </c>
      <c r="BA162" t="s">
        <v>348</v>
      </c>
      <c r="BB162" t="s">
        <v>328</v>
      </c>
      <c r="BC162" t="s">
        <v>218</v>
      </c>
      <c r="BD162" t="s">
        <v>220</v>
      </c>
      <c r="BE162">
        <v>3.5</v>
      </c>
      <c r="BF162">
        <v>7</v>
      </c>
      <c r="BG162">
        <v>3.5</v>
      </c>
      <c r="BH162">
        <v>4</v>
      </c>
      <c r="BI162">
        <v>1</v>
      </c>
      <c r="BJ162" t="s">
        <v>222</v>
      </c>
      <c r="BK162">
        <v>4</v>
      </c>
      <c r="BL162">
        <v>7</v>
      </c>
      <c r="BM162">
        <v>5.5</v>
      </c>
      <c r="BN162">
        <v>5.5</v>
      </c>
      <c r="BO162">
        <v>3.5</v>
      </c>
    </row>
    <row r="163" spans="1:67" x14ac:dyDescent="0.25">
      <c r="A163">
        <v>40</v>
      </c>
      <c r="B163" t="s">
        <v>384</v>
      </c>
      <c r="C163" t="s">
        <v>387</v>
      </c>
      <c r="D163">
        <v>16244</v>
      </c>
      <c r="E163" t="s">
        <v>211</v>
      </c>
      <c r="F163" t="s">
        <v>12</v>
      </c>
      <c r="G163" s="2">
        <v>4.5</v>
      </c>
      <c r="H163" s="3">
        <v>5</v>
      </c>
      <c r="I163" s="4">
        <f t="shared" si="37"/>
        <v>1.5</v>
      </c>
      <c r="J163">
        <f t="shared" si="32"/>
        <v>2.5</v>
      </c>
      <c r="K163" s="2">
        <v>2.5</v>
      </c>
      <c r="L163">
        <f t="shared" si="38"/>
        <v>7</v>
      </c>
      <c r="M163" s="2">
        <v>13</v>
      </c>
      <c r="N163" s="3">
        <v>10</v>
      </c>
      <c r="O163" s="4">
        <f t="shared" si="39"/>
        <v>3</v>
      </c>
      <c r="P163">
        <f t="shared" si="33"/>
        <v>5</v>
      </c>
      <c r="Q163" s="2">
        <v>15</v>
      </c>
      <c r="R163">
        <f t="shared" si="40"/>
        <v>23</v>
      </c>
      <c r="S163" s="2">
        <v>4.5</v>
      </c>
      <c r="T163" s="3">
        <v>3</v>
      </c>
      <c r="U163" s="4">
        <f t="shared" si="41"/>
        <v>1</v>
      </c>
      <c r="V163">
        <f t="shared" si="34"/>
        <v>2.5</v>
      </c>
      <c r="W163" s="2">
        <v>5.5</v>
      </c>
      <c r="X163">
        <f t="shared" si="42"/>
        <v>9</v>
      </c>
      <c r="Y163" s="2">
        <v>0.5</v>
      </c>
      <c r="Z163" s="3">
        <v>0.5</v>
      </c>
      <c r="AA163" s="4">
        <f t="shared" si="43"/>
        <v>0.5</v>
      </c>
      <c r="AB163">
        <f t="shared" si="35"/>
        <v>3.5</v>
      </c>
      <c r="AC163" s="2">
        <v>6</v>
      </c>
      <c r="AD163">
        <f t="shared" si="44"/>
        <v>10</v>
      </c>
      <c r="AE163" s="2">
        <v>1</v>
      </c>
      <c r="AF163" s="3">
        <v>4.5</v>
      </c>
      <c r="AG163" s="4">
        <f t="shared" si="45"/>
        <v>1</v>
      </c>
      <c r="AH163">
        <f t="shared" si="36"/>
        <v>2</v>
      </c>
      <c r="AI163" s="2">
        <v>4</v>
      </c>
      <c r="AJ163">
        <f t="shared" si="46"/>
        <v>7</v>
      </c>
      <c r="AK163" s="2">
        <v>5</v>
      </c>
      <c r="AL163" s="3">
        <v>6</v>
      </c>
      <c r="AM163" s="4">
        <v>5</v>
      </c>
      <c r="AN163" s="2">
        <v>3</v>
      </c>
      <c r="AO163" s="3">
        <v>8</v>
      </c>
      <c r="AP163" s="4">
        <v>18.5</v>
      </c>
      <c r="AQ163">
        <v>8</v>
      </c>
      <c r="AR163">
        <v>4</v>
      </c>
      <c r="AS163">
        <v>2</v>
      </c>
      <c r="AT163">
        <v>5.5</v>
      </c>
      <c r="AU163">
        <f t="shared" si="47"/>
        <v>3</v>
      </c>
      <c r="AV163" t="s">
        <v>230</v>
      </c>
      <c r="AW163" t="s">
        <v>231</v>
      </c>
      <c r="AX163" t="s">
        <v>237</v>
      </c>
      <c r="AY163" t="s">
        <v>254</v>
      </c>
      <c r="AZ163" t="s">
        <v>346</v>
      </c>
      <c r="BA163" t="s">
        <v>327</v>
      </c>
      <c r="BB163" t="s">
        <v>328</v>
      </c>
      <c r="BC163" t="s">
        <v>218</v>
      </c>
      <c r="BD163" t="s">
        <v>220</v>
      </c>
      <c r="BE163">
        <v>2</v>
      </c>
      <c r="BF163">
        <v>7</v>
      </c>
      <c r="BG163">
        <v>3.5</v>
      </c>
      <c r="BH163">
        <v>2.5</v>
      </c>
      <c r="BI163">
        <v>1</v>
      </c>
      <c r="BJ163" t="s">
        <v>222</v>
      </c>
      <c r="BK163">
        <v>2</v>
      </c>
      <c r="BL163">
        <v>3</v>
      </c>
      <c r="BM163">
        <v>3</v>
      </c>
      <c r="BN163">
        <v>2</v>
      </c>
      <c r="BO163">
        <v>3.5</v>
      </c>
    </row>
    <row r="164" spans="1:67" x14ac:dyDescent="0.25">
      <c r="A164">
        <v>41</v>
      </c>
      <c r="B164" t="s">
        <v>384</v>
      </c>
      <c r="C164" t="s">
        <v>387</v>
      </c>
      <c r="D164">
        <v>16431</v>
      </c>
      <c r="E164" t="s">
        <v>215</v>
      </c>
      <c r="F164" t="s">
        <v>12</v>
      </c>
      <c r="G164" s="2">
        <v>31</v>
      </c>
      <c r="H164" s="3">
        <v>29</v>
      </c>
      <c r="I164" s="4">
        <f t="shared" si="37"/>
        <v>7.5</v>
      </c>
      <c r="J164">
        <f t="shared" si="32"/>
        <v>9</v>
      </c>
      <c r="K164" s="2">
        <v>61</v>
      </c>
      <c r="L164">
        <f t="shared" si="38"/>
        <v>78</v>
      </c>
      <c r="M164" s="2">
        <v>37.5</v>
      </c>
      <c r="N164" s="3">
        <v>38.5</v>
      </c>
      <c r="O164" s="4">
        <f t="shared" si="39"/>
        <v>9.5</v>
      </c>
      <c r="P164">
        <f t="shared" si="33"/>
        <v>9.5</v>
      </c>
      <c r="Q164" s="2">
        <v>72.5</v>
      </c>
      <c r="R164">
        <f t="shared" si="40"/>
        <v>92</v>
      </c>
      <c r="S164" s="2">
        <v>20</v>
      </c>
      <c r="T164" s="3">
        <v>33</v>
      </c>
      <c r="U164" s="4">
        <f t="shared" si="41"/>
        <v>7</v>
      </c>
      <c r="V164">
        <f t="shared" si="34"/>
        <v>8</v>
      </c>
      <c r="W164" s="2">
        <v>63.5</v>
      </c>
      <c r="X164">
        <f t="shared" si="42"/>
        <v>79</v>
      </c>
      <c r="Y164" s="2">
        <v>35.5</v>
      </c>
      <c r="Z164" s="3">
        <v>39.5</v>
      </c>
      <c r="AA164" s="4">
        <f t="shared" si="43"/>
        <v>9.5</v>
      </c>
      <c r="AB164">
        <f t="shared" si="35"/>
        <v>9</v>
      </c>
      <c r="AC164" s="2">
        <v>74</v>
      </c>
      <c r="AD164">
        <f t="shared" si="44"/>
        <v>93</v>
      </c>
      <c r="AE164" s="2">
        <v>36</v>
      </c>
      <c r="AF164" s="3">
        <v>36.5</v>
      </c>
      <c r="AG164" s="4">
        <f t="shared" si="45"/>
        <v>9.5</v>
      </c>
      <c r="AH164">
        <f t="shared" si="36"/>
        <v>8.5</v>
      </c>
      <c r="AI164" s="2">
        <v>74</v>
      </c>
      <c r="AJ164">
        <f t="shared" si="46"/>
        <v>92</v>
      </c>
      <c r="AK164" s="2">
        <v>20.5</v>
      </c>
      <c r="AL164" s="3">
        <v>21</v>
      </c>
      <c r="AM164" s="4">
        <v>23</v>
      </c>
      <c r="AN164" s="2">
        <v>8</v>
      </c>
      <c r="AO164" s="3">
        <v>21</v>
      </c>
      <c r="AP164" s="4">
        <v>37</v>
      </c>
      <c r="AQ164">
        <v>8</v>
      </c>
      <c r="AR164">
        <v>8.5</v>
      </c>
      <c r="AS164">
        <v>10</v>
      </c>
      <c r="AT164">
        <v>12</v>
      </c>
      <c r="AU164">
        <f t="shared" si="47"/>
        <v>6</v>
      </c>
      <c r="AV164" t="s">
        <v>230</v>
      </c>
      <c r="AW164" t="s">
        <v>322</v>
      </c>
      <c r="AX164" t="s">
        <v>232</v>
      </c>
      <c r="AY164" t="s">
        <v>240</v>
      </c>
      <c r="AZ164" t="s">
        <v>329</v>
      </c>
      <c r="BA164" t="s">
        <v>327</v>
      </c>
      <c r="BB164" t="s">
        <v>328</v>
      </c>
      <c r="BC164" t="s">
        <v>218</v>
      </c>
      <c r="BD164" t="s">
        <v>220</v>
      </c>
      <c r="BE164">
        <v>9</v>
      </c>
      <c r="BF164">
        <v>10</v>
      </c>
      <c r="BG164">
        <v>10</v>
      </c>
      <c r="BH164">
        <v>10</v>
      </c>
      <c r="BI164">
        <v>8</v>
      </c>
      <c r="BJ164" t="s">
        <v>222</v>
      </c>
      <c r="BK164">
        <v>8</v>
      </c>
      <c r="BL164">
        <v>9</v>
      </c>
      <c r="BM164">
        <v>8</v>
      </c>
      <c r="BN164">
        <v>8</v>
      </c>
      <c r="BO164">
        <v>7.5</v>
      </c>
    </row>
    <row r="165" spans="1:67" x14ac:dyDescent="0.25">
      <c r="A165">
        <v>1</v>
      </c>
      <c r="B165" t="s">
        <v>384</v>
      </c>
      <c r="C165" t="s">
        <v>388</v>
      </c>
      <c r="D165">
        <v>17203</v>
      </c>
      <c r="E165" t="s">
        <v>18</v>
      </c>
      <c r="F165" t="s">
        <v>12</v>
      </c>
      <c r="G165" s="2">
        <v>23.5</v>
      </c>
      <c r="H165" s="3">
        <v>23.5</v>
      </c>
      <c r="I165" s="4">
        <f t="shared" si="37"/>
        <v>6</v>
      </c>
      <c r="J165">
        <f t="shared" si="32"/>
        <v>7</v>
      </c>
      <c r="K165" s="2">
        <v>38</v>
      </c>
      <c r="L165">
        <f t="shared" si="38"/>
        <v>51</v>
      </c>
      <c r="M165" s="2" t="s">
        <v>14</v>
      </c>
      <c r="N165" s="3" t="s">
        <v>14</v>
      </c>
      <c r="O165" s="4">
        <f t="shared" si="39"/>
        <v>0</v>
      </c>
      <c r="P165">
        <f t="shared" si="33"/>
        <v>7.5</v>
      </c>
      <c r="Q165" s="2">
        <v>24.5</v>
      </c>
      <c r="R165">
        <f t="shared" si="40"/>
        <v>32</v>
      </c>
      <c r="S165" s="2">
        <v>24.5</v>
      </c>
      <c r="T165" s="3">
        <v>13.5</v>
      </c>
      <c r="U165" s="4">
        <f t="shared" si="41"/>
        <v>5</v>
      </c>
      <c r="V165">
        <f t="shared" si="34"/>
        <v>5</v>
      </c>
      <c r="W165" s="2">
        <v>35</v>
      </c>
      <c r="X165">
        <f t="shared" si="42"/>
        <v>45</v>
      </c>
      <c r="Y165" s="2">
        <v>21</v>
      </c>
      <c r="Z165" s="3">
        <v>25</v>
      </c>
      <c r="AA165" s="4">
        <f t="shared" si="43"/>
        <v>6</v>
      </c>
      <c r="AB165">
        <f t="shared" si="35"/>
        <v>6.5</v>
      </c>
      <c r="AC165" s="2">
        <v>42</v>
      </c>
      <c r="AD165">
        <f t="shared" si="44"/>
        <v>55</v>
      </c>
      <c r="AE165" s="2">
        <v>24</v>
      </c>
      <c r="AF165" s="3">
        <v>24.5</v>
      </c>
      <c r="AG165" s="4">
        <f t="shared" si="45"/>
        <v>6.5</v>
      </c>
      <c r="AH165">
        <f t="shared" si="36"/>
        <v>7.5</v>
      </c>
      <c r="AI165" s="2">
        <v>43</v>
      </c>
      <c r="AJ165">
        <f t="shared" si="46"/>
        <v>57</v>
      </c>
      <c r="AK165" s="2">
        <v>22</v>
      </c>
      <c r="AL165" s="3">
        <v>21</v>
      </c>
      <c r="AM165" s="4">
        <v>24</v>
      </c>
      <c r="AN165" s="2">
        <v>10</v>
      </c>
      <c r="AO165" s="3">
        <v>13</v>
      </c>
      <c r="AP165" s="4">
        <v>28.5</v>
      </c>
      <c r="AQ165">
        <v>8</v>
      </c>
      <c r="AR165">
        <v>1</v>
      </c>
      <c r="AS165">
        <v>2</v>
      </c>
      <c r="AT165">
        <v>6</v>
      </c>
      <c r="AU165">
        <f t="shared" si="47"/>
        <v>3</v>
      </c>
      <c r="AV165" t="s">
        <v>230</v>
      </c>
      <c r="AW165" t="s">
        <v>231</v>
      </c>
      <c r="AX165" t="s">
        <v>232</v>
      </c>
      <c r="AY165" t="s">
        <v>285</v>
      </c>
      <c r="AZ165" t="s">
        <v>349</v>
      </c>
      <c r="BA165" t="s">
        <v>235</v>
      </c>
      <c r="BB165" t="s">
        <v>276</v>
      </c>
      <c r="BC165" t="s">
        <v>218</v>
      </c>
      <c r="BD165" t="s">
        <v>220</v>
      </c>
      <c r="BE165">
        <v>8</v>
      </c>
      <c r="BF165">
        <v>8</v>
      </c>
      <c r="BG165">
        <v>7</v>
      </c>
      <c r="BH165">
        <v>8.5</v>
      </c>
      <c r="BI165">
        <v>6.5</v>
      </c>
      <c r="BJ165" t="s">
        <v>222</v>
      </c>
      <c r="BK165">
        <v>7</v>
      </c>
      <c r="BL165">
        <v>7</v>
      </c>
      <c r="BM165">
        <v>6</v>
      </c>
      <c r="BN165">
        <v>5.5</v>
      </c>
      <c r="BO165">
        <v>3.5</v>
      </c>
    </row>
    <row r="166" spans="1:67" x14ac:dyDescent="0.25">
      <c r="A166">
        <v>2</v>
      </c>
      <c r="B166" t="s">
        <v>384</v>
      </c>
      <c r="C166" t="s">
        <v>388</v>
      </c>
      <c r="D166">
        <v>16269</v>
      </c>
      <c r="E166" t="s">
        <v>23</v>
      </c>
      <c r="F166" t="s">
        <v>12</v>
      </c>
      <c r="G166" s="2">
        <v>3</v>
      </c>
      <c r="H166" s="3">
        <v>4</v>
      </c>
      <c r="I166" s="4">
        <f t="shared" si="37"/>
        <v>1</v>
      </c>
      <c r="J166">
        <f t="shared" si="32"/>
        <v>4</v>
      </c>
      <c r="K166" s="2">
        <v>6.5</v>
      </c>
      <c r="L166">
        <f t="shared" si="38"/>
        <v>12</v>
      </c>
      <c r="M166" s="2">
        <v>14</v>
      </c>
      <c r="N166" s="3">
        <v>12</v>
      </c>
      <c r="O166" s="4">
        <f t="shared" si="39"/>
        <v>3.5</v>
      </c>
      <c r="P166">
        <f t="shared" si="33"/>
        <v>4</v>
      </c>
      <c r="Q166" s="2">
        <v>12</v>
      </c>
      <c r="R166">
        <f t="shared" si="40"/>
        <v>20</v>
      </c>
      <c r="S166" s="2">
        <v>1</v>
      </c>
      <c r="T166" s="3">
        <v>1</v>
      </c>
      <c r="U166" s="4">
        <f t="shared" si="41"/>
        <v>0.5</v>
      </c>
      <c r="V166">
        <f t="shared" si="34"/>
        <v>0.5</v>
      </c>
      <c r="W166" s="2">
        <v>4.5</v>
      </c>
      <c r="X166">
        <f t="shared" si="42"/>
        <v>6</v>
      </c>
      <c r="Y166" s="2">
        <v>5.5</v>
      </c>
      <c r="Z166" s="3">
        <v>7.5</v>
      </c>
      <c r="AA166" s="4">
        <f t="shared" si="43"/>
        <v>2</v>
      </c>
      <c r="AB166">
        <f t="shared" si="35"/>
        <v>4</v>
      </c>
      <c r="AC166" s="2">
        <v>11.5</v>
      </c>
      <c r="AD166">
        <f t="shared" si="44"/>
        <v>18</v>
      </c>
      <c r="AE166" s="2">
        <v>8</v>
      </c>
      <c r="AF166" s="3">
        <v>9.5</v>
      </c>
      <c r="AG166" s="4">
        <f t="shared" si="45"/>
        <v>2.5</v>
      </c>
      <c r="AH166">
        <f t="shared" si="36"/>
        <v>2.5</v>
      </c>
      <c r="AI166" s="2">
        <v>10</v>
      </c>
      <c r="AJ166">
        <f t="shared" si="46"/>
        <v>15</v>
      </c>
      <c r="AK166" s="2">
        <v>2</v>
      </c>
      <c r="AL166" s="3">
        <v>2</v>
      </c>
      <c r="AM166" s="4">
        <v>1</v>
      </c>
      <c r="AN166" s="2">
        <v>5</v>
      </c>
      <c r="AO166" s="3">
        <v>11</v>
      </c>
      <c r="AP166" s="4">
        <v>24</v>
      </c>
      <c r="AQ166">
        <v>8</v>
      </c>
      <c r="AR166">
        <v>1</v>
      </c>
      <c r="AS166">
        <v>1</v>
      </c>
      <c r="AT166">
        <v>2</v>
      </c>
      <c r="AU166">
        <f t="shared" si="47"/>
        <v>1</v>
      </c>
      <c r="AV166" t="s">
        <v>230</v>
      </c>
      <c r="AW166" t="s">
        <v>231</v>
      </c>
      <c r="AX166" t="s">
        <v>237</v>
      </c>
      <c r="AY166" t="s">
        <v>253</v>
      </c>
      <c r="AZ166" t="s">
        <v>278</v>
      </c>
      <c r="BA166" t="s">
        <v>235</v>
      </c>
      <c r="BB166" t="s">
        <v>276</v>
      </c>
      <c r="BC166" t="s">
        <v>218</v>
      </c>
      <c r="BD166" t="s">
        <v>220</v>
      </c>
      <c r="BE166">
        <v>3</v>
      </c>
      <c r="BF166">
        <v>5</v>
      </c>
      <c r="BG166">
        <v>3</v>
      </c>
      <c r="BH166">
        <v>6.5</v>
      </c>
      <c r="BI166">
        <v>1</v>
      </c>
      <c r="BJ166" t="s">
        <v>222</v>
      </c>
      <c r="BK166">
        <v>2</v>
      </c>
      <c r="BL166">
        <v>3</v>
      </c>
      <c r="BM166">
        <v>5</v>
      </c>
      <c r="BN166">
        <v>1.5</v>
      </c>
      <c r="BO166">
        <v>0</v>
      </c>
    </row>
    <row r="167" spans="1:67" x14ac:dyDescent="0.25">
      <c r="A167">
        <v>3</v>
      </c>
      <c r="B167" t="s">
        <v>384</v>
      </c>
      <c r="C167" t="s">
        <v>388</v>
      </c>
      <c r="D167">
        <v>16238</v>
      </c>
      <c r="E167" t="s">
        <v>28</v>
      </c>
      <c r="F167" t="s">
        <v>12</v>
      </c>
      <c r="G167" s="2">
        <v>24.5</v>
      </c>
      <c r="H167" s="3">
        <v>29</v>
      </c>
      <c r="I167" s="4">
        <f t="shared" si="37"/>
        <v>7</v>
      </c>
      <c r="J167">
        <f t="shared" si="32"/>
        <v>3.5</v>
      </c>
      <c r="K167" s="2">
        <v>47.5</v>
      </c>
      <c r="L167">
        <f t="shared" si="38"/>
        <v>58</v>
      </c>
      <c r="M167" s="2">
        <v>30.5</v>
      </c>
      <c r="N167" s="3">
        <v>33</v>
      </c>
      <c r="O167" s="4">
        <f t="shared" si="39"/>
        <v>8</v>
      </c>
      <c r="P167">
        <f t="shared" si="33"/>
        <v>7</v>
      </c>
      <c r="Q167" s="2">
        <v>67</v>
      </c>
      <c r="R167">
        <f t="shared" si="40"/>
        <v>82</v>
      </c>
      <c r="S167" s="2">
        <v>25</v>
      </c>
      <c r="T167" s="3">
        <v>28</v>
      </c>
      <c r="U167" s="4">
        <f t="shared" si="41"/>
        <v>7</v>
      </c>
      <c r="V167">
        <f t="shared" si="34"/>
        <v>6.5</v>
      </c>
      <c r="W167" s="2">
        <v>51</v>
      </c>
      <c r="X167">
        <f t="shared" si="42"/>
        <v>65</v>
      </c>
      <c r="Y167" s="2">
        <v>20.5</v>
      </c>
      <c r="Z167" s="3">
        <v>31.5</v>
      </c>
      <c r="AA167" s="4">
        <f t="shared" si="43"/>
        <v>6.5</v>
      </c>
      <c r="AB167">
        <f t="shared" si="35"/>
        <v>9</v>
      </c>
      <c r="AC167" s="2">
        <v>50</v>
      </c>
      <c r="AD167">
        <f t="shared" si="44"/>
        <v>66</v>
      </c>
      <c r="AE167" s="2">
        <v>26</v>
      </c>
      <c r="AF167" s="3">
        <v>26.5</v>
      </c>
      <c r="AG167" s="4">
        <f t="shared" si="45"/>
        <v>7</v>
      </c>
      <c r="AH167">
        <f t="shared" si="36"/>
        <v>6</v>
      </c>
      <c r="AI167" s="2">
        <v>47</v>
      </c>
      <c r="AJ167">
        <f t="shared" si="46"/>
        <v>60</v>
      </c>
      <c r="AK167" s="2">
        <v>19</v>
      </c>
      <c r="AL167" s="3">
        <v>10.5</v>
      </c>
      <c r="AM167" s="4">
        <v>13.5</v>
      </c>
      <c r="AN167" s="2">
        <v>5</v>
      </c>
      <c r="AO167" s="3">
        <v>13</v>
      </c>
      <c r="AP167" s="4">
        <v>25</v>
      </c>
      <c r="AQ167">
        <v>8</v>
      </c>
      <c r="AR167">
        <v>8.5</v>
      </c>
      <c r="AS167">
        <v>10</v>
      </c>
      <c r="AT167">
        <v>3</v>
      </c>
      <c r="AU167">
        <f t="shared" si="47"/>
        <v>1.5</v>
      </c>
      <c r="AV167" t="s">
        <v>230</v>
      </c>
      <c r="AW167" t="s">
        <v>231</v>
      </c>
      <c r="AX167" t="s">
        <v>232</v>
      </c>
      <c r="AY167" t="s">
        <v>249</v>
      </c>
      <c r="AZ167" t="s">
        <v>350</v>
      </c>
      <c r="BA167" t="s">
        <v>351</v>
      </c>
      <c r="BB167" t="s">
        <v>235</v>
      </c>
      <c r="BC167" t="s">
        <v>218</v>
      </c>
      <c r="BD167" t="s">
        <v>220</v>
      </c>
      <c r="BE167">
        <v>7</v>
      </c>
      <c r="BF167">
        <v>8</v>
      </c>
      <c r="BG167">
        <v>10</v>
      </c>
      <c r="BH167" t="s">
        <v>221</v>
      </c>
      <c r="BI167">
        <v>5</v>
      </c>
      <c r="BJ167" t="s">
        <v>222</v>
      </c>
      <c r="BK167">
        <v>5</v>
      </c>
      <c r="BL167">
        <v>6</v>
      </c>
      <c r="BM167">
        <v>8</v>
      </c>
      <c r="BN167">
        <v>7</v>
      </c>
      <c r="BO167">
        <v>8</v>
      </c>
    </row>
    <row r="168" spans="1:67" x14ac:dyDescent="0.25">
      <c r="A168">
        <v>4</v>
      </c>
      <c r="B168" t="s">
        <v>384</v>
      </c>
      <c r="C168" t="s">
        <v>388</v>
      </c>
      <c r="D168">
        <v>17391</v>
      </c>
      <c r="E168" t="s">
        <v>34</v>
      </c>
      <c r="F168" t="s">
        <v>12</v>
      </c>
      <c r="G168" s="2">
        <v>35.5</v>
      </c>
      <c r="H168" s="3">
        <v>33</v>
      </c>
      <c r="I168" s="4">
        <f t="shared" si="37"/>
        <v>9</v>
      </c>
      <c r="J168">
        <f t="shared" si="32"/>
        <v>9.5</v>
      </c>
      <c r="K168" s="2">
        <v>68</v>
      </c>
      <c r="L168">
        <f t="shared" si="38"/>
        <v>87</v>
      </c>
      <c r="M168" s="2">
        <v>29</v>
      </c>
      <c r="N168" s="3">
        <v>35</v>
      </c>
      <c r="O168" s="4">
        <f t="shared" si="39"/>
        <v>8</v>
      </c>
      <c r="P168">
        <f t="shared" si="33"/>
        <v>10</v>
      </c>
      <c r="Q168" s="2">
        <v>65.5</v>
      </c>
      <c r="R168">
        <f t="shared" si="40"/>
        <v>84</v>
      </c>
      <c r="S168" s="2">
        <v>37</v>
      </c>
      <c r="T168" s="3">
        <v>39.5</v>
      </c>
      <c r="U168" s="4">
        <f t="shared" si="41"/>
        <v>10</v>
      </c>
      <c r="V168">
        <f t="shared" si="34"/>
        <v>8</v>
      </c>
      <c r="W168" s="2">
        <v>71.5</v>
      </c>
      <c r="X168">
        <f t="shared" si="42"/>
        <v>90</v>
      </c>
      <c r="Y168" s="2">
        <v>36</v>
      </c>
      <c r="Z168" s="3">
        <v>39</v>
      </c>
      <c r="AA168" s="4">
        <f t="shared" si="43"/>
        <v>9.5</v>
      </c>
      <c r="AB168">
        <f t="shared" si="35"/>
        <v>9</v>
      </c>
      <c r="AC168" s="2">
        <v>69</v>
      </c>
      <c r="AD168">
        <f t="shared" si="44"/>
        <v>88</v>
      </c>
      <c r="AE168" s="2">
        <v>31</v>
      </c>
      <c r="AF168" s="3">
        <v>39.5</v>
      </c>
      <c r="AG168" s="4">
        <f t="shared" si="45"/>
        <v>9</v>
      </c>
      <c r="AH168">
        <f t="shared" si="36"/>
        <v>9</v>
      </c>
      <c r="AI168" s="2">
        <v>69</v>
      </c>
      <c r="AJ168">
        <f t="shared" si="46"/>
        <v>87</v>
      </c>
      <c r="AK168" s="2">
        <v>23</v>
      </c>
      <c r="AL168" s="3">
        <v>22.5</v>
      </c>
      <c r="AM168" s="4">
        <v>23</v>
      </c>
      <c r="AN168" s="2">
        <v>6</v>
      </c>
      <c r="AO168" s="3">
        <v>24</v>
      </c>
      <c r="AP168" s="4">
        <v>36.5</v>
      </c>
      <c r="AQ168">
        <v>8</v>
      </c>
      <c r="AR168">
        <v>9</v>
      </c>
      <c r="AS168">
        <v>10</v>
      </c>
      <c r="AT168">
        <v>7</v>
      </c>
      <c r="AU168">
        <f t="shared" si="47"/>
        <v>3.5</v>
      </c>
      <c r="AV168" t="s">
        <v>230</v>
      </c>
      <c r="AW168" t="s">
        <v>231</v>
      </c>
      <c r="AX168" t="s">
        <v>232</v>
      </c>
      <c r="AY168" t="s">
        <v>233</v>
      </c>
      <c r="AZ168" t="s">
        <v>352</v>
      </c>
      <c r="BA168" t="s">
        <v>235</v>
      </c>
      <c r="BB168" t="s">
        <v>276</v>
      </c>
      <c r="BC168" t="s">
        <v>218</v>
      </c>
      <c r="BD168" t="s">
        <v>220</v>
      </c>
      <c r="BE168">
        <v>9</v>
      </c>
      <c r="BF168">
        <v>10</v>
      </c>
      <c r="BG168">
        <v>9.5</v>
      </c>
      <c r="BH168">
        <v>9.5</v>
      </c>
      <c r="BI168">
        <v>7</v>
      </c>
      <c r="BJ168" t="s">
        <v>222</v>
      </c>
      <c r="BK168">
        <v>9</v>
      </c>
      <c r="BL168">
        <v>9.5</v>
      </c>
      <c r="BM168">
        <v>8.5</v>
      </c>
      <c r="BN168">
        <v>9</v>
      </c>
      <c r="BO168">
        <v>9</v>
      </c>
    </row>
    <row r="169" spans="1:67" x14ac:dyDescent="0.25">
      <c r="A169">
        <v>5</v>
      </c>
      <c r="B169" t="s">
        <v>384</v>
      </c>
      <c r="C169" t="s">
        <v>388</v>
      </c>
      <c r="D169">
        <v>17205</v>
      </c>
      <c r="E169" t="s">
        <v>39</v>
      </c>
      <c r="F169" t="s">
        <v>12</v>
      </c>
      <c r="G169" s="2">
        <v>27</v>
      </c>
      <c r="H169" s="3">
        <v>25</v>
      </c>
      <c r="I169" s="4">
        <f t="shared" si="37"/>
        <v>6.5</v>
      </c>
      <c r="J169">
        <f t="shared" si="32"/>
        <v>7</v>
      </c>
      <c r="K169" s="2">
        <v>52</v>
      </c>
      <c r="L169">
        <f t="shared" si="38"/>
        <v>66</v>
      </c>
      <c r="M169" s="2">
        <v>33.5</v>
      </c>
      <c r="N169" s="3">
        <v>35</v>
      </c>
      <c r="O169" s="4">
        <f t="shared" si="39"/>
        <v>9</v>
      </c>
      <c r="P169">
        <f t="shared" si="33"/>
        <v>10</v>
      </c>
      <c r="Q169" s="2">
        <v>68.5</v>
      </c>
      <c r="R169">
        <f t="shared" si="40"/>
        <v>88</v>
      </c>
      <c r="S169" s="2">
        <v>26</v>
      </c>
      <c r="T169" s="3">
        <v>24</v>
      </c>
      <c r="U169" s="4">
        <f t="shared" si="41"/>
        <v>6.5</v>
      </c>
      <c r="V169">
        <f t="shared" si="34"/>
        <v>7</v>
      </c>
      <c r="W169" s="2" t="s">
        <v>32</v>
      </c>
      <c r="X169">
        <f t="shared" si="42"/>
        <v>14</v>
      </c>
      <c r="Y169" s="2">
        <v>27</v>
      </c>
      <c r="Z169" s="3">
        <v>32.5</v>
      </c>
      <c r="AA169" s="4">
        <f t="shared" si="43"/>
        <v>7.5</v>
      </c>
      <c r="AB169">
        <f t="shared" si="35"/>
        <v>8.5</v>
      </c>
      <c r="AC169" s="2">
        <v>59</v>
      </c>
      <c r="AD169">
        <f t="shared" si="44"/>
        <v>75</v>
      </c>
      <c r="AE169" s="2">
        <v>21.5</v>
      </c>
      <c r="AF169" s="3">
        <v>16.5</v>
      </c>
      <c r="AG169" s="4">
        <f t="shared" si="45"/>
        <v>5</v>
      </c>
      <c r="AH169">
        <f t="shared" si="36"/>
        <v>4</v>
      </c>
      <c r="AI169" s="2">
        <v>54</v>
      </c>
      <c r="AJ169">
        <f t="shared" si="46"/>
        <v>63</v>
      </c>
      <c r="AK169" s="2">
        <v>23.5</v>
      </c>
      <c r="AL169" s="3">
        <v>22</v>
      </c>
      <c r="AM169" s="4">
        <v>24</v>
      </c>
      <c r="AN169" s="2">
        <v>10</v>
      </c>
      <c r="AO169" s="3">
        <v>15</v>
      </c>
      <c r="AP169" s="4">
        <v>20</v>
      </c>
      <c r="AQ169">
        <v>8</v>
      </c>
      <c r="AR169">
        <v>8</v>
      </c>
      <c r="AS169">
        <v>10</v>
      </c>
      <c r="AT169">
        <v>6</v>
      </c>
      <c r="AU169">
        <f t="shared" si="47"/>
        <v>3</v>
      </c>
      <c r="AV169" t="s">
        <v>230</v>
      </c>
      <c r="AW169" t="s">
        <v>231</v>
      </c>
      <c r="AX169" t="s">
        <v>232</v>
      </c>
      <c r="AY169" t="s">
        <v>254</v>
      </c>
      <c r="AZ169" t="s">
        <v>353</v>
      </c>
      <c r="BA169" t="s">
        <v>235</v>
      </c>
      <c r="BB169" t="s">
        <v>276</v>
      </c>
      <c r="BC169" t="s">
        <v>218</v>
      </c>
      <c r="BD169" t="s">
        <v>220</v>
      </c>
      <c r="BE169" t="s">
        <v>14</v>
      </c>
      <c r="BF169">
        <v>10</v>
      </c>
      <c r="BG169">
        <v>10</v>
      </c>
      <c r="BH169">
        <v>7</v>
      </c>
      <c r="BI169">
        <v>6</v>
      </c>
      <c r="BJ169" t="s">
        <v>222</v>
      </c>
      <c r="BK169">
        <v>7.5</v>
      </c>
      <c r="BL169">
        <v>10</v>
      </c>
      <c r="BM169">
        <v>6.5</v>
      </c>
      <c r="BN169">
        <v>6.5</v>
      </c>
      <c r="BO169">
        <v>8</v>
      </c>
    </row>
    <row r="170" spans="1:67" x14ac:dyDescent="0.25">
      <c r="A170">
        <v>6</v>
      </c>
      <c r="B170" t="s">
        <v>384</v>
      </c>
      <c r="C170" t="s">
        <v>388</v>
      </c>
      <c r="D170">
        <v>16150</v>
      </c>
      <c r="E170" t="s">
        <v>44</v>
      </c>
      <c r="F170" t="s">
        <v>12</v>
      </c>
      <c r="G170" s="2">
        <v>36</v>
      </c>
      <c r="H170" s="3">
        <v>34.5</v>
      </c>
      <c r="I170" s="4">
        <f t="shared" si="37"/>
        <v>9</v>
      </c>
      <c r="J170">
        <f t="shared" si="32"/>
        <v>10</v>
      </c>
      <c r="K170" s="2">
        <v>67</v>
      </c>
      <c r="L170">
        <f t="shared" si="38"/>
        <v>86</v>
      </c>
      <c r="M170" s="2">
        <v>33</v>
      </c>
      <c r="N170" s="3">
        <v>34</v>
      </c>
      <c r="O170" s="4">
        <f t="shared" si="39"/>
        <v>8.5</v>
      </c>
      <c r="P170">
        <f t="shared" si="33"/>
        <v>10</v>
      </c>
      <c r="Q170" s="2">
        <v>65.5</v>
      </c>
      <c r="R170">
        <f t="shared" si="40"/>
        <v>84</v>
      </c>
      <c r="S170" s="2">
        <v>38</v>
      </c>
      <c r="T170" s="3">
        <v>34.5</v>
      </c>
      <c r="U170" s="4">
        <f t="shared" si="41"/>
        <v>9.5</v>
      </c>
      <c r="V170">
        <f t="shared" si="34"/>
        <v>8.5</v>
      </c>
      <c r="W170" s="2">
        <v>65.5</v>
      </c>
      <c r="X170">
        <f t="shared" si="42"/>
        <v>84</v>
      </c>
      <c r="Y170" s="2">
        <v>37.5</v>
      </c>
      <c r="Z170" s="3">
        <v>39.5</v>
      </c>
      <c r="AA170" s="4">
        <f t="shared" si="43"/>
        <v>10</v>
      </c>
      <c r="AB170">
        <f t="shared" si="35"/>
        <v>9.5</v>
      </c>
      <c r="AC170" s="2">
        <v>66.5</v>
      </c>
      <c r="AD170">
        <f t="shared" si="44"/>
        <v>86</v>
      </c>
      <c r="AE170" s="2">
        <v>38.5</v>
      </c>
      <c r="AF170" s="3">
        <v>38.5</v>
      </c>
      <c r="AG170" s="4">
        <f t="shared" si="45"/>
        <v>10</v>
      </c>
      <c r="AH170">
        <f t="shared" si="36"/>
        <v>9</v>
      </c>
      <c r="AI170" s="2">
        <v>75</v>
      </c>
      <c r="AJ170">
        <f t="shared" si="46"/>
        <v>94</v>
      </c>
      <c r="AK170" s="2">
        <v>24</v>
      </c>
      <c r="AL170" s="3">
        <v>23.5</v>
      </c>
      <c r="AM170" s="4">
        <v>27.5</v>
      </c>
      <c r="AN170" s="2">
        <v>9</v>
      </c>
      <c r="AO170" s="3">
        <v>23</v>
      </c>
      <c r="AP170" s="4">
        <v>33</v>
      </c>
      <c r="AQ170">
        <v>8</v>
      </c>
      <c r="AR170">
        <v>9</v>
      </c>
      <c r="AS170">
        <v>10</v>
      </c>
      <c r="AT170">
        <v>7</v>
      </c>
      <c r="AU170">
        <f t="shared" si="47"/>
        <v>3.5</v>
      </c>
      <c r="AV170" t="s">
        <v>230</v>
      </c>
      <c r="AW170" t="s">
        <v>231</v>
      </c>
      <c r="AX170" t="s">
        <v>232</v>
      </c>
      <c r="AY170" t="s">
        <v>254</v>
      </c>
      <c r="AZ170" t="s">
        <v>354</v>
      </c>
      <c r="BA170" t="s">
        <v>235</v>
      </c>
      <c r="BB170" t="s">
        <v>276</v>
      </c>
      <c r="BC170" t="s">
        <v>218</v>
      </c>
      <c r="BD170" t="s">
        <v>220</v>
      </c>
      <c r="BE170">
        <v>8</v>
      </c>
      <c r="BF170">
        <v>10</v>
      </c>
      <c r="BG170">
        <v>10</v>
      </c>
      <c r="BH170">
        <v>10</v>
      </c>
      <c r="BI170">
        <v>7.5</v>
      </c>
      <c r="BJ170" t="s">
        <v>222</v>
      </c>
      <c r="BK170">
        <v>10</v>
      </c>
      <c r="BL170">
        <v>10</v>
      </c>
      <c r="BM170">
        <v>8.5</v>
      </c>
      <c r="BN170">
        <v>9.5</v>
      </c>
      <c r="BO170">
        <v>9</v>
      </c>
    </row>
    <row r="171" spans="1:67" x14ac:dyDescent="0.25">
      <c r="A171">
        <v>7</v>
      </c>
      <c r="B171" t="s">
        <v>384</v>
      </c>
      <c r="C171" t="s">
        <v>388</v>
      </c>
      <c r="D171">
        <v>16198</v>
      </c>
      <c r="E171" t="s">
        <v>49</v>
      </c>
      <c r="F171" t="s">
        <v>12</v>
      </c>
      <c r="G171" s="2">
        <v>16</v>
      </c>
      <c r="H171" s="3">
        <v>16</v>
      </c>
      <c r="I171" s="4">
        <f t="shared" si="37"/>
        <v>4</v>
      </c>
      <c r="J171">
        <f t="shared" si="32"/>
        <v>5.5</v>
      </c>
      <c r="K171" s="2">
        <v>11</v>
      </c>
      <c r="L171">
        <f t="shared" si="38"/>
        <v>21</v>
      </c>
      <c r="M171" s="2">
        <v>16</v>
      </c>
      <c r="N171" s="3">
        <v>28</v>
      </c>
      <c r="O171" s="4">
        <f t="shared" si="39"/>
        <v>5.5</v>
      </c>
      <c r="P171">
        <f t="shared" si="33"/>
        <v>7</v>
      </c>
      <c r="Q171" s="2">
        <v>48</v>
      </c>
      <c r="R171">
        <f t="shared" si="40"/>
        <v>61</v>
      </c>
      <c r="S171" s="2">
        <v>11</v>
      </c>
      <c r="T171" s="3">
        <v>8</v>
      </c>
      <c r="U171" s="4">
        <f t="shared" si="41"/>
        <v>2.5</v>
      </c>
      <c r="V171">
        <f t="shared" si="34"/>
        <v>3</v>
      </c>
      <c r="W171" s="2">
        <v>27</v>
      </c>
      <c r="X171">
        <f t="shared" si="42"/>
        <v>33</v>
      </c>
      <c r="Y171" s="2">
        <v>16.5</v>
      </c>
      <c r="Z171" s="3">
        <v>28.5</v>
      </c>
      <c r="AA171" s="4">
        <f t="shared" si="43"/>
        <v>6</v>
      </c>
      <c r="AB171">
        <f t="shared" si="35"/>
        <v>7</v>
      </c>
      <c r="AC171" s="2">
        <v>51.5</v>
      </c>
      <c r="AD171">
        <f t="shared" si="44"/>
        <v>65</v>
      </c>
      <c r="AE171" s="2">
        <v>17</v>
      </c>
      <c r="AF171" s="3">
        <v>23.5</v>
      </c>
      <c r="AG171" s="4">
        <f t="shared" si="45"/>
        <v>5.5</v>
      </c>
      <c r="AH171">
        <f t="shared" si="36"/>
        <v>5</v>
      </c>
      <c r="AI171" s="2">
        <v>44</v>
      </c>
      <c r="AJ171">
        <f t="shared" si="46"/>
        <v>55</v>
      </c>
      <c r="AK171" s="2">
        <v>4</v>
      </c>
      <c r="AL171" s="3">
        <v>1.5</v>
      </c>
      <c r="AM171" s="4">
        <v>4.5</v>
      </c>
      <c r="AN171" s="2">
        <v>1.5</v>
      </c>
      <c r="AO171" s="3">
        <v>10</v>
      </c>
      <c r="AP171" s="4">
        <v>20</v>
      </c>
      <c r="AQ171">
        <v>8</v>
      </c>
      <c r="AR171">
        <v>8</v>
      </c>
      <c r="AS171">
        <v>10</v>
      </c>
      <c r="AT171">
        <v>2.5</v>
      </c>
      <c r="AU171">
        <f t="shared" si="47"/>
        <v>1.5</v>
      </c>
      <c r="AV171" t="s">
        <v>230</v>
      </c>
      <c r="AW171" t="s">
        <v>231</v>
      </c>
      <c r="AX171" t="s">
        <v>232</v>
      </c>
      <c r="AY171" t="s">
        <v>233</v>
      </c>
      <c r="AZ171" t="s">
        <v>261</v>
      </c>
      <c r="BA171" t="s">
        <v>235</v>
      </c>
      <c r="BB171" t="s">
        <v>276</v>
      </c>
      <c r="BC171" t="s">
        <v>218</v>
      </c>
      <c r="BD171" t="s">
        <v>220</v>
      </c>
      <c r="BE171">
        <v>2</v>
      </c>
      <c r="BF171">
        <v>9</v>
      </c>
      <c r="BG171">
        <v>7.5</v>
      </c>
      <c r="BH171">
        <v>5</v>
      </c>
      <c r="BI171">
        <v>3.5</v>
      </c>
      <c r="BJ171" t="s">
        <v>222</v>
      </c>
      <c r="BK171">
        <v>8</v>
      </c>
      <c r="BL171">
        <v>5</v>
      </c>
      <c r="BM171">
        <v>6</v>
      </c>
      <c r="BN171">
        <v>5.5</v>
      </c>
      <c r="BO171">
        <v>2.5</v>
      </c>
    </row>
    <row r="172" spans="1:67" x14ac:dyDescent="0.25">
      <c r="A172">
        <v>8</v>
      </c>
      <c r="B172" t="s">
        <v>384</v>
      </c>
      <c r="C172" t="s">
        <v>388</v>
      </c>
      <c r="D172">
        <v>16160</v>
      </c>
      <c r="E172" t="s">
        <v>54</v>
      </c>
      <c r="F172" t="s">
        <v>12</v>
      </c>
      <c r="G172" s="2">
        <v>20.5</v>
      </c>
      <c r="H172" s="3">
        <v>13.5</v>
      </c>
      <c r="I172" s="4">
        <f t="shared" si="37"/>
        <v>4.5</v>
      </c>
      <c r="J172">
        <f t="shared" si="32"/>
        <v>3</v>
      </c>
      <c r="K172" s="2">
        <v>30.5</v>
      </c>
      <c r="L172">
        <f t="shared" si="38"/>
        <v>38</v>
      </c>
      <c r="M172" s="2">
        <v>17</v>
      </c>
      <c r="N172" s="3">
        <v>27</v>
      </c>
      <c r="O172" s="4">
        <f t="shared" si="39"/>
        <v>5.5</v>
      </c>
      <c r="P172">
        <f t="shared" si="33"/>
        <v>7</v>
      </c>
      <c r="Q172" s="2">
        <v>42</v>
      </c>
      <c r="R172">
        <f t="shared" si="40"/>
        <v>55</v>
      </c>
      <c r="S172" s="2">
        <v>10.5</v>
      </c>
      <c r="T172" s="3">
        <v>5.5</v>
      </c>
      <c r="U172" s="4">
        <f t="shared" si="41"/>
        <v>2</v>
      </c>
      <c r="V172">
        <f t="shared" si="34"/>
        <v>4</v>
      </c>
      <c r="W172" s="2">
        <v>27</v>
      </c>
      <c r="X172">
        <f t="shared" si="42"/>
        <v>33</v>
      </c>
      <c r="Y172" s="2">
        <v>11</v>
      </c>
      <c r="Z172" s="3">
        <v>24.5</v>
      </c>
      <c r="AA172" s="4">
        <f t="shared" si="43"/>
        <v>4.5</v>
      </c>
      <c r="AB172">
        <f t="shared" si="35"/>
        <v>6.5</v>
      </c>
      <c r="AC172" s="2">
        <v>45.5</v>
      </c>
      <c r="AD172">
        <f t="shared" si="44"/>
        <v>57</v>
      </c>
      <c r="AE172" s="2">
        <v>7.5</v>
      </c>
      <c r="AF172" s="3">
        <v>13</v>
      </c>
      <c r="AG172" s="4">
        <f t="shared" si="45"/>
        <v>3</v>
      </c>
      <c r="AH172">
        <f t="shared" si="36"/>
        <v>4.5</v>
      </c>
      <c r="AI172" s="2">
        <v>21.5</v>
      </c>
      <c r="AJ172">
        <f t="shared" si="46"/>
        <v>29</v>
      </c>
      <c r="AK172" s="2">
        <v>7</v>
      </c>
      <c r="AL172" s="3">
        <v>10.5</v>
      </c>
      <c r="AM172" s="4">
        <v>10</v>
      </c>
      <c r="AN172" s="2">
        <v>5</v>
      </c>
      <c r="AO172" s="3">
        <v>12</v>
      </c>
      <c r="AP172" s="4">
        <v>21</v>
      </c>
      <c r="AQ172">
        <v>8</v>
      </c>
      <c r="AR172">
        <v>1</v>
      </c>
      <c r="AS172">
        <v>8</v>
      </c>
      <c r="AT172">
        <v>4</v>
      </c>
      <c r="AU172">
        <f t="shared" si="47"/>
        <v>2</v>
      </c>
      <c r="AV172" t="s">
        <v>230</v>
      </c>
      <c r="AW172" t="s">
        <v>231</v>
      </c>
      <c r="AX172" t="s">
        <v>232</v>
      </c>
      <c r="AY172" t="s">
        <v>281</v>
      </c>
      <c r="AZ172" t="s">
        <v>261</v>
      </c>
      <c r="BA172" t="s">
        <v>235</v>
      </c>
      <c r="BB172" t="s">
        <v>276</v>
      </c>
      <c r="BC172" t="s">
        <v>218</v>
      </c>
      <c r="BD172" t="s">
        <v>220</v>
      </c>
      <c r="BE172">
        <v>6</v>
      </c>
      <c r="BF172">
        <v>8</v>
      </c>
      <c r="BG172">
        <v>6</v>
      </c>
      <c r="BH172" t="s">
        <v>221</v>
      </c>
      <c r="BI172">
        <v>3.5</v>
      </c>
      <c r="BJ172" t="s">
        <v>222</v>
      </c>
      <c r="BK172">
        <v>2.5</v>
      </c>
      <c r="BL172">
        <v>6</v>
      </c>
      <c r="BM172">
        <v>7</v>
      </c>
      <c r="BN172">
        <v>6</v>
      </c>
      <c r="BO172">
        <v>4.5</v>
      </c>
    </row>
    <row r="173" spans="1:67" x14ac:dyDescent="0.25">
      <c r="A173">
        <v>9</v>
      </c>
      <c r="B173" t="s">
        <v>384</v>
      </c>
      <c r="C173" t="s">
        <v>388</v>
      </c>
      <c r="D173">
        <v>16152</v>
      </c>
      <c r="E173" t="s">
        <v>59</v>
      </c>
      <c r="F173" t="s">
        <v>12</v>
      </c>
      <c r="G173" s="2">
        <v>31.5</v>
      </c>
      <c r="H173" s="3">
        <v>29</v>
      </c>
      <c r="I173" s="4">
        <f t="shared" si="37"/>
        <v>8</v>
      </c>
      <c r="J173">
        <f t="shared" si="32"/>
        <v>7.5</v>
      </c>
      <c r="K173" s="2">
        <v>56.5</v>
      </c>
      <c r="L173">
        <f t="shared" si="38"/>
        <v>72</v>
      </c>
      <c r="M173" s="2">
        <v>35</v>
      </c>
      <c r="N173" s="3">
        <v>37.5</v>
      </c>
      <c r="O173" s="4">
        <f t="shared" si="39"/>
        <v>9.5</v>
      </c>
      <c r="P173">
        <f t="shared" si="33"/>
        <v>10</v>
      </c>
      <c r="Q173" s="2">
        <v>69</v>
      </c>
      <c r="R173">
        <f t="shared" si="40"/>
        <v>89</v>
      </c>
      <c r="S173" s="2">
        <v>27</v>
      </c>
      <c r="T173" s="3">
        <v>25.5</v>
      </c>
      <c r="U173" s="4">
        <f t="shared" si="41"/>
        <v>7</v>
      </c>
      <c r="V173">
        <f t="shared" si="34"/>
        <v>7.5</v>
      </c>
      <c r="W173" s="2">
        <v>56</v>
      </c>
      <c r="X173">
        <f t="shared" si="42"/>
        <v>71</v>
      </c>
      <c r="Y173" s="2">
        <v>30</v>
      </c>
      <c r="Z173" s="3">
        <v>36.5</v>
      </c>
      <c r="AA173" s="4">
        <f t="shared" si="43"/>
        <v>8.5</v>
      </c>
      <c r="AB173">
        <f t="shared" si="35"/>
        <v>9</v>
      </c>
      <c r="AC173" s="2">
        <v>64</v>
      </c>
      <c r="AD173">
        <f t="shared" si="44"/>
        <v>82</v>
      </c>
      <c r="AE173" s="2">
        <v>26</v>
      </c>
      <c r="AF173" s="3">
        <v>34.5</v>
      </c>
      <c r="AG173" s="4">
        <f t="shared" si="45"/>
        <v>8</v>
      </c>
      <c r="AH173">
        <f t="shared" si="36"/>
        <v>8.5</v>
      </c>
      <c r="AI173" s="2">
        <v>59.5</v>
      </c>
      <c r="AJ173">
        <f t="shared" si="46"/>
        <v>76</v>
      </c>
      <c r="AK173" s="2">
        <v>23.5</v>
      </c>
      <c r="AL173" s="3">
        <v>23</v>
      </c>
      <c r="AM173" s="4">
        <v>25.5</v>
      </c>
      <c r="AN173" s="2">
        <v>9</v>
      </c>
      <c r="AO173" s="3">
        <v>18</v>
      </c>
      <c r="AP173" s="4">
        <v>35</v>
      </c>
      <c r="AQ173">
        <v>8</v>
      </c>
      <c r="AR173">
        <v>9</v>
      </c>
      <c r="AS173">
        <v>10</v>
      </c>
      <c r="AT173">
        <v>6.5</v>
      </c>
      <c r="AU173">
        <f t="shared" si="47"/>
        <v>3.5</v>
      </c>
      <c r="AV173" t="s">
        <v>230</v>
      </c>
      <c r="AW173" t="s">
        <v>231</v>
      </c>
      <c r="AX173" t="s">
        <v>232</v>
      </c>
      <c r="AY173" t="s">
        <v>244</v>
      </c>
      <c r="AZ173" t="s">
        <v>355</v>
      </c>
      <c r="BA173" t="s">
        <v>235</v>
      </c>
      <c r="BB173" t="s">
        <v>276</v>
      </c>
      <c r="BC173" t="s">
        <v>218</v>
      </c>
      <c r="BD173" t="s">
        <v>220</v>
      </c>
      <c r="BE173">
        <v>8</v>
      </c>
      <c r="BF173">
        <v>10</v>
      </c>
      <c r="BG173">
        <v>9</v>
      </c>
      <c r="BH173">
        <v>8</v>
      </c>
      <c r="BI173">
        <v>7</v>
      </c>
      <c r="BJ173" t="s">
        <v>222</v>
      </c>
      <c r="BK173">
        <v>8.5</v>
      </c>
      <c r="BL173">
        <v>10</v>
      </c>
      <c r="BM173">
        <v>8.5</v>
      </c>
      <c r="BN173">
        <v>6.5</v>
      </c>
      <c r="BO173">
        <v>8</v>
      </c>
    </row>
    <row r="174" spans="1:67" x14ac:dyDescent="0.25">
      <c r="A174">
        <v>10</v>
      </c>
      <c r="B174" t="s">
        <v>384</v>
      </c>
      <c r="C174" t="s">
        <v>388</v>
      </c>
      <c r="D174">
        <v>16157</v>
      </c>
      <c r="E174" t="s">
        <v>64</v>
      </c>
      <c r="F174" t="s">
        <v>12</v>
      </c>
      <c r="G174" s="2">
        <v>28.5</v>
      </c>
      <c r="H174" s="3">
        <v>23.5</v>
      </c>
      <c r="I174" s="4">
        <f t="shared" si="37"/>
        <v>6.5</v>
      </c>
      <c r="J174">
        <f t="shared" si="32"/>
        <v>8.5</v>
      </c>
      <c r="K174" s="2">
        <v>54</v>
      </c>
      <c r="L174">
        <f t="shared" si="38"/>
        <v>69</v>
      </c>
      <c r="M174" s="2">
        <v>23.5</v>
      </c>
      <c r="N174" s="3">
        <v>23</v>
      </c>
      <c r="O174" s="4">
        <f t="shared" si="39"/>
        <v>6</v>
      </c>
      <c r="P174">
        <f t="shared" si="33"/>
        <v>8.5</v>
      </c>
      <c r="Q174" s="2">
        <v>55</v>
      </c>
      <c r="R174">
        <f t="shared" si="40"/>
        <v>70</v>
      </c>
      <c r="S174" s="2">
        <v>33.5</v>
      </c>
      <c r="T174" s="3">
        <v>25</v>
      </c>
      <c r="U174" s="4">
        <f t="shared" si="41"/>
        <v>7.5</v>
      </c>
      <c r="V174">
        <f t="shared" si="34"/>
        <v>6</v>
      </c>
      <c r="W174" s="2">
        <v>53</v>
      </c>
      <c r="X174">
        <f t="shared" si="42"/>
        <v>67</v>
      </c>
      <c r="Y174" s="2">
        <v>32</v>
      </c>
      <c r="Z174" s="3">
        <v>30</v>
      </c>
      <c r="AA174" s="4">
        <f t="shared" si="43"/>
        <v>8</v>
      </c>
      <c r="AB174">
        <f t="shared" si="35"/>
        <v>9.5</v>
      </c>
      <c r="AC174" s="2">
        <v>62</v>
      </c>
      <c r="AD174">
        <f t="shared" si="44"/>
        <v>80</v>
      </c>
      <c r="AE174" s="2">
        <v>26.5</v>
      </c>
      <c r="AF174" s="3">
        <v>23</v>
      </c>
      <c r="AG174" s="4">
        <f t="shared" si="45"/>
        <v>6.5</v>
      </c>
      <c r="AH174">
        <f t="shared" si="36"/>
        <v>8</v>
      </c>
      <c r="AI174" s="2">
        <v>57.5</v>
      </c>
      <c r="AJ174">
        <f t="shared" si="46"/>
        <v>72</v>
      </c>
      <c r="AK174" s="2">
        <v>22.5</v>
      </c>
      <c r="AL174" s="3">
        <v>18.5</v>
      </c>
      <c r="AM174" s="4">
        <v>21</v>
      </c>
      <c r="AN174" s="2">
        <v>8</v>
      </c>
      <c r="AO174" s="3">
        <v>17.5</v>
      </c>
      <c r="AP174" s="4">
        <v>32.5</v>
      </c>
      <c r="AQ174">
        <v>8</v>
      </c>
      <c r="AR174">
        <v>8.5</v>
      </c>
      <c r="AS174">
        <v>10</v>
      </c>
      <c r="AT174">
        <v>7</v>
      </c>
      <c r="AU174">
        <f t="shared" si="47"/>
        <v>3.5</v>
      </c>
      <c r="AV174" t="s">
        <v>230</v>
      </c>
      <c r="AW174" t="s">
        <v>231</v>
      </c>
      <c r="AX174" t="s">
        <v>232</v>
      </c>
      <c r="AY174" t="s">
        <v>233</v>
      </c>
      <c r="AZ174" t="s">
        <v>261</v>
      </c>
      <c r="BA174" t="s">
        <v>235</v>
      </c>
      <c r="BB174" t="s">
        <v>276</v>
      </c>
      <c r="BC174" t="s">
        <v>218</v>
      </c>
      <c r="BD174" t="s">
        <v>220</v>
      </c>
      <c r="BE174">
        <v>7.5</v>
      </c>
      <c r="BF174">
        <v>10</v>
      </c>
      <c r="BG174">
        <v>10</v>
      </c>
      <c r="BH174">
        <v>8</v>
      </c>
      <c r="BI174">
        <v>6.5</v>
      </c>
      <c r="BJ174" t="s">
        <v>222</v>
      </c>
      <c r="BK174">
        <v>8</v>
      </c>
      <c r="BL174">
        <v>7</v>
      </c>
      <c r="BM174">
        <v>8.5</v>
      </c>
      <c r="BN174">
        <v>8.5</v>
      </c>
      <c r="BO174">
        <v>5.5</v>
      </c>
    </row>
    <row r="175" spans="1:67" x14ac:dyDescent="0.25">
      <c r="A175">
        <v>11</v>
      </c>
      <c r="B175" t="s">
        <v>384</v>
      </c>
      <c r="C175" t="s">
        <v>388</v>
      </c>
      <c r="D175">
        <v>16571</v>
      </c>
      <c r="E175" t="s">
        <v>69</v>
      </c>
      <c r="F175" t="s">
        <v>12</v>
      </c>
      <c r="G175" s="2">
        <v>23.5</v>
      </c>
      <c r="H175" s="3">
        <v>20.5</v>
      </c>
      <c r="I175" s="4">
        <f t="shared" si="37"/>
        <v>5.5</v>
      </c>
      <c r="J175">
        <f t="shared" si="32"/>
        <v>7.5</v>
      </c>
      <c r="K175" s="2">
        <v>32.5</v>
      </c>
      <c r="L175">
        <f t="shared" si="38"/>
        <v>46</v>
      </c>
      <c r="M175" s="2">
        <v>17</v>
      </c>
      <c r="N175" s="3">
        <v>25</v>
      </c>
      <c r="O175" s="4">
        <f t="shared" si="39"/>
        <v>5.5</v>
      </c>
      <c r="P175">
        <f t="shared" si="33"/>
        <v>6</v>
      </c>
      <c r="Q175" s="2">
        <v>41</v>
      </c>
      <c r="R175">
        <f t="shared" si="40"/>
        <v>53</v>
      </c>
      <c r="S175" s="2">
        <v>25</v>
      </c>
      <c r="T175" s="3">
        <v>28</v>
      </c>
      <c r="U175" s="4">
        <f t="shared" si="41"/>
        <v>7</v>
      </c>
      <c r="V175">
        <f t="shared" si="34"/>
        <v>5.5</v>
      </c>
      <c r="W175" s="2">
        <v>49.5</v>
      </c>
      <c r="X175">
        <f t="shared" si="42"/>
        <v>62</v>
      </c>
      <c r="Y175" s="2">
        <v>16.5</v>
      </c>
      <c r="Z175" s="3">
        <v>26</v>
      </c>
      <c r="AA175" s="4">
        <f t="shared" si="43"/>
        <v>5.5</v>
      </c>
      <c r="AB175">
        <f t="shared" si="35"/>
        <v>4.5</v>
      </c>
      <c r="AC175" s="2">
        <v>39</v>
      </c>
      <c r="AD175">
        <f t="shared" si="44"/>
        <v>49</v>
      </c>
      <c r="AE175" s="2">
        <v>18</v>
      </c>
      <c r="AF175" s="3">
        <v>25</v>
      </c>
      <c r="AG175" s="4">
        <f t="shared" si="45"/>
        <v>5.5</v>
      </c>
      <c r="AH175">
        <f t="shared" si="36"/>
        <v>5</v>
      </c>
      <c r="AI175" s="2">
        <v>35</v>
      </c>
      <c r="AJ175">
        <f t="shared" si="46"/>
        <v>46</v>
      </c>
      <c r="AK175" s="2">
        <v>14</v>
      </c>
      <c r="AL175" s="3">
        <v>15.5</v>
      </c>
      <c r="AM175" s="4">
        <v>13.5</v>
      </c>
      <c r="AN175" s="2">
        <v>7</v>
      </c>
      <c r="AO175" s="3">
        <v>14</v>
      </c>
      <c r="AP175" s="4">
        <v>29.5</v>
      </c>
      <c r="AQ175">
        <v>8</v>
      </c>
      <c r="AR175">
        <v>1</v>
      </c>
      <c r="AS175">
        <v>10</v>
      </c>
      <c r="AT175">
        <v>5</v>
      </c>
      <c r="AU175">
        <f t="shared" si="47"/>
        <v>2.5</v>
      </c>
      <c r="AV175" t="s">
        <v>230</v>
      </c>
      <c r="AW175" t="s">
        <v>231</v>
      </c>
      <c r="AX175" t="s">
        <v>232</v>
      </c>
      <c r="AY175" t="s">
        <v>285</v>
      </c>
      <c r="AZ175" t="s">
        <v>356</v>
      </c>
      <c r="BA175" t="s">
        <v>235</v>
      </c>
      <c r="BB175" t="s">
        <v>276</v>
      </c>
      <c r="BC175" t="s">
        <v>218</v>
      </c>
      <c r="BD175" t="s">
        <v>220</v>
      </c>
      <c r="BE175">
        <v>5</v>
      </c>
      <c r="BF175">
        <v>5</v>
      </c>
      <c r="BG175">
        <v>9</v>
      </c>
      <c r="BH175">
        <v>8.5</v>
      </c>
      <c r="BI175">
        <v>3</v>
      </c>
      <c r="BJ175" t="s">
        <v>222</v>
      </c>
      <c r="BK175">
        <v>5</v>
      </c>
      <c r="BL175">
        <v>7</v>
      </c>
      <c r="BM175" t="s">
        <v>32</v>
      </c>
      <c r="BN175">
        <v>6</v>
      </c>
      <c r="BO175">
        <v>7.5</v>
      </c>
    </row>
    <row r="176" spans="1:67" x14ac:dyDescent="0.25">
      <c r="A176">
        <v>12</v>
      </c>
      <c r="B176" t="s">
        <v>384</v>
      </c>
      <c r="C176" t="s">
        <v>388</v>
      </c>
      <c r="D176">
        <v>17299</v>
      </c>
      <c r="E176" t="s">
        <v>74</v>
      </c>
      <c r="F176" t="s">
        <v>12</v>
      </c>
      <c r="G176" s="2">
        <v>27.5</v>
      </c>
      <c r="H176" s="3">
        <v>25</v>
      </c>
      <c r="I176" s="4">
        <f t="shared" si="37"/>
        <v>7</v>
      </c>
      <c r="J176">
        <f t="shared" si="32"/>
        <v>5</v>
      </c>
      <c r="K176" s="2">
        <v>48.5</v>
      </c>
      <c r="L176">
        <f t="shared" si="38"/>
        <v>61</v>
      </c>
      <c r="M176" s="2">
        <v>26</v>
      </c>
      <c r="N176" s="3">
        <v>25.5</v>
      </c>
      <c r="O176" s="4">
        <f t="shared" si="39"/>
        <v>6.5</v>
      </c>
      <c r="P176">
        <f t="shared" si="33"/>
        <v>9</v>
      </c>
      <c r="Q176" s="2">
        <v>48.5</v>
      </c>
      <c r="R176">
        <f t="shared" si="40"/>
        <v>64</v>
      </c>
      <c r="S176" s="2">
        <v>27</v>
      </c>
      <c r="T176" s="3">
        <v>21.5</v>
      </c>
      <c r="U176" s="4">
        <f t="shared" si="41"/>
        <v>6.5</v>
      </c>
      <c r="V176">
        <f t="shared" si="34"/>
        <v>7.5</v>
      </c>
      <c r="W176" s="2">
        <v>36</v>
      </c>
      <c r="X176">
        <f t="shared" si="42"/>
        <v>50</v>
      </c>
      <c r="Y176" s="2">
        <v>35.5</v>
      </c>
      <c r="Z176" s="3">
        <v>33</v>
      </c>
      <c r="AA176" s="4">
        <f t="shared" si="43"/>
        <v>9</v>
      </c>
      <c r="AB176">
        <f t="shared" si="35"/>
        <v>8.5</v>
      </c>
      <c r="AC176" s="2">
        <v>61</v>
      </c>
      <c r="AD176">
        <f t="shared" si="44"/>
        <v>79</v>
      </c>
      <c r="AE176" s="2">
        <v>28.5</v>
      </c>
      <c r="AF176" s="3">
        <v>24</v>
      </c>
      <c r="AG176" s="4">
        <f t="shared" si="45"/>
        <v>7</v>
      </c>
      <c r="AH176">
        <f t="shared" si="36"/>
        <v>9.5</v>
      </c>
      <c r="AI176" s="2">
        <v>51.5</v>
      </c>
      <c r="AJ176">
        <f t="shared" si="46"/>
        <v>68</v>
      </c>
      <c r="AK176" s="2">
        <v>21.5</v>
      </c>
      <c r="AL176" s="3">
        <v>21</v>
      </c>
      <c r="AM176" s="4">
        <v>18</v>
      </c>
      <c r="AN176" s="2">
        <v>7</v>
      </c>
      <c r="AO176" s="3">
        <v>16</v>
      </c>
      <c r="AP176" s="4">
        <v>32.5</v>
      </c>
      <c r="AQ176">
        <v>8</v>
      </c>
      <c r="AR176">
        <v>7</v>
      </c>
      <c r="AS176">
        <v>10</v>
      </c>
      <c r="AT176">
        <v>6</v>
      </c>
      <c r="AU176">
        <f t="shared" si="47"/>
        <v>3</v>
      </c>
      <c r="AV176" t="s">
        <v>230</v>
      </c>
      <c r="AW176" t="s">
        <v>231</v>
      </c>
      <c r="AX176" t="s">
        <v>232</v>
      </c>
      <c r="AY176" t="s">
        <v>336</v>
      </c>
      <c r="AZ176" t="s">
        <v>353</v>
      </c>
      <c r="BA176" t="s">
        <v>235</v>
      </c>
      <c r="BB176" t="s">
        <v>276</v>
      </c>
      <c r="BC176" t="s">
        <v>218</v>
      </c>
      <c r="BD176" t="s">
        <v>220</v>
      </c>
      <c r="BE176">
        <v>10</v>
      </c>
      <c r="BF176">
        <v>10</v>
      </c>
      <c r="BG176">
        <v>9.5</v>
      </c>
      <c r="BH176">
        <v>10</v>
      </c>
      <c r="BI176">
        <v>6.5</v>
      </c>
      <c r="BJ176" t="s">
        <v>222</v>
      </c>
      <c r="BK176">
        <v>8.5</v>
      </c>
      <c r="BL176">
        <v>8</v>
      </c>
      <c r="BM176">
        <v>7.5</v>
      </c>
      <c r="BN176" t="s">
        <v>32</v>
      </c>
      <c r="BO176">
        <v>8.5</v>
      </c>
    </row>
    <row r="177" spans="1:67" x14ac:dyDescent="0.25">
      <c r="A177">
        <v>13</v>
      </c>
      <c r="B177" t="s">
        <v>384</v>
      </c>
      <c r="C177" t="s">
        <v>388</v>
      </c>
      <c r="D177">
        <v>16570</v>
      </c>
      <c r="E177" t="s">
        <v>79</v>
      </c>
      <c r="F177" t="s">
        <v>12</v>
      </c>
      <c r="G177" s="2">
        <v>22</v>
      </c>
      <c r="H177" s="3">
        <v>15</v>
      </c>
      <c r="I177" s="4">
        <f t="shared" si="37"/>
        <v>5</v>
      </c>
      <c r="J177">
        <f t="shared" si="32"/>
        <v>7</v>
      </c>
      <c r="K177" s="2">
        <v>36</v>
      </c>
      <c r="L177">
        <f t="shared" si="38"/>
        <v>48</v>
      </c>
      <c r="M177" s="2">
        <v>14</v>
      </c>
      <c r="N177" s="3">
        <v>20.5</v>
      </c>
      <c r="O177" s="4">
        <f t="shared" si="39"/>
        <v>4.5</v>
      </c>
      <c r="P177">
        <f t="shared" si="33"/>
        <v>7</v>
      </c>
      <c r="Q177" s="2">
        <v>28</v>
      </c>
      <c r="R177">
        <f t="shared" si="40"/>
        <v>40</v>
      </c>
      <c r="S177" s="2">
        <v>21.5</v>
      </c>
      <c r="T177" s="3">
        <v>17</v>
      </c>
      <c r="U177" s="4">
        <f t="shared" si="41"/>
        <v>5</v>
      </c>
      <c r="V177">
        <f t="shared" si="34"/>
        <v>6.5</v>
      </c>
      <c r="W177" s="2">
        <v>38</v>
      </c>
      <c r="X177">
        <f t="shared" si="42"/>
        <v>50</v>
      </c>
      <c r="Y177" s="2">
        <v>22</v>
      </c>
      <c r="Z177" s="3">
        <v>28</v>
      </c>
      <c r="AA177" s="4">
        <f t="shared" si="43"/>
        <v>6.5</v>
      </c>
      <c r="AB177">
        <f t="shared" si="35"/>
        <v>8.5</v>
      </c>
      <c r="AC177" s="2">
        <v>39.5</v>
      </c>
      <c r="AD177">
        <f t="shared" si="44"/>
        <v>55</v>
      </c>
      <c r="AE177" s="2">
        <v>11</v>
      </c>
      <c r="AF177" s="3">
        <v>13.5</v>
      </c>
      <c r="AG177" s="4">
        <f t="shared" si="45"/>
        <v>3.5</v>
      </c>
      <c r="AH177">
        <f t="shared" si="36"/>
        <v>4</v>
      </c>
      <c r="AI177" s="2">
        <v>19.5</v>
      </c>
      <c r="AJ177">
        <f t="shared" si="46"/>
        <v>27</v>
      </c>
      <c r="AK177" s="2">
        <v>13</v>
      </c>
      <c r="AL177" s="3">
        <v>9.5</v>
      </c>
      <c r="AM177" s="4">
        <v>14</v>
      </c>
      <c r="AN177" s="2">
        <v>9</v>
      </c>
      <c r="AO177" s="3">
        <v>12</v>
      </c>
      <c r="AP177" s="4">
        <v>24</v>
      </c>
      <c r="AQ177">
        <v>8</v>
      </c>
      <c r="AR177">
        <v>8</v>
      </c>
      <c r="AS177">
        <v>8</v>
      </c>
      <c r="AT177">
        <v>6</v>
      </c>
      <c r="AU177">
        <f t="shared" si="47"/>
        <v>3</v>
      </c>
      <c r="AV177" t="s">
        <v>230</v>
      </c>
      <c r="AW177" t="s">
        <v>231</v>
      </c>
      <c r="AX177" t="s">
        <v>232</v>
      </c>
      <c r="AY177" t="s">
        <v>254</v>
      </c>
      <c r="AZ177" t="s">
        <v>261</v>
      </c>
      <c r="BA177" t="s">
        <v>235</v>
      </c>
      <c r="BB177" t="s">
        <v>276</v>
      </c>
      <c r="BC177" t="s">
        <v>218</v>
      </c>
      <c r="BD177" t="s">
        <v>220</v>
      </c>
      <c r="BE177">
        <v>4</v>
      </c>
      <c r="BF177">
        <v>8</v>
      </c>
      <c r="BG177">
        <v>9.5</v>
      </c>
      <c r="BH177">
        <v>7</v>
      </c>
      <c r="BI177">
        <v>5.5</v>
      </c>
      <c r="BJ177" t="s">
        <v>222</v>
      </c>
      <c r="BK177">
        <v>4</v>
      </c>
      <c r="BL177">
        <v>5.5</v>
      </c>
      <c r="BM177">
        <v>7</v>
      </c>
      <c r="BN177">
        <v>6.5</v>
      </c>
      <c r="BO177">
        <v>7.5</v>
      </c>
    </row>
    <row r="178" spans="1:67" x14ac:dyDescent="0.25">
      <c r="A178">
        <v>14</v>
      </c>
      <c r="B178" t="s">
        <v>384</v>
      </c>
      <c r="C178" t="s">
        <v>388</v>
      </c>
      <c r="D178">
        <v>16271</v>
      </c>
      <c r="E178" t="s">
        <v>84</v>
      </c>
      <c r="F178" t="s">
        <v>12</v>
      </c>
      <c r="G178" s="2">
        <v>18.5</v>
      </c>
      <c r="H178" s="3">
        <v>21.5</v>
      </c>
      <c r="I178" s="4">
        <f t="shared" si="37"/>
        <v>5</v>
      </c>
      <c r="J178">
        <f t="shared" si="32"/>
        <v>5</v>
      </c>
      <c r="K178" s="2">
        <v>32.5</v>
      </c>
      <c r="L178">
        <f t="shared" si="38"/>
        <v>43</v>
      </c>
      <c r="M178" s="2">
        <v>30.5</v>
      </c>
      <c r="N178" s="3" t="s">
        <v>14</v>
      </c>
      <c r="O178" s="4">
        <f t="shared" si="39"/>
        <v>4</v>
      </c>
      <c r="P178">
        <f t="shared" si="33"/>
        <v>10</v>
      </c>
      <c r="Q178" s="2">
        <v>46</v>
      </c>
      <c r="R178">
        <f t="shared" si="40"/>
        <v>60</v>
      </c>
      <c r="S178" s="2">
        <v>24</v>
      </c>
      <c r="T178" s="3">
        <v>30</v>
      </c>
      <c r="U178" s="4">
        <f t="shared" si="41"/>
        <v>7</v>
      </c>
      <c r="V178">
        <f t="shared" si="34"/>
        <v>6</v>
      </c>
      <c r="W178" s="2">
        <v>46</v>
      </c>
      <c r="X178">
        <f t="shared" si="42"/>
        <v>59</v>
      </c>
      <c r="Y178" s="2">
        <v>24.5</v>
      </c>
      <c r="Z178" s="3">
        <v>30</v>
      </c>
      <c r="AA178" s="4">
        <f t="shared" si="43"/>
        <v>7</v>
      </c>
      <c r="AB178">
        <f t="shared" si="35"/>
        <v>8.5</v>
      </c>
      <c r="AC178" s="2">
        <v>46</v>
      </c>
      <c r="AD178">
        <f t="shared" si="44"/>
        <v>62</v>
      </c>
      <c r="AE178" s="2">
        <v>18.5</v>
      </c>
      <c r="AF178" s="3">
        <v>22.5</v>
      </c>
      <c r="AG178" s="4">
        <f t="shared" si="45"/>
        <v>5.5</v>
      </c>
      <c r="AH178">
        <f t="shared" si="36"/>
        <v>5.5</v>
      </c>
      <c r="AI178" s="2">
        <v>32.5</v>
      </c>
      <c r="AJ178">
        <f t="shared" si="46"/>
        <v>44</v>
      </c>
      <c r="AK178" s="2">
        <v>13.5</v>
      </c>
      <c r="AL178" s="3">
        <v>15</v>
      </c>
      <c r="AM178" s="4">
        <v>18.5</v>
      </c>
      <c r="AN178" s="2">
        <v>8</v>
      </c>
      <c r="AO178" s="3">
        <v>12</v>
      </c>
      <c r="AP178" s="4">
        <v>23</v>
      </c>
      <c r="AQ178">
        <v>8</v>
      </c>
      <c r="AR178">
        <v>7</v>
      </c>
      <c r="AS178">
        <v>10</v>
      </c>
      <c r="AT178">
        <v>3</v>
      </c>
      <c r="AU178">
        <f t="shared" si="47"/>
        <v>1.5</v>
      </c>
      <c r="AV178" t="s">
        <v>230</v>
      </c>
      <c r="AW178" t="s">
        <v>231</v>
      </c>
      <c r="AX178" t="s">
        <v>232</v>
      </c>
      <c r="AY178" t="s">
        <v>279</v>
      </c>
      <c r="AZ178" t="s">
        <v>261</v>
      </c>
      <c r="BA178" t="s">
        <v>235</v>
      </c>
      <c r="BB178" t="s">
        <v>276</v>
      </c>
      <c r="BC178" t="s">
        <v>218</v>
      </c>
      <c r="BD178" t="s">
        <v>220</v>
      </c>
      <c r="BE178">
        <v>3</v>
      </c>
      <c r="BF178">
        <v>10</v>
      </c>
      <c r="BG178">
        <v>9.5</v>
      </c>
      <c r="BH178">
        <v>5</v>
      </c>
      <c r="BI178">
        <v>5.5</v>
      </c>
      <c r="BJ178" t="s">
        <v>222</v>
      </c>
      <c r="BK178">
        <v>8</v>
      </c>
      <c r="BL178">
        <v>9.5</v>
      </c>
      <c r="BM178">
        <v>7</v>
      </c>
      <c r="BN178">
        <v>4.5</v>
      </c>
      <c r="BO178">
        <v>6.5</v>
      </c>
    </row>
    <row r="179" spans="1:67" x14ac:dyDescent="0.25">
      <c r="A179">
        <v>15</v>
      </c>
      <c r="B179" t="s">
        <v>384</v>
      </c>
      <c r="C179" t="s">
        <v>388</v>
      </c>
      <c r="D179">
        <v>18004</v>
      </c>
      <c r="E179" t="s">
        <v>89</v>
      </c>
      <c r="F179" t="s">
        <v>12</v>
      </c>
      <c r="G179" s="2">
        <v>26.5</v>
      </c>
      <c r="H179" s="3">
        <v>23</v>
      </c>
      <c r="I179" s="4">
        <f t="shared" si="37"/>
        <v>6.5</v>
      </c>
      <c r="J179">
        <f t="shared" si="32"/>
        <v>7</v>
      </c>
      <c r="K179" s="2">
        <v>46.5</v>
      </c>
      <c r="L179">
        <f t="shared" si="38"/>
        <v>60</v>
      </c>
      <c r="M179" s="2">
        <v>34.5</v>
      </c>
      <c r="N179" s="3">
        <v>35.5</v>
      </c>
      <c r="O179" s="4">
        <f t="shared" si="39"/>
        <v>9</v>
      </c>
      <c r="P179">
        <f t="shared" si="33"/>
        <v>10</v>
      </c>
      <c r="Q179" s="2">
        <v>67.5</v>
      </c>
      <c r="R179">
        <f t="shared" si="40"/>
        <v>87</v>
      </c>
      <c r="S179" s="2">
        <v>22.5</v>
      </c>
      <c r="T179" s="3" t="s">
        <v>219</v>
      </c>
      <c r="U179" s="4">
        <f t="shared" si="41"/>
        <v>3</v>
      </c>
      <c r="V179">
        <f t="shared" si="34"/>
        <v>6.5</v>
      </c>
      <c r="W179" s="2">
        <v>49</v>
      </c>
      <c r="X179">
        <f t="shared" si="42"/>
        <v>59</v>
      </c>
      <c r="Y179" s="2">
        <v>24</v>
      </c>
      <c r="Z179" s="3">
        <v>32</v>
      </c>
      <c r="AA179" s="4">
        <f t="shared" si="43"/>
        <v>7</v>
      </c>
      <c r="AB179">
        <f t="shared" si="35"/>
        <v>8</v>
      </c>
      <c r="AC179" s="2">
        <v>50</v>
      </c>
      <c r="AD179">
        <f t="shared" si="44"/>
        <v>65</v>
      </c>
      <c r="AE179" s="2">
        <v>23</v>
      </c>
      <c r="AF179" s="3">
        <v>29.5</v>
      </c>
      <c r="AG179" s="4">
        <f t="shared" si="45"/>
        <v>7</v>
      </c>
      <c r="AH179">
        <f t="shared" si="36"/>
        <v>5</v>
      </c>
      <c r="AI179" s="2">
        <v>39.5</v>
      </c>
      <c r="AJ179">
        <f t="shared" si="46"/>
        <v>52</v>
      </c>
      <c r="AK179" s="2" t="s">
        <v>15</v>
      </c>
      <c r="AL179" s="3">
        <v>23.5</v>
      </c>
      <c r="AM179" s="4">
        <v>21.5</v>
      </c>
      <c r="AN179" s="2">
        <v>6</v>
      </c>
      <c r="AO179" s="3">
        <v>16</v>
      </c>
      <c r="AP179" s="4">
        <v>26</v>
      </c>
      <c r="AQ179">
        <v>8</v>
      </c>
      <c r="AR179">
        <v>8.5</v>
      </c>
      <c r="AS179">
        <v>10</v>
      </c>
      <c r="AT179" t="s">
        <v>32</v>
      </c>
      <c r="AU179">
        <f t="shared" si="47"/>
        <v>0</v>
      </c>
      <c r="AV179" t="s">
        <v>230</v>
      </c>
      <c r="AW179" t="s">
        <v>231</v>
      </c>
      <c r="AX179" t="s">
        <v>232</v>
      </c>
      <c r="AY179" t="s">
        <v>247</v>
      </c>
      <c r="AZ179" t="s">
        <v>356</v>
      </c>
      <c r="BA179" t="s">
        <v>235</v>
      </c>
      <c r="BB179" t="s">
        <v>276</v>
      </c>
      <c r="BC179" t="s">
        <v>218</v>
      </c>
      <c r="BD179" t="s">
        <v>220</v>
      </c>
      <c r="BE179">
        <v>5</v>
      </c>
      <c r="BF179">
        <v>10</v>
      </c>
      <c r="BG179">
        <v>9.5</v>
      </c>
      <c r="BH179">
        <v>7.5</v>
      </c>
      <c r="BI179">
        <v>7</v>
      </c>
      <c r="BJ179" t="s">
        <v>222</v>
      </c>
      <c r="BK179">
        <v>5</v>
      </c>
      <c r="BL179">
        <v>10</v>
      </c>
      <c r="BM179">
        <v>6.5</v>
      </c>
      <c r="BN179">
        <v>6</v>
      </c>
      <c r="BO179">
        <v>6</v>
      </c>
    </row>
    <row r="180" spans="1:67" x14ac:dyDescent="0.25">
      <c r="A180">
        <v>16</v>
      </c>
      <c r="B180" t="s">
        <v>384</v>
      </c>
      <c r="C180" t="s">
        <v>388</v>
      </c>
      <c r="D180">
        <v>17281</v>
      </c>
      <c r="E180" t="s">
        <v>94</v>
      </c>
      <c r="F180" t="s">
        <v>12</v>
      </c>
      <c r="G180" s="2">
        <v>13.5</v>
      </c>
      <c r="H180" s="3">
        <v>14</v>
      </c>
      <c r="I180" s="4">
        <f t="shared" si="37"/>
        <v>3.5</v>
      </c>
      <c r="J180">
        <f t="shared" si="32"/>
        <v>4.5</v>
      </c>
      <c r="K180" s="2">
        <v>31</v>
      </c>
      <c r="L180">
        <f t="shared" si="38"/>
        <v>39</v>
      </c>
      <c r="M180" s="2">
        <v>7</v>
      </c>
      <c r="N180" s="3">
        <v>6</v>
      </c>
      <c r="O180" s="4">
        <f t="shared" si="39"/>
        <v>2</v>
      </c>
      <c r="P180">
        <f t="shared" si="33"/>
        <v>6.5</v>
      </c>
      <c r="Q180" s="2">
        <v>14</v>
      </c>
      <c r="R180">
        <f t="shared" si="40"/>
        <v>23</v>
      </c>
      <c r="S180" s="2">
        <v>16</v>
      </c>
      <c r="T180" s="3">
        <v>7</v>
      </c>
      <c r="U180" s="4">
        <f t="shared" si="41"/>
        <v>3</v>
      </c>
      <c r="V180">
        <f t="shared" si="34"/>
        <v>4</v>
      </c>
      <c r="W180" s="2">
        <v>34.5</v>
      </c>
      <c r="X180">
        <f t="shared" si="42"/>
        <v>42</v>
      </c>
      <c r="Y180" s="2">
        <v>14</v>
      </c>
      <c r="Z180" s="3">
        <v>16</v>
      </c>
      <c r="AA180" s="4">
        <f t="shared" si="43"/>
        <v>4</v>
      </c>
      <c r="AB180">
        <f t="shared" si="35"/>
        <v>6.5</v>
      </c>
      <c r="AC180" s="2">
        <v>29</v>
      </c>
      <c r="AD180">
        <f t="shared" si="44"/>
        <v>40</v>
      </c>
      <c r="AE180" s="2">
        <v>9</v>
      </c>
      <c r="AF180" s="3">
        <v>10</v>
      </c>
      <c r="AG180" s="4">
        <f t="shared" si="45"/>
        <v>2.5</v>
      </c>
      <c r="AH180">
        <f t="shared" si="36"/>
        <v>4.5</v>
      </c>
      <c r="AI180" s="2">
        <v>16</v>
      </c>
      <c r="AJ180">
        <f t="shared" si="46"/>
        <v>23</v>
      </c>
      <c r="AK180" s="2">
        <v>2.5</v>
      </c>
      <c r="AL180" s="3">
        <v>7</v>
      </c>
      <c r="AM180" s="4">
        <v>12.5</v>
      </c>
      <c r="AN180" s="2">
        <v>3</v>
      </c>
      <c r="AO180" s="3">
        <v>14</v>
      </c>
      <c r="AP180" s="4">
        <v>21.5</v>
      </c>
      <c r="AQ180">
        <v>8</v>
      </c>
      <c r="AR180">
        <v>1</v>
      </c>
      <c r="AS180">
        <v>5</v>
      </c>
      <c r="AT180">
        <v>4.5</v>
      </c>
      <c r="AU180">
        <f t="shared" si="47"/>
        <v>2.5</v>
      </c>
      <c r="AV180" t="s">
        <v>230</v>
      </c>
      <c r="AW180" t="s">
        <v>231</v>
      </c>
      <c r="AX180" t="s">
        <v>232</v>
      </c>
      <c r="AY180" t="s">
        <v>242</v>
      </c>
      <c r="AZ180" t="s">
        <v>278</v>
      </c>
      <c r="BA180" t="s">
        <v>235</v>
      </c>
      <c r="BB180" t="s">
        <v>276</v>
      </c>
      <c r="BC180" t="s">
        <v>218</v>
      </c>
      <c r="BD180" t="s">
        <v>220</v>
      </c>
      <c r="BE180">
        <v>5</v>
      </c>
      <c r="BF180">
        <v>10</v>
      </c>
      <c r="BG180">
        <v>6.5</v>
      </c>
      <c r="BH180">
        <v>5</v>
      </c>
      <c r="BI180">
        <v>4</v>
      </c>
      <c r="BJ180" t="s">
        <v>222</v>
      </c>
      <c r="BK180">
        <v>4</v>
      </c>
      <c r="BL180">
        <v>3</v>
      </c>
      <c r="BM180">
        <v>6</v>
      </c>
      <c r="BN180">
        <v>3.5</v>
      </c>
      <c r="BO180">
        <v>3.5</v>
      </c>
    </row>
    <row r="181" spans="1:67" x14ac:dyDescent="0.25">
      <c r="A181">
        <v>17</v>
      </c>
      <c r="B181" t="s">
        <v>384</v>
      </c>
      <c r="C181" t="s">
        <v>388</v>
      </c>
      <c r="D181">
        <v>16566</v>
      </c>
      <c r="E181" t="s">
        <v>99</v>
      </c>
      <c r="F181" t="s">
        <v>12</v>
      </c>
      <c r="G181" s="2">
        <v>23</v>
      </c>
      <c r="H181" s="3">
        <v>16.5</v>
      </c>
      <c r="I181" s="4">
        <f t="shared" si="37"/>
        <v>5</v>
      </c>
      <c r="J181">
        <f t="shared" si="32"/>
        <v>6.5</v>
      </c>
      <c r="K181" s="2">
        <v>39</v>
      </c>
      <c r="L181">
        <f t="shared" si="38"/>
        <v>51</v>
      </c>
      <c r="M181" s="2">
        <v>34.5</v>
      </c>
      <c r="N181" s="3">
        <v>35.5</v>
      </c>
      <c r="O181" s="4">
        <f t="shared" si="39"/>
        <v>9</v>
      </c>
      <c r="P181">
        <f t="shared" si="33"/>
        <v>10</v>
      </c>
      <c r="Q181" s="2">
        <v>63</v>
      </c>
      <c r="R181">
        <f t="shared" si="40"/>
        <v>82</v>
      </c>
      <c r="S181" s="2">
        <v>18</v>
      </c>
      <c r="T181" s="3">
        <v>23</v>
      </c>
      <c r="U181" s="4">
        <f t="shared" si="41"/>
        <v>5.5</v>
      </c>
      <c r="V181">
        <f t="shared" si="34"/>
        <v>5.5</v>
      </c>
      <c r="W181" s="2">
        <v>55.5</v>
      </c>
      <c r="X181">
        <f t="shared" si="42"/>
        <v>67</v>
      </c>
      <c r="Y181" s="2">
        <v>20</v>
      </c>
      <c r="Z181" s="3">
        <v>31</v>
      </c>
      <c r="AA181" s="4">
        <f t="shared" si="43"/>
        <v>6.5</v>
      </c>
      <c r="AB181">
        <f t="shared" si="35"/>
        <v>8.5</v>
      </c>
      <c r="AC181" s="2">
        <v>45</v>
      </c>
      <c r="AD181">
        <f t="shared" si="44"/>
        <v>60</v>
      </c>
      <c r="AE181" s="2">
        <v>15.5</v>
      </c>
      <c r="AF181" s="3">
        <v>18.5</v>
      </c>
      <c r="AG181" s="4">
        <f t="shared" si="45"/>
        <v>4.5</v>
      </c>
      <c r="AH181">
        <f t="shared" si="36"/>
        <v>5.5</v>
      </c>
      <c r="AI181" s="2">
        <v>44</v>
      </c>
      <c r="AJ181">
        <f t="shared" si="46"/>
        <v>54</v>
      </c>
      <c r="AK181" s="2">
        <v>21</v>
      </c>
      <c r="AL181" s="3">
        <v>21.5</v>
      </c>
      <c r="AM181" s="4">
        <v>23.5</v>
      </c>
      <c r="AN181" s="2">
        <v>4</v>
      </c>
      <c r="AO181" s="3">
        <v>16</v>
      </c>
      <c r="AP181" s="4">
        <v>24</v>
      </c>
      <c r="AQ181">
        <v>8</v>
      </c>
      <c r="AR181">
        <v>8.5</v>
      </c>
      <c r="AS181">
        <v>10</v>
      </c>
      <c r="AT181">
        <v>4</v>
      </c>
      <c r="AU181">
        <f t="shared" si="47"/>
        <v>2</v>
      </c>
      <c r="AV181" t="s">
        <v>230</v>
      </c>
      <c r="AW181" t="s">
        <v>231</v>
      </c>
      <c r="AX181" t="s">
        <v>232</v>
      </c>
      <c r="AY181" t="s">
        <v>233</v>
      </c>
      <c r="AZ181" t="s">
        <v>357</v>
      </c>
      <c r="BA181" t="s">
        <v>235</v>
      </c>
      <c r="BB181" t="s">
        <v>276</v>
      </c>
      <c r="BC181" t="s">
        <v>218</v>
      </c>
      <c r="BD181" t="s">
        <v>220</v>
      </c>
      <c r="BE181">
        <v>4</v>
      </c>
      <c r="BF181">
        <v>10</v>
      </c>
      <c r="BG181">
        <v>10</v>
      </c>
      <c r="BH181">
        <v>6.5</v>
      </c>
      <c r="BI181">
        <v>3.5</v>
      </c>
      <c r="BJ181" t="s">
        <v>222</v>
      </c>
      <c r="BK181">
        <v>7</v>
      </c>
      <c r="BL181">
        <v>9.5</v>
      </c>
      <c r="BM181">
        <v>6.5</v>
      </c>
      <c r="BN181">
        <v>6.5</v>
      </c>
      <c r="BO181">
        <v>7.5</v>
      </c>
    </row>
    <row r="182" spans="1:67" x14ac:dyDescent="0.25">
      <c r="A182">
        <v>18</v>
      </c>
      <c r="B182" t="s">
        <v>384</v>
      </c>
      <c r="C182" t="s">
        <v>388</v>
      </c>
      <c r="D182">
        <v>16567</v>
      </c>
      <c r="E182" t="s">
        <v>104</v>
      </c>
      <c r="F182" t="s">
        <v>12</v>
      </c>
      <c r="G182" s="2">
        <v>18</v>
      </c>
      <c r="H182" s="3">
        <v>10</v>
      </c>
      <c r="I182" s="4">
        <f t="shared" si="37"/>
        <v>3.5</v>
      </c>
      <c r="J182">
        <f t="shared" si="32"/>
        <v>5.5</v>
      </c>
      <c r="K182" s="2">
        <v>23</v>
      </c>
      <c r="L182">
        <f t="shared" si="38"/>
        <v>32</v>
      </c>
      <c r="M182" s="2">
        <v>18.5</v>
      </c>
      <c r="N182" s="3">
        <v>22</v>
      </c>
      <c r="O182" s="4">
        <f t="shared" si="39"/>
        <v>5.5</v>
      </c>
      <c r="P182">
        <f t="shared" si="33"/>
        <v>4.5</v>
      </c>
      <c r="Q182" s="2">
        <v>34.5</v>
      </c>
      <c r="R182">
        <f t="shared" si="40"/>
        <v>45</v>
      </c>
      <c r="S182" s="2">
        <v>16</v>
      </c>
      <c r="T182" s="3">
        <v>12</v>
      </c>
      <c r="U182" s="4">
        <f t="shared" si="41"/>
        <v>3.5</v>
      </c>
      <c r="V182">
        <f t="shared" si="34"/>
        <v>6</v>
      </c>
      <c r="W182" s="2">
        <v>25</v>
      </c>
      <c r="X182">
        <f t="shared" si="42"/>
        <v>35</v>
      </c>
      <c r="Y182" s="2">
        <v>14</v>
      </c>
      <c r="Z182" s="3">
        <v>18.5</v>
      </c>
      <c r="AA182" s="4">
        <f t="shared" si="43"/>
        <v>4.5</v>
      </c>
      <c r="AB182">
        <f t="shared" si="35"/>
        <v>7</v>
      </c>
      <c r="AC182" s="2">
        <v>31.5</v>
      </c>
      <c r="AD182">
        <f t="shared" si="44"/>
        <v>43</v>
      </c>
      <c r="AE182" s="2">
        <v>16</v>
      </c>
      <c r="AF182" s="3">
        <v>20</v>
      </c>
      <c r="AG182" s="4">
        <f t="shared" si="45"/>
        <v>4.5</v>
      </c>
      <c r="AH182">
        <f t="shared" si="36"/>
        <v>4.5</v>
      </c>
      <c r="AI182" s="2">
        <v>34</v>
      </c>
      <c r="AJ182">
        <f t="shared" si="46"/>
        <v>43</v>
      </c>
      <c r="AK182" s="2">
        <v>16.5</v>
      </c>
      <c r="AL182" s="3">
        <v>10.5</v>
      </c>
      <c r="AM182" s="4">
        <v>15</v>
      </c>
      <c r="AN182" s="2">
        <v>5</v>
      </c>
      <c r="AO182" s="3">
        <v>13</v>
      </c>
      <c r="AP182" s="4">
        <v>18</v>
      </c>
      <c r="AQ182">
        <v>8</v>
      </c>
      <c r="AR182">
        <v>7</v>
      </c>
      <c r="AS182">
        <v>6</v>
      </c>
      <c r="AT182">
        <v>4</v>
      </c>
      <c r="AU182">
        <f t="shared" si="47"/>
        <v>2</v>
      </c>
      <c r="AV182" t="s">
        <v>230</v>
      </c>
      <c r="AW182" t="s">
        <v>231</v>
      </c>
      <c r="AX182" t="s">
        <v>232</v>
      </c>
      <c r="AY182" t="s">
        <v>242</v>
      </c>
      <c r="BA182" t="s">
        <v>235</v>
      </c>
      <c r="BB182" t="s">
        <v>276</v>
      </c>
      <c r="BC182" t="s">
        <v>218</v>
      </c>
      <c r="BD182" t="s">
        <v>220</v>
      </c>
      <c r="BE182">
        <v>4</v>
      </c>
      <c r="BF182">
        <v>3</v>
      </c>
      <c r="BG182">
        <v>7.5</v>
      </c>
      <c r="BH182">
        <v>6.5</v>
      </c>
      <c r="BI182">
        <v>6</v>
      </c>
      <c r="BJ182" t="s">
        <v>222</v>
      </c>
      <c r="BK182">
        <v>5</v>
      </c>
      <c r="BL182">
        <v>6</v>
      </c>
      <c r="BM182">
        <v>6</v>
      </c>
      <c r="BN182">
        <v>4.5</v>
      </c>
      <c r="BO182">
        <v>5.5</v>
      </c>
    </row>
    <row r="183" spans="1:67" x14ac:dyDescent="0.25">
      <c r="A183">
        <v>19</v>
      </c>
      <c r="B183" t="s">
        <v>384</v>
      </c>
      <c r="C183" t="s">
        <v>388</v>
      </c>
      <c r="D183">
        <v>16176</v>
      </c>
      <c r="E183" t="s">
        <v>109</v>
      </c>
      <c r="F183" t="s">
        <v>12</v>
      </c>
      <c r="G183" s="2">
        <v>16</v>
      </c>
      <c r="H183" s="3">
        <v>16</v>
      </c>
      <c r="I183" s="4">
        <f t="shared" si="37"/>
        <v>4</v>
      </c>
      <c r="J183">
        <f t="shared" si="32"/>
        <v>4.5</v>
      </c>
      <c r="K183" s="2">
        <v>28.5</v>
      </c>
      <c r="L183">
        <f t="shared" si="38"/>
        <v>37</v>
      </c>
      <c r="M183" s="2">
        <v>33.5</v>
      </c>
      <c r="N183" s="3">
        <v>30.5</v>
      </c>
      <c r="O183" s="4">
        <f t="shared" si="39"/>
        <v>8</v>
      </c>
      <c r="P183">
        <f t="shared" si="33"/>
        <v>8</v>
      </c>
      <c r="Q183" s="2">
        <v>62</v>
      </c>
      <c r="R183">
        <f t="shared" si="40"/>
        <v>78</v>
      </c>
      <c r="S183" s="2">
        <v>13.5</v>
      </c>
      <c r="T183" s="3">
        <v>14</v>
      </c>
      <c r="U183" s="4">
        <f t="shared" si="41"/>
        <v>3.5</v>
      </c>
      <c r="V183">
        <f t="shared" si="34"/>
        <v>3</v>
      </c>
      <c r="W183" s="2">
        <v>24</v>
      </c>
      <c r="X183">
        <f t="shared" si="42"/>
        <v>31</v>
      </c>
      <c r="Y183" s="2">
        <v>13</v>
      </c>
      <c r="Z183" s="3">
        <v>30.5</v>
      </c>
      <c r="AA183" s="4">
        <f t="shared" si="43"/>
        <v>5.5</v>
      </c>
      <c r="AB183">
        <f t="shared" si="35"/>
        <v>5</v>
      </c>
      <c r="AC183" s="2">
        <v>31</v>
      </c>
      <c r="AD183">
        <f t="shared" si="44"/>
        <v>42</v>
      </c>
      <c r="AE183" s="2">
        <v>23</v>
      </c>
      <c r="AF183" s="3">
        <v>19.5</v>
      </c>
      <c r="AG183" s="4">
        <f t="shared" si="45"/>
        <v>5.5</v>
      </c>
      <c r="AH183">
        <f t="shared" si="36"/>
        <v>5</v>
      </c>
      <c r="AI183" s="2">
        <v>28</v>
      </c>
      <c r="AJ183">
        <f t="shared" si="46"/>
        <v>39</v>
      </c>
      <c r="AK183" s="2">
        <v>17</v>
      </c>
      <c r="AL183" s="3">
        <v>11.5</v>
      </c>
      <c r="AM183" s="4">
        <v>15.5</v>
      </c>
      <c r="AN183" s="2">
        <v>7</v>
      </c>
      <c r="AO183" s="3">
        <v>14</v>
      </c>
      <c r="AP183" s="4">
        <v>16</v>
      </c>
      <c r="AQ183">
        <v>8</v>
      </c>
      <c r="AR183">
        <v>8.5</v>
      </c>
      <c r="AS183">
        <v>10</v>
      </c>
      <c r="AT183">
        <v>4.5</v>
      </c>
      <c r="AU183">
        <f t="shared" si="47"/>
        <v>2.5</v>
      </c>
      <c r="AV183" t="s">
        <v>230</v>
      </c>
      <c r="AW183" t="s">
        <v>231</v>
      </c>
      <c r="AX183" t="s">
        <v>232</v>
      </c>
      <c r="AY183" t="s">
        <v>251</v>
      </c>
      <c r="AZ183" t="s">
        <v>349</v>
      </c>
      <c r="BA183" t="s">
        <v>235</v>
      </c>
      <c r="BB183" t="s">
        <v>276</v>
      </c>
      <c r="BC183" t="s">
        <v>218</v>
      </c>
      <c r="BD183" t="s">
        <v>220</v>
      </c>
      <c r="BE183">
        <v>3.5</v>
      </c>
      <c r="BF183">
        <v>10</v>
      </c>
      <c r="BG183">
        <v>5.5</v>
      </c>
      <c r="BH183">
        <v>6</v>
      </c>
      <c r="BI183">
        <v>2</v>
      </c>
      <c r="BJ183" t="s">
        <v>222</v>
      </c>
      <c r="BK183">
        <v>6</v>
      </c>
      <c r="BL183">
        <v>6</v>
      </c>
      <c r="BM183">
        <v>4.5</v>
      </c>
      <c r="BN183">
        <v>3</v>
      </c>
      <c r="BO183">
        <v>4</v>
      </c>
    </row>
    <row r="184" spans="1:67" x14ac:dyDescent="0.25">
      <c r="A184">
        <v>20</v>
      </c>
      <c r="B184" t="s">
        <v>384</v>
      </c>
      <c r="C184" t="s">
        <v>388</v>
      </c>
      <c r="D184">
        <v>16186</v>
      </c>
      <c r="E184" t="s">
        <v>114</v>
      </c>
      <c r="F184" t="s">
        <v>12</v>
      </c>
      <c r="G184" s="2">
        <v>20</v>
      </c>
      <c r="H184" s="3">
        <v>29</v>
      </c>
      <c r="I184" s="4">
        <f t="shared" si="37"/>
        <v>6.5</v>
      </c>
      <c r="J184">
        <f t="shared" si="32"/>
        <v>8</v>
      </c>
      <c r="K184" s="2">
        <v>54.5</v>
      </c>
      <c r="L184">
        <f t="shared" si="38"/>
        <v>69</v>
      </c>
      <c r="M184" s="2">
        <v>36.5</v>
      </c>
      <c r="N184" s="3">
        <v>38</v>
      </c>
      <c r="O184" s="4">
        <f t="shared" si="39"/>
        <v>9.5</v>
      </c>
      <c r="P184">
        <f t="shared" si="33"/>
        <v>10</v>
      </c>
      <c r="Q184" s="2">
        <v>65.5</v>
      </c>
      <c r="R184">
        <f t="shared" si="40"/>
        <v>85</v>
      </c>
      <c r="S184" s="2">
        <v>21</v>
      </c>
      <c r="T184" s="3">
        <v>25</v>
      </c>
      <c r="U184" s="4">
        <f t="shared" si="41"/>
        <v>6</v>
      </c>
      <c r="V184">
        <f t="shared" si="34"/>
        <v>6</v>
      </c>
      <c r="W184" s="2">
        <v>53</v>
      </c>
      <c r="X184">
        <f t="shared" si="42"/>
        <v>65</v>
      </c>
      <c r="Y184" s="2">
        <v>34.5</v>
      </c>
      <c r="Z184" s="3">
        <v>39</v>
      </c>
      <c r="AA184" s="4">
        <f t="shared" si="43"/>
        <v>9.5</v>
      </c>
      <c r="AB184">
        <f t="shared" si="35"/>
        <v>8.5</v>
      </c>
      <c r="AC184" s="2">
        <v>70</v>
      </c>
      <c r="AD184">
        <f t="shared" si="44"/>
        <v>88</v>
      </c>
      <c r="AE184" s="2">
        <v>34.5</v>
      </c>
      <c r="AF184" s="3">
        <v>34</v>
      </c>
      <c r="AG184" s="4">
        <f t="shared" si="45"/>
        <v>9</v>
      </c>
      <c r="AH184">
        <f t="shared" si="36"/>
        <v>8</v>
      </c>
      <c r="AI184" s="2">
        <v>67</v>
      </c>
      <c r="AJ184">
        <f t="shared" si="46"/>
        <v>84</v>
      </c>
      <c r="AK184" s="2">
        <v>21.5</v>
      </c>
      <c r="AL184" s="3">
        <v>21.5</v>
      </c>
      <c r="AM184" s="4">
        <v>23.5</v>
      </c>
      <c r="AN184" s="2">
        <v>8</v>
      </c>
      <c r="AO184" s="3" t="s">
        <v>14</v>
      </c>
      <c r="AP184" s="4">
        <v>32</v>
      </c>
      <c r="AQ184">
        <v>8</v>
      </c>
      <c r="AR184">
        <v>9</v>
      </c>
      <c r="AS184">
        <v>10</v>
      </c>
      <c r="AT184">
        <v>7</v>
      </c>
      <c r="AU184">
        <f t="shared" si="47"/>
        <v>3.5</v>
      </c>
      <c r="AV184" t="s">
        <v>230</v>
      </c>
      <c r="AW184" t="s">
        <v>231</v>
      </c>
      <c r="AX184" t="s">
        <v>232</v>
      </c>
      <c r="AY184" t="s">
        <v>260</v>
      </c>
      <c r="AZ184" t="s">
        <v>261</v>
      </c>
      <c r="BA184" t="s">
        <v>235</v>
      </c>
      <c r="BB184" t="s">
        <v>276</v>
      </c>
      <c r="BC184" t="s">
        <v>218</v>
      </c>
      <c r="BD184" t="s">
        <v>220</v>
      </c>
      <c r="BE184">
        <v>8</v>
      </c>
      <c r="BF184">
        <v>10</v>
      </c>
      <c r="BG184">
        <v>9</v>
      </c>
      <c r="BH184">
        <v>8.5</v>
      </c>
      <c r="BI184">
        <v>5</v>
      </c>
      <c r="BJ184" t="s">
        <v>222</v>
      </c>
      <c r="BK184">
        <v>8</v>
      </c>
      <c r="BL184">
        <v>9.5</v>
      </c>
      <c r="BM184">
        <v>7.5</v>
      </c>
      <c r="BN184">
        <v>7.5</v>
      </c>
      <c r="BO184">
        <v>6.5</v>
      </c>
    </row>
    <row r="185" spans="1:67" x14ac:dyDescent="0.25">
      <c r="A185">
        <v>21</v>
      </c>
      <c r="B185" t="s">
        <v>384</v>
      </c>
      <c r="C185" t="s">
        <v>388</v>
      </c>
      <c r="D185">
        <v>16174</v>
      </c>
      <c r="E185" t="s">
        <v>119</v>
      </c>
      <c r="F185" t="s">
        <v>12</v>
      </c>
      <c r="G185" s="2">
        <v>29</v>
      </c>
      <c r="H185" s="3">
        <v>28</v>
      </c>
      <c r="I185" s="4">
        <f t="shared" si="37"/>
        <v>7.5</v>
      </c>
      <c r="J185">
        <f t="shared" si="32"/>
        <v>8.5</v>
      </c>
      <c r="K185" s="2">
        <v>47</v>
      </c>
      <c r="L185">
        <f t="shared" si="38"/>
        <v>63</v>
      </c>
      <c r="M185" s="2" t="s">
        <v>14</v>
      </c>
      <c r="N185" s="3">
        <v>24</v>
      </c>
      <c r="O185" s="4">
        <f t="shared" si="39"/>
        <v>3</v>
      </c>
      <c r="P185">
        <f t="shared" si="33"/>
        <v>10</v>
      </c>
      <c r="Q185" s="2">
        <v>38</v>
      </c>
      <c r="R185">
        <f t="shared" si="40"/>
        <v>51</v>
      </c>
      <c r="S185" s="2">
        <v>25</v>
      </c>
      <c r="T185" s="3">
        <v>13.5</v>
      </c>
      <c r="U185" s="4">
        <f t="shared" si="41"/>
        <v>5</v>
      </c>
      <c r="V185">
        <f t="shared" si="34"/>
        <v>7</v>
      </c>
      <c r="W185" s="2">
        <v>43.5</v>
      </c>
      <c r="X185">
        <f t="shared" si="42"/>
        <v>56</v>
      </c>
      <c r="Y185" s="2">
        <v>27.5</v>
      </c>
      <c r="Z185" s="3">
        <v>32</v>
      </c>
      <c r="AA185" s="4">
        <f t="shared" si="43"/>
        <v>7.5</v>
      </c>
      <c r="AB185">
        <f t="shared" si="35"/>
        <v>9</v>
      </c>
      <c r="AC185" s="2">
        <v>49</v>
      </c>
      <c r="AD185">
        <f t="shared" si="44"/>
        <v>66</v>
      </c>
      <c r="AE185" s="2">
        <v>21.5</v>
      </c>
      <c r="AF185" s="3">
        <v>27.5</v>
      </c>
      <c r="AG185" s="4">
        <f t="shared" si="45"/>
        <v>6.5</v>
      </c>
      <c r="AH185">
        <f t="shared" si="36"/>
        <v>7</v>
      </c>
      <c r="AI185" s="2">
        <v>33</v>
      </c>
      <c r="AJ185">
        <f t="shared" si="46"/>
        <v>47</v>
      </c>
      <c r="AK185" s="2">
        <v>16.5</v>
      </c>
      <c r="AL185" s="3">
        <v>17</v>
      </c>
      <c r="AM185" s="4">
        <v>16</v>
      </c>
      <c r="AN185" s="2">
        <v>8</v>
      </c>
      <c r="AO185" s="3">
        <v>14</v>
      </c>
      <c r="AP185" s="4">
        <v>29.5</v>
      </c>
      <c r="AQ185">
        <v>8</v>
      </c>
      <c r="AR185">
        <v>6.5</v>
      </c>
      <c r="AS185">
        <v>9.5</v>
      </c>
      <c r="AT185">
        <v>6</v>
      </c>
      <c r="AU185">
        <f t="shared" si="47"/>
        <v>3</v>
      </c>
      <c r="AV185" t="s">
        <v>230</v>
      </c>
      <c r="AW185" t="s">
        <v>231</v>
      </c>
      <c r="AX185" t="s">
        <v>232</v>
      </c>
      <c r="AY185" t="s">
        <v>279</v>
      </c>
      <c r="AZ185" t="s">
        <v>278</v>
      </c>
      <c r="BA185" t="s">
        <v>235</v>
      </c>
      <c r="BB185" t="s">
        <v>276</v>
      </c>
      <c r="BC185" t="s">
        <v>218</v>
      </c>
      <c r="BD185" t="s">
        <v>220</v>
      </c>
      <c r="BE185">
        <v>8</v>
      </c>
      <c r="BF185">
        <v>10</v>
      </c>
      <c r="BG185">
        <v>10</v>
      </c>
      <c r="BH185">
        <v>9</v>
      </c>
      <c r="BI185">
        <v>6</v>
      </c>
      <c r="BJ185" t="s">
        <v>222</v>
      </c>
      <c r="BK185">
        <v>5.5</v>
      </c>
      <c r="BL185">
        <v>9.5</v>
      </c>
      <c r="BM185">
        <v>7.5</v>
      </c>
      <c r="BN185">
        <v>7.5</v>
      </c>
      <c r="BO185">
        <v>7.5</v>
      </c>
    </row>
    <row r="186" spans="1:67" x14ac:dyDescent="0.25">
      <c r="A186">
        <v>22</v>
      </c>
      <c r="B186" t="s">
        <v>384</v>
      </c>
      <c r="C186" t="s">
        <v>388</v>
      </c>
      <c r="D186">
        <v>17361</v>
      </c>
      <c r="E186" t="s">
        <v>124</v>
      </c>
      <c r="F186" t="s">
        <v>12</v>
      </c>
      <c r="G186" s="2">
        <v>31</v>
      </c>
      <c r="H186" s="3">
        <v>33.5</v>
      </c>
      <c r="I186" s="4">
        <f t="shared" si="37"/>
        <v>8.5</v>
      </c>
      <c r="J186">
        <f t="shared" si="32"/>
        <v>9.5</v>
      </c>
      <c r="K186" s="2">
        <v>66</v>
      </c>
      <c r="L186">
        <f t="shared" si="38"/>
        <v>84</v>
      </c>
      <c r="M186" s="2">
        <v>36</v>
      </c>
      <c r="N186" s="3">
        <v>37</v>
      </c>
      <c r="O186" s="4">
        <f t="shared" si="39"/>
        <v>9.5</v>
      </c>
      <c r="P186">
        <f t="shared" si="33"/>
        <v>10</v>
      </c>
      <c r="Q186" s="2">
        <v>74.5</v>
      </c>
      <c r="R186">
        <f t="shared" si="40"/>
        <v>94</v>
      </c>
      <c r="S186" s="2">
        <v>35.5</v>
      </c>
      <c r="T186" s="3">
        <v>37.5</v>
      </c>
      <c r="U186" s="4">
        <f t="shared" si="41"/>
        <v>9.5</v>
      </c>
      <c r="V186">
        <f t="shared" si="34"/>
        <v>8.5</v>
      </c>
      <c r="W186" s="2">
        <v>75</v>
      </c>
      <c r="X186">
        <f t="shared" si="42"/>
        <v>93</v>
      </c>
      <c r="Y186" s="2">
        <v>34.5</v>
      </c>
      <c r="Z186" s="3">
        <v>38</v>
      </c>
      <c r="AA186" s="4">
        <f t="shared" si="43"/>
        <v>9.5</v>
      </c>
      <c r="AB186">
        <f t="shared" si="35"/>
        <v>9.5</v>
      </c>
      <c r="AC186" s="2">
        <v>76</v>
      </c>
      <c r="AD186">
        <f t="shared" si="44"/>
        <v>95</v>
      </c>
      <c r="AE186" s="2">
        <v>33.5</v>
      </c>
      <c r="AF186" s="3">
        <v>36</v>
      </c>
      <c r="AG186" s="4">
        <f t="shared" si="45"/>
        <v>9</v>
      </c>
      <c r="AH186">
        <f t="shared" si="36"/>
        <v>9</v>
      </c>
      <c r="AI186" s="6">
        <v>2.9618055555555554</v>
      </c>
      <c r="AJ186">
        <f t="shared" si="46"/>
        <v>21</v>
      </c>
      <c r="AK186" s="2">
        <v>24</v>
      </c>
      <c r="AL186" s="3">
        <v>24.5</v>
      </c>
      <c r="AM186" s="4">
        <v>27.5</v>
      </c>
      <c r="AN186" s="2">
        <v>8</v>
      </c>
      <c r="AO186" s="3">
        <v>23</v>
      </c>
      <c r="AP186" s="4">
        <v>39</v>
      </c>
      <c r="AQ186">
        <v>8</v>
      </c>
      <c r="AR186">
        <v>8.5</v>
      </c>
      <c r="AS186">
        <v>10</v>
      </c>
      <c r="AT186">
        <v>7.5</v>
      </c>
      <c r="AU186">
        <f t="shared" si="47"/>
        <v>4</v>
      </c>
      <c r="AV186" t="s">
        <v>230</v>
      </c>
      <c r="AW186" t="s">
        <v>231</v>
      </c>
      <c r="AX186" t="s">
        <v>232</v>
      </c>
      <c r="AY186" t="s">
        <v>251</v>
      </c>
      <c r="AZ186" t="s">
        <v>358</v>
      </c>
      <c r="BA186" t="s">
        <v>235</v>
      </c>
      <c r="BB186" t="s">
        <v>276</v>
      </c>
      <c r="BC186" t="s">
        <v>218</v>
      </c>
      <c r="BD186" t="s">
        <v>220</v>
      </c>
      <c r="BE186">
        <v>10</v>
      </c>
      <c r="BF186">
        <v>10</v>
      </c>
      <c r="BG186">
        <v>10</v>
      </c>
      <c r="BH186">
        <v>9.5</v>
      </c>
      <c r="BI186">
        <v>8.5</v>
      </c>
      <c r="BJ186" t="s">
        <v>222</v>
      </c>
      <c r="BK186">
        <v>8</v>
      </c>
      <c r="BL186">
        <v>10</v>
      </c>
      <c r="BM186">
        <v>8.5</v>
      </c>
      <c r="BN186">
        <v>9</v>
      </c>
      <c r="BO186">
        <v>8.5</v>
      </c>
    </row>
    <row r="187" spans="1:67" x14ac:dyDescent="0.25">
      <c r="A187">
        <v>23</v>
      </c>
      <c r="B187" t="s">
        <v>384</v>
      </c>
      <c r="C187" t="s">
        <v>388</v>
      </c>
      <c r="D187">
        <v>16205</v>
      </c>
      <c r="E187" t="s">
        <v>129</v>
      </c>
      <c r="F187" t="s">
        <v>12</v>
      </c>
      <c r="G187" s="2">
        <v>32</v>
      </c>
      <c r="H187" s="3">
        <v>27.5</v>
      </c>
      <c r="I187" s="4">
        <f t="shared" si="37"/>
        <v>7.5</v>
      </c>
      <c r="J187">
        <f t="shared" si="32"/>
        <v>9</v>
      </c>
      <c r="K187" s="2">
        <v>55</v>
      </c>
      <c r="L187">
        <f t="shared" si="38"/>
        <v>72</v>
      </c>
      <c r="M187" s="2">
        <v>28</v>
      </c>
      <c r="N187" s="3">
        <v>30</v>
      </c>
      <c r="O187" s="4">
        <f t="shared" si="39"/>
        <v>7.5</v>
      </c>
      <c r="P187">
        <f t="shared" si="33"/>
        <v>10</v>
      </c>
      <c r="Q187" s="2">
        <v>58.5</v>
      </c>
      <c r="R187">
        <f t="shared" si="40"/>
        <v>76</v>
      </c>
      <c r="S187" s="2">
        <v>25.5</v>
      </c>
      <c r="T187" s="3">
        <v>27.5</v>
      </c>
      <c r="U187" s="4">
        <f t="shared" si="41"/>
        <v>7</v>
      </c>
      <c r="V187">
        <f t="shared" si="34"/>
        <v>7</v>
      </c>
      <c r="W187" s="2">
        <v>60</v>
      </c>
      <c r="X187">
        <f t="shared" si="42"/>
        <v>74</v>
      </c>
      <c r="Y187" s="2">
        <v>34.5</v>
      </c>
      <c r="Z187" s="3">
        <v>39</v>
      </c>
      <c r="AA187" s="4">
        <f t="shared" si="43"/>
        <v>9.5</v>
      </c>
      <c r="AB187">
        <f t="shared" si="35"/>
        <v>9</v>
      </c>
      <c r="AC187" s="2">
        <v>65.5</v>
      </c>
      <c r="AD187">
        <f t="shared" si="44"/>
        <v>84</v>
      </c>
      <c r="AE187" s="2">
        <v>31.5</v>
      </c>
      <c r="AF187" s="3">
        <v>26</v>
      </c>
      <c r="AG187" s="4">
        <f t="shared" si="45"/>
        <v>7.5</v>
      </c>
      <c r="AH187">
        <f t="shared" si="36"/>
        <v>10</v>
      </c>
      <c r="AI187" s="2">
        <v>65</v>
      </c>
      <c r="AJ187">
        <f t="shared" si="46"/>
        <v>83</v>
      </c>
      <c r="AK187" s="2">
        <v>22</v>
      </c>
      <c r="AL187" s="3">
        <v>19</v>
      </c>
      <c r="AM187" s="4">
        <v>17</v>
      </c>
      <c r="AN187" s="2">
        <v>8</v>
      </c>
      <c r="AO187" s="3">
        <v>21.5</v>
      </c>
      <c r="AP187" s="4">
        <v>38</v>
      </c>
      <c r="AQ187">
        <v>8</v>
      </c>
      <c r="AR187">
        <v>8.5</v>
      </c>
      <c r="AS187">
        <v>10</v>
      </c>
      <c r="AT187">
        <v>6</v>
      </c>
      <c r="AU187">
        <f t="shared" si="47"/>
        <v>3</v>
      </c>
      <c r="AV187" t="s">
        <v>230</v>
      </c>
      <c r="AW187" t="s">
        <v>231</v>
      </c>
      <c r="AX187" t="s">
        <v>232</v>
      </c>
      <c r="AY187" t="s">
        <v>233</v>
      </c>
      <c r="AZ187" t="s">
        <v>355</v>
      </c>
      <c r="BA187" t="s">
        <v>235</v>
      </c>
      <c r="BB187" t="s">
        <v>276</v>
      </c>
      <c r="BC187" t="s">
        <v>218</v>
      </c>
      <c r="BD187" t="s">
        <v>220</v>
      </c>
      <c r="BE187">
        <v>10</v>
      </c>
      <c r="BF187">
        <v>10</v>
      </c>
      <c r="BG187">
        <v>9</v>
      </c>
      <c r="BH187">
        <v>9.5</v>
      </c>
      <c r="BI187">
        <v>5.5</v>
      </c>
      <c r="BJ187" t="s">
        <v>222</v>
      </c>
      <c r="BK187">
        <v>9.5</v>
      </c>
      <c r="BL187">
        <v>10</v>
      </c>
      <c r="BM187">
        <v>9</v>
      </c>
      <c r="BN187">
        <v>8.5</v>
      </c>
      <c r="BO187">
        <v>8.5</v>
      </c>
    </row>
    <row r="188" spans="1:67" x14ac:dyDescent="0.25">
      <c r="A188">
        <v>24</v>
      </c>
      <c r="B188" t="s">
        <v>384</v>
      </c>
      <c r="C188" t="s">
        <v>388</v>
      </c>
      <c r="D188">
        <v>16393</v>
      </c>
      <c r="E188" t="s">
        <v>134</v>
      </c>
      <c r="F188" t="s">
        <v>12</v>
      </c>
      <c r="G188" s="2">
        <v>2</v>
      </c>
      <c r="H188" s="3">
        <v>3</v>
      </c>
      <c r="I188" s="4">
        <f t="shared" si="37"/>
        <v>1</v>
      </c>
      <c r="J188">
        <f t="shared" si="32"/>
        <v>3</v>
      </c>
      <c r="K188" s="2">
        <v>8.5</v>
      </c>
      <c r="L188">
        <f t="shared" si="38"/>
        <v>13</v>
      </c>
      <c r="M188" s="2">
        <v>8</v>
      </c>
      <c r="N188" s="3">
        <v>5.5</v>
      </c>
      <c r="O188" s="4">
        <f t="shared" si="39"/>
        <v>2</v>
      </c>
      <c r="P188">
        <f t="shared" si="33"/>
        <v>1.5</v>
      </c>
      <c r="Q188" s="2">
        <v>19</v>
      </c>
      <c r="R188">
        <f t="shared" si="40"/>
        <v>23</v>
      </c>
      <c r="S188" s="2">
        <v>3.5</v>
      </c>
      <c r="T188" s="3">
        <v>1</v>
      </c>
      <c r="U188" s="4">
        <f t="shared" si="41"/>
        <v>1</v>
      </c>
      <c r="V188">
        <f t="shared" si="34"/>
        <v>0.5</v>
      </c>
      <c r="W188" s="2">
        <v>6.5</v>
      </c>
      <c r="X188">
        <f t="shared" si="42"/>
        <v>8</v>
      </c>
      <c r="Y188" s="2">
        <v>4</v>
      </c>
      <c r="Z188" s="3">
        <v>1</v>
      </c>
      <c r="AA188" s="4">
        <f t="shared" si="43"/>
        <v>1</v>
      </c>
      <c r="AB188">
        <f t="shared" si="35"/>
        <v>3.5</v>
      </c>
      <c r="AC188" s="2">
        <v>13</v>
      </c>
      <c r="AD188">
        <f t="shared" si="44"/>
        <v>18</v>
      </c>
      <c r="AE188" s="2">
        <v>5</v>
      </c>
      <c r="AF188" s="3">
        <v>5.5</v>
      </c>
      <c r="AG188" s="4">
        <f t="shared" si="45"/>
        <v>1.5</v>
      </c>
      <c r="AH188">
        <f t="shared" si="36"/>
        <v>1.5</v>
      </c>
      <c r="AI188" s="2">
        <v>12.5</v>
      </c>
      <c r="AJ188">
        <f t="shared" si="46"/>
        <v>16</v>
      </c>
      <c r="AK188" s="2">
        <v>4</v>
      </c>
      <c r="AL188" s="3">
        <v>3</v>
      </c>
      <c r="AM188" s="4">
        <v>3</v>
      </c>
      <c r="AN188" s="2">
        <v>1</v>
      </c>
      <c r="AO188" s="3">
        <v>6</v>
      </c>
      <c r="AP188" s="4">
        <v>22</v>
      </c>
      <c r="AQ188">
        <v>8</v>
      </c>
      <c r="AR188">
        <v>1</v>
      </c>
      <c r="AS188">
        <v>8</v>
      </c>
      <c r="AT188">
        <v>2</v>
      </c>
      <c r="AU188">
        <f t="shared" si="47"/>
        <v>1</v>
      </c>
      <c r="AV188" t="s">
        <v>230</v>
      </c>
      <c r="AW188" t="s">
        <v>231</v>
      </c>
      <c r="AX188" t="s">
        <v>232</v>
      </c>
      <c r="AY188" t="s">
        <v>281</v>
      </c>
      <c r="AZ188" t="s">
        <v>261</v>
      </c>
      <c r="BA188" t="s">
        <v>235</v>
      </c>
      <c r="BB188" t="s">
        <v>276</v>
      </c>
      <c r="BC188" t="s">
        <v>218</v>
      </c>
      <c r="BD188" t="s">
        <v>220</v>
      </c>
      <c r="BE188">
        <v>3</v>
      </c>
      <c r="BF188">
        <v>3</v>
      </c>
      <c r="BG188">
        <v>2</v>
      </c>
      <c r="BH188">
        <v>4.5</v>
      </c>
      <c r="BI188">
        <v>1</v>
      </c>
      <c r="BJ188" t="s">
        <v>222</v>
      </c>
      <c r="BK188" t="s">
        <v>14</v>
      </c>
      <c r="BL188">
        <v>0</v>
      </c>
      <c r="BM188">
        <v>5</v>
      </c>
      <c r="BN188">
        <v>1</v>
      </c>
      <c r="BO188" t="s">
        <v>32</v>
      </c>
    </row>
    <row r="189" spans="1:67" x14ac:dyDescent="0.25">
      <c r="A189">
        <v>25</v>
      </c>
      <c r="B189" t="s">
        <v>384</v>
      </c>
      <c r="C189" t="s">
        <v>388</v>
      </c>
      <c r="D189">
        <v>16261</v>
      </c>
      <c r="E189" t="s">
        <v>139</v>
      </c>
      <c r="F189" t="s">
        <v>12</v>
      </c>
      <c r="G189" s="2">
        <v>35.5</v>
      </c>
      <c r="H189" s="3">
        <v>31.5</v>
      </c>
      <c r="I189" s="4">
        <f t="shared" si="37"/>
        <v>8.5</v>
      </c>
      <c r="J189">
        <f t="shared" si="32"/>
        <v>9.5</v>
      </c>
      <c r="K189" s="2">
        <v>68</v>
      </c>
      <c r="L189">
        <f t="shared" si="38"/>
        <v>86</v>
      </c>
      <c r="M189" s="2">
        <v>35</v>
      </c>
      <c r="N189" s="3">
        <v>37</v>
      </c>
      <c r="O189" s="4">
        <f t="shared" si="39"/>
        <v>9</v>
      </c>
      <c r="P189">
        <f t="shared" si="33"/>
        <v>9</v>
      </c>
      <c r="Q189" s="2">
        <v>60.5</v>
      </c>
      <c r="R189">
        <f t="shared" si="40"/>
        <v>79</v>
      </c>
      <c r="S189" s="2">
        <v>36</v>
      </c>
      <c r="T189" s="3">
        <v>37.5</v>
      </c>
      <c r="U189" s="4">
        <f t="shared" si="41"/>
        <v>9.5</v>
      </c>
      <c r="V189">
        <f t="shared" si="34"/>
        <v>6.5</v>
      </c>
      <c r="W189" s="2">
        <v>75.5</v>
      </c>
      <c r="X189">
        <f t="shared" si="42"/>
        <v>92</v>
      </c>
      <c r="Y189" s="2">
        <v>36.5</v>
      </c>
      <c r="Z189" s="3">
        <v>38.5</v>
      </c>
      <c r="AA189" s="4">
        <f t="shared" si="43"/>
        <v>9.5</v>
      </c>
      <c r="AB189">
        <f t="shared" si="35"/>
        <v>9.5</v>
      </c>
      <c r="AC189" s="2">
        <v>72.5</v>
      </c>
      <c r="AD189">
        <f t="shared" si="44"/>
        <v>92</v>
      </c>
      <c r="AE189" s="2">
        <v>33</v>
      </c>
      <c r="AF189" s="3">
        <v>28</v>
      </c>
      <c r="AG189" s="4">
        <f t="shared" si="45"/>
        <v>8</v>
      </c>
      <c r="AH189">
        <f t="shared" si="36"/>
        <v>3.5</v>
      </c>
      <c r="AI189" s="2">
        <v>65</v>
      </c>
      <c r="AJ189">
        <f t="shared" si="46"/>
        <v>77</v>
      </c>
      <c r="AK189" s="2">
        <v>21</v>
      </c>
      <c r="AL189" s="3">
        <v>23.5</v>
      </c>
      <c r="AM189" s="4">
        <v>26.5</v>
      </c>
      <c r="AN189" s="2">
        <v>7</v>
      </c>
      <c r="AO189" s="3">
        <v>22</v>
      </c>
      <c r="AP189" s="4">
        <v>38</v>
      </c>
      <c r="AQ189">
        <v>8</v>
      </c>
      <c r="AR189">
        <v>9</v>
      </c>
      <c r="AS189">
        <v>10</v>
      </c>
      <c r="AT189">
        <v>7</v>
      </c>
      <c r="AU189">
        <f t="shared" si="47"/>
        <v>3.5</v>
      </c>
      <c r="AV189" t="s">
        <v>230</v>
      </c>
      <c r="AW189" t="s">
        <v>231</v>
      </c>
      <c r="AX189" t="s">
        <v>232</v>
      </c>
      <c r="AY189" t="s">
        <v>247</v>
      </c>
      <c r="AZ189" t="s">
        <v>359</v>
      </c>
      <c r="BA189" t="s">
        <v>235</v>
      </c>
      <c r="BB189" t="s">
        <v>276</v>
      </c>
      <c r="BC189" t="s">
        <v>218</v>
      </c>
      <c r="BD189" t="s">
        <v>220</v>
      </c>
      <c r="BE189" t="s">
        <v>14</v>
      </c>
      <c r="BF189">
        <v>10</v>
      </c>
      <c r="BG189">
        <v>9.5</v>
      </c>
      <c r="BH189">
        <v>9.5</v>
      </c>
      <c r="BI189">
        <v>4.5</v>
      </c>
      <c r="BJ189" t="s">
        <v>222</v>
      </c>
      <c r="BK189">
        <v>7</v>
      </c>
      <c r="BL189">
        <v>8</v>
      </c>
      <c r="BM189">
        <v>9</v>
      </c>
      <c r="BN189">
        <v>9</v>
      </c>
      <c r="BO189">
        <v>8.5</v>
      </c>
    </row>
    <row r="190" spans="1:67" x14ac:dyDescent="0.25">
      <c r="A190">
        <v>26</v>
      </c>
      <c r="B190" t="s">
        <v>384</v>
      </c>
      <c r="C190" t="s">
        <v>388</v>
      </c>
      <c r="D190">
        <v>17981</v>
      </c>
      <c r="E190" t="s">
        <v>144</v>
      </c>
      <c r="F190" t="s">
        <v>12</v>
      </c>
      <c r="G190" s="2">
        <v>24.5</v>
      </c>
      <c r="H190" s="3" t="s">
        <v>14</v>
      </c>
      <c r="I190" s="4">
        <f t="shared" si="37"/>
        <v>3.5</v>
      </c>
      <c r="J190">
        <f t="shared" si="32"/>
        <v>8</v>
      </c>
      <c r="K190" s="2">
        <v>50</v>
      </c>
      <c r="L190">
        <f t="shared" si="38"/>
        <v>62</v>
      </c>
      <c r="M190" s="2">
        <v>23</v>
      </c>
      <c r="N190" s="3">
        <v>24</v>
      </c>
      <c r="O190" s="4">
        <f t="shared" si="39"/>
        <v>6</v>
      </c>
      <c r="P190">
        <f t="shared" si="33"/>
        <v>5</v>
      </c>
      <c r="Q190" s="2">
        <v>35.5</v>
      </c>
      <c r="R190">
        <f t="shared" si="40"/>
        <v>47</v>
      </c>
      <c r="S190" s="2">
        <v>13.5</v>
      </c>
      <c r="T190" s="3">
        <v>5.5</v>
      </c>
      <c r="U190" s="4">
        <f t="shared" si="41"/>
        <v>2.5</v>
      </c>
      <c r="V190">
        <f t="shared" si="34"/>
        <v>4.5</v>
      </c>
      <c r="W190" s="2">
        <v>22</v>
      </c>
      <c r="X190">
        <f t="shared" si="42"/>
        <v>29</v>
      </c>
      <c r="Y190" s="2">
        <v>30</v>
      </c>
      <c r="Z190" s="3">
        <v>18.5</v>
      </c>
      <c r="AA190" s="4">
        <f t="shared" si="43"/>
        <v>6.5</v>
      </c>
      <c r="AB190">
        <f t="shared" si="35"/>
        <v>7</v>
      </c>
      <c r="AC190" s="2">
        <v>39.5</v>
      </c>
      <c r="AD190">
        <f t="shared" si="44"/>
        <v>53</v>
      </c>
      <c r="AE190" s="2">
        <v>13.5</v>
      </c>
      <c r="AF190" s="3">
        <v>15.5</v>
      </c>
      <c r="AG190" s="4">
        <f t="shared" si="45"/>
        <v>4</v>
      </c>
      <c r="AH190">
        <f t="shared" si="36"/>
        <v>3</v>
      </c>
      <c r="AI190" s="2">
        <v>45</v>
      </c>
      <c r="AJ190">
        <f t="shared" si="46"/>
        <v>52</v>
      </c>
      <c r="AK190" s="2">
        <v>7.5</v>
      </c>
      <c r="AL190" s="3">
        <v>3</v>
      </c>
      <c r="AM190" s="4">
        <v>13</v>
      </c>
      <c r="AN190" s="2">
        <v>5</v>
      </c>
      <c r="AO190" s="3">
        <v>13</v>
      </c>
      <c r="AP190" s="4">
        <v>20</v>
      </c>
      <c r="AQ190">
        <v>8</v>
      </c>
      <c r="AR190">
        <v>8.5</v>
      </c>
      <c r="AS190">
        <v>10</v>
      </c>
      <c r="AT190">
        <v>5</v>
      </c>
      <c r="AU190">
        <f t="shared" si="47"/>
        <v>2.5</v>
      </c>
      <c r="AV190" t="s">
        <v>230</v>
      </c>
      <c r="AW190" t="s">
        <v>231</v>
      </c>
      <c r="AX190" t="s">
        <v>232</v>
      </c>
      <c r="AY190" t="s">
        <v>316</v>
      </c>
      <c r="BA190" t="s">
        <v>235</v>
      </c>
      <c r="BB190" t="s">
        <v>276</v>
      </c>
      <c r="BC190" t="s">
        <v>218</v>
      </c>
      <c r="BD190" t="s">
        <v>220</v>
      </c>
      <c r="BE190">
        <v>5.5</v>
      </c>
      <c r="BF190">
        <v>10</v>
      </c>
      <c r="BG190">
        <v>9</v>
      </c>
      <c r="BH190">
        <v>9</v>
      </c>
      <c r="BI190">
        <v>4</v>
      </c>
      <c r="BJ190" t="s">
        <v>222</v>
      </c>
      <c r="BK190" t="s">
        <v>14</v>
      </c>
      <c r="BL190" t="s">
        <v>14</v>
      </c>
      <c r="BM190">
        <v>5</v>
      </c>
      <c r="BN190">
        <v>6.5</v>
      </c>
      <c r="BO190">
        <v>4.5</v>
      </c>
    </row>
    <row r="191" spans="1:67" x14ac:dyDescent="0.25">
      <c r="A191">
        <v>27</v>
      </c>
      <c r="B191" t="s">
        <v>384</v>
      </c>
      <c r="C191" t="s">
        <v>388</v>
      </c>
      <c r="D191">
        <v>16241</v>
      </c>
      <c r="E191" t="s">
        <v>149</v>
      </c>
      <c r="F191" t="s">
        <v>12</v>
      </c>
      <c r="G191" s="2">
        <v>33.5</v>
      </c>
      <c r="H191" s="3">
        <v>31.5</v>
      </c>
      <c r="I191" s="4">
        <f t="shared" si="37"/>
        <v>8.5</v>
      </c>
      <c r="J191">
        <f t="shared" si="32"/>
        <v>9</v>
      </c>
      <c r="K191" s="2">
        <v>63.5</v>
      </c>
      <c r="L191">
        <f t="shared" si="38"/>
        <v>81</v>
      </c>
      <c r="M191" s="2">
        <v>35</v>
      </c>
      <c r="N191" s="3">
        <v>37.5</v>
      </c>
      <c r="O191" s="4">
        <f t="shared" si="39"/>
        <v>9.5</v>
      </c>
      <c r="P191">
        <f t="shared" si="33"/>
        <v>10</v>
      </c>
      <c r="Q191" s="2">
        <v>74.5</v>
      </c>
      <c r="R191">
        <f t="shared" si="40"/>
        <v>94</v>
      </c>
      <c r="S191" s="2">
        <v>30.5</v>
      </c>
      <c r="T191" s="3">
        <v>29.5</v>
      </c>
      <c r="U191" s="4">
        <f t="shared" si="41"/>
        <v>7.5</v>
      </c>
      <c r="V191">
        <f t="shared" si="34"/>
        <v>7.5</v>
      </c>
      <c r="W191" s="2">
        <v>68</v>
      </c>
      <c r="X191">
        <f t="shared" si="42"/>
        <v>83</v>
      </c>
      <c r="Y191" s="2">
        <v>38.5</v>
      </c>
      <c r="Z191" s="3">
        <v>37.5</v>
      </c>
      <c r="AA191" s="4">
        <f t="shared" si="43"/>
        <v>9.5</v>
      </c>
      <c r="AB191">
        <f t="shared" si="35"/>
        <v>8.5</v>
      </c>
      <c r="AC191" s="2">
        <v>71</v>
      </c>
      <c r="AD191">
        <f t="shared" si="44"/>
        <v>89</v>
      </c>
      <c r="AE191" s="2">
        <v>34</v>
      </c>
      <c r="AF191" s="3">
        <v>34</v>
      </c>
      <c r="AG191" s="4">
        <f t="shared" si="45"/>
        <v>8.5</v>
      </c>
      <c r="AH191">
        <f t="shared" si="36"/>
        <v>7.5</v>
      </c>
      <c r="AI191" s="2">
        <v>67</v>
      </c>
      <c r="AJ191">
        <f t="shared" si="46"/>
        <v>83</v>
      </c>
      <c r="AK191" s="2">
        <v>23</v>
      </c>
      <c r="AL191" s="3">
        <v>24.5</v>
      </c>
      <c r="AM191" s="4">
        <v>27.5</v>
      </c>
      <c r="AN191" s="2">
        <v>9</v>
      </c>
      <c r="AO191" s="3">
        <v>16</v>
      </c>
      <c r="AP191" s="4">
        <v>30.5</v>
      </c>
      <c r="AQ191">
        <v>8</v>
      </c>
      <c r="AR191">
        <v>9</v>
      </c>
      <c r="AS191">
        <v>10</v>
      </c>
      <c r="AT191">
        <v>8</v>
      </c>
      <c r="AU191">
        <f t="shared" si="47"/>
        <v>4</v>
      </c>
      <c r="AV191" t="s">
        <v>230</v>
      </c>
      <c r="AW191" t="s">
        <v>231</v>
      </c>
      <c r="AX191" t="s">
        <v>232</v>
      </c>
      <c r="AY191" t="s">
        <v>242</v>
      </c>
      <c r="AZ191" t="s">
        <v>360</v>
      </c>
      <c r="BA191" t="s">
        <v>235</v>
      </c>
      <c r="BB191" t="s">
        <v>276</v>
      </c>
      <c r="BC191" t="s">
        <v>218</v>
      </c>
      <c r="BD191" t="s">
        <v>220</v>
      </c>
      <c r="BE191">
        <v>7.5</v>
      </c>
      <c r="BF191">
        <v>10</v>
      </c>
      <c r="BG191">
        <v>9.5</v>
      </c>
      <c r="BH191">
        <v>10</v>
      </c>
      <c r="BI191">
        <v>7</v>
      </c>
      <c r="BJ191" t="s">
        <v>222</v>
      </c>
      <c r="BK191">
        <v>7</v>
      </c>
      <c r="BL191">
        <v>9.5</v>
      </c>
      <c r="BM191">
        <v>7.5</v>
      </c>
      <c r="BN191">
        <v>8</v>
      </c>
      <c r="BO191">
        <v>8</v>
      </c>
    </row>
    <row r="192" spans="1:67" x14ac:dyDescent="0.25">
      <c r="A192">
        <v>28</v>
      </c>
      <c r="B192" t="s">
        <v>384</v>
      </c>
      <c r="C192" t="s">
        <v>388</v>
      </c>
      <c r="D192">
        <v>16309</v>
      </c>
      <c r="E192" t="s">
        <v>154</v>
      </c>
      <c r="F192" t="s">
        <v>12</v>
      </c>
      <c r="G192" s="2">
        <v>15</v>
      </c>
      <c r="H192" s="3">
        <v>12.5</v>
      </c>
      <c r="I192" s="4">
        <f t="shared" si="37"/>
        <v>3.5</v>
      </c>
      <c r="J192">
        <f t="shared" si="32"/>
        <v>4.5</v>
      </c>
      <c r="K192" s="2">
        <v>32</v>
      </c>
      <c r="L192">
        <f t="shared" si="38"/>
        <v>40</v>
      </c>
      <c r="M192" s="2">
        <v>19.5</v>
      </c>
      <c r="N192" s="3">
        <v>28</v>
      </c>
      <c r="O192" s="4">
        <f t="shared" si="39"/>
        <v>6</v>
      </c>
      <c r="P192">
        <f t="shared" si="33"/>
        <v>7.5</v>
      </c>
      <c r="Q192" s="2">
        <v>45.5</v>
      </c>
      <c r="R192">
        <f t="shared" si="40"/>
        <v>59</v>
      </c>
      <c r="S192" s="2">
        <v>8.5</v>
      </c>
      <c r="T192" s="3">
        <v>16.5</v>
      </c>
      <c r="U192" s="4">
        <f t="shared" si="41"/>
        <v>3.5</v>
      </c>
      <c r="V192">
        <f t="shared" si="34"/>
        <v>4</v>
      </c>
      <c r="W192" s="2">
        <v>36.5</v>
      </c>
      <c r="X192">
        <f t="shared" si="42"/>
        <v>44</v>
      </c>
      <c r="Y192" s="2">
        <v>16</v>
      </c>
      <c r="Z192" s="3">
        <v>19</v>
      </c>
      <c r="AA192" s="4">
        <f t="shared" si="43"/>
        <v>4.5</v>
      </c>
      <c r="AB192">
        <f t="shared" si="35"/>
        <v>8.5</v>
      </c>
      <c r="AC192" s="2">
        <v>33.5</v>
      </c>
      <c r="AD192">
        <f t="shared" si="44"/>
        <v>47</v>
      </c>
      <c r="AE192" s="2">
        <v>15.5</v>
      </c>
      <c r="AF192" s="3">
        <v>21</v>
      </c>
      <c r="AG192" s="4">
        <f t="shared" si="45"/>
        <v>5</v>
      </c>
      <c r="AH192">
        <f t="shared" si="36"/>
        <v>5.5</v>
      </c>
      <c r="AI192" s="2">
        <v>26</v>
      </c>
      <c r="AJ192">
        <f t="shared" si="46"/>
        <v>37</v>
      </c>
      <c r="AK192" s="2">
        <v>17.5</v>
      </c>
      <c r="AL192" s="3">
        <v>14.5</v>
      </c>
      <c r="AM192" s="4">
        <v>13</v>
      </c>
      <c r="AN192" s="2">
        <v>8</v>
      </c>
      <c r="AO192" s="3">
        <v>11</v>
      </c>
      <c r="AP192" s="4">
        <v>26</v>
      </c>
      <c r="AQ192">
        <v>8</v>
      </c>
      <c r="AR192">
        <v>1</v>
      </c>
      <c r="AS192">
        <v>10</v>
      </c>
      <c r="AT192">
        <v>4.5</v>
      </c>
      <c r="AU192">
        <f t="shared" si="47"/>
        <v>2.5</v>
      </c>
      <c r="AV192" t="s">
        <v>230</v>
      </c>
      <c r="AW192" t="s">
        <v>231</v>
      </c>
      <c r="AX192" t="s">
        <v>232</v>
      </c>
      <c r="AY192" t="s">
        <v>240</v>
      </c>
      <c r="AZ192" t="s">
        <v>261</v>
      </c>
      <c r="BA192" t="s">
        <v>235</v>
      </c>
      <c r="BB192" t="s">
        <v>276</v>
      </c>
      <c r="BC192" t="s">
        <v>218</v>
      </c>
      <c r="BD192" t="s">
        <v>220</v>
      </c>
      <c r="BE192">
        <v>6</v>
      </c>
      <c r="BF192">
        <v>10</v>
      </c>
      <c r="BG192">
        <v>8.5</v>
      </c>
      <c r="BH192">
        <v>4.5</v>
      </c>
      <c r="BI192">
        <v>4</v>
      </c>
      <c r="BJ192" t="s">
        <v>222</v>
      </c>
      <c r="BK192">
        <v>5</v>
      </c>
      <c r="BL192">
        <v>4.5</v>
      </c>
      <c r="BM192">
        <v>8</v>
      </c>
      <c r="BN192">
        <v>4</v>
      </c>
      <c r="BO192">
        <v>3.5</v>
      </c>
    </row>
    <row r="193" spans="1:67" x14ac:dyDescent="0.25">
      <c r="A193">
        <v>29</v>
      </c>
      <c r="B193" t="s">
        <v>384</v>
      </c>
      <c r="C193" t="s">
        <v>388</v>
      </c>
      <c r="D193">
        <v>17074</v>
      </c>
      <c r="E193" t="s">
        <v>159</v>
      </c>
      <c r="F193" t="s">
        <v>12</v>
      </c>
      <c r="G193" s="2">
        <v>20.5</v>
      </c>
      <c r="H193" s="3" t="s">
        <v>14</v>
      </c>
      <c r="I193" s="4">
        <f t="shared" si="37"/>
        <v>3</v>
      </c>
      <c r="J193">
        <f t="shared" si="32"/>
        <v>8</v>
      </c>
      <c r="K193" s="2">
        <v>28.5</v>
      </c>
      <c r="L193">
        <f t="shared" si="38"/>
        <v>40</v>
      </c>
      <c r="M193" s="2">
        <v>19.5</v>
      </c>
      <c r="N193" s="3" t="s">
        <v>14</v>
      </c>
      <c r="O193" s="4">
        <f t="shared" si="39"/>
        <v>2.5</v>
      </c>
      <c r="P193">
        <f t="shared" si="33"/>
        <v>3</v>
      </c>
      <c r="Q193" s="2">
        <v>37.5</v>
      </c>
      <c r="R193">
        <f t="shared" si="40"/>
        <v>43</v>
      </c>
      <c r="S193" s="2">
        <v>13.5</v>
      </c>
      <c r="T193" s="3" t="s">
        <v>32</v>
      </c>
      <c r="U193" s="4">
        <f t="shared" si="41"/>
        <v>2</v>
      </c>
      <c r="V193">
        <f t="shared" si="34"/>
        <v>5.5</v>
      </c>
      <c r="W193" s="2">
        <v>34.5</v>
      </c>
      <c r="X193">
        <f t="shared" si="42"/>
        <v>42</v>
      </c>
      <c r="Y193" s="2">
        <v>24</v>
      </c>
      <c r="Z193" s="3" t="s">
        <v>32</v>
      </c>
      <c r="AA193" s="4">
        <f t="shared" si="43"/>
        <v>3</v>
      </c>
      <c r="AB193">
        <f t="shared" si="35"/>
        <v>8.5</v>
      </c>
      <c r="AC193" s="2">
        <v>47.5</v>
      </c>
      <c r="AD193">
        <f t="shared" si="44"/>
        <v>59</v>
      </c>
      <c r="AE193" s="2">
        <v>20</v>
      </c>
      <c r="AF193" s="3" t="s">
        <v>14</v>
      </c>
      <c r="AG193" s="4">
        <f t="shared" si="45"/>
        <v>2.5</v>
      </c>
      <c r="AH193">
        <f t="shared" si="36"/>
        <v>4</v>
      </c>
      <c r="AI193" s="2">
        <v>26.5</v>
      </c>
      <c r="AJ193">
        <f t="shared" si="46"/>
        <v>33</v>
      </c>
      <c r="AK193" s="2" t="s">
        <v>15</v>
      </c>
      <c r="AL193" s="3" t="s">
        <v>15</v>
      </c>
      <c r="AM193" s="4">
        <v>13</v>
      </c>
      <c r="AN193" s="2">
        <v>7</v>
      </c>
      <c r="AO193" s="3" t="s">
        <v>14</v>
      </c>
      <c r="AP193" s="4">
        <v>24</v>
      </c>
      <c r="AQ193">
        <v>8</v>
      </c>
      <c r="AR193">
        <v>7.5</v>
      </c>
      <c r="AS193">
        <v>10</v>
      </c>
      <c r="AT193">
        <v>6.5</v>
      </c>
      <c r="AU193">
        <f t="shared" si="47"/>
        <v>3.5</v>
      </c>
      <c r="AV193" t="s">
        <v>230</v>
      </c>
      <c r="AW193" t="s">
        <v>231</v>
      </c>
      <c r="AX193" t="s">
        <v>232</v>
      </c>
      <c r="AY193" t="s">
        <v>361</v>
      </c>
      <c r="AZ193" t="s">
        <v>362</v>
      </c>
      <c r="BA193" t="s">
        <v>235</v>
      </c>
      <c r="BB193" t="s">
        <v>276</v>
      </c>
      <c r="BC193" t="s">
        <v>218</v>
      </c>
      <c r="BD193" t="s">
        <v>220</v>
      </c>
      <c r="BE193">
        <v>3</v>
      </c>
      <c r="BF193" t="s">
        <v>14</v>
      </c>
      <c r="BG193">
        <v>9</v>
      </c>
      <c r="BH193">
        <v>7.5</v>
      </c>
      <c r="BI193">
        <v>4</v>
      </c>
      <c r="BJ193" t="s">
        <v>222</v>
      </c>
      <c r="BK193">
        <v>5</v>
      </c>
      <c r="BL193">
        <v>5.5</v>
      </c>
      <c r="BM193">
        <v>8</v>
      </c>
      <c r="BN193">
        <v>8</v>
      </c>
      <c r="BO193">
        <v>7</v>
      </c>
    </row>
    <row r="194" spans="1:67" x14ac:dyDescent="0.25">
      <c r="A194">
        <v>30</v>
      </c>
      <c r="B194" t="s">
        <v>384</v>
      </c>
      <c r="C194" t="s">
        <v>388</v>
      </c>
      <c r="D194">
        <v>16245</v>
      </c>
      <c r="E194" t="s">
        <v>164</v>
      </c>
      <c r="F194" t="s">
        <v>12</v>
      </c>
      <c r="G194" s="2">
        <v>22</v>
      </c>
      <c r="H194" s="3">
        <v>26.5</v>
      </c>
      <c r="I194" s="4">
        <f t="shared" si="37"/>
        <v>6.5</v>
      </c>
      <c r="J194">
        <f t="shared" ref="J194:J202" si="48">CEILING((N(BH194)+N(BN194))/2,0.5)</f>
        <v>6.5</v>
      </c>
      <c r="K194" s="2">
        <v>42</v>
      </c>
      <c r="L194">
        <f t="shared" si="38"/>
        <v>55</v>
      </c>
      <c r="M194" s="2">
        <v>27.5</v>
      </c>
      <c r="N194" s="3">
        <v>25.5</v>
      </c>
      <c r="O194" s="4">
        <f t="shared" si="39"/>
        <v>7</v>
      </c>
      <c r="P194">
        <f t="shared" ref="P194:P202" si="49">CEILING((N(BF194)+N(BL194))/2,0.5)</f>
        <v>9.5</v>
      </c>
      <c r="Q194" s="2">
        <v>58.5</v>
      </c>
      <c r="R194">
        <f t="shared" si="40"/>
        <v>75</v>
      </c>
      <c r="S194" s="2">
        <v>26.5</v>
      </c>
      <c r="T194" s="3">
        <v>25</v>
      </c>
      <c r="U194" s="4">
        <f t="shared" si="41"/>
        <v>6.5</v>
      </c>
      <c r="V194">
        <f t="shared" ref="V194:V202" si="50">CEILING((N(BI194)+N(BO194))/2,0.5)</f>
        <v>6</v>
      </c>
      <c r="W194" s="2">
        <v>49</v>
      </c>
      <c r="X194">
        <f t="shared" si="42"/>
        <v>62</v>
      </c>
      <c r="Y194" s="2">
        <v>20.5</v>
      </c>
      <c r="Z194" s="3">
        <v>32</v>
      </c>
      <c r="AA194" s="4">
        <f t="shared" si="43"/>
        <v>7</v>
      </c>
      <c r="AB194">
        <f t="shared" ref="AB194:AB202" si="51">CEILING((N(BG194)+N(BM194))/2,0.5)</f>
        <v>8.5</v>
      </c>
      <c r="AC194" s="2">
        <v>48</v>
      </c>
      <c r="AD194">
        <f t="shared" si="44"/>
        <v>64</v>
      </c>
      <c r="AE194" s="2">
        <v>30</v>
      </c>
      <c r="AF194" s="3">
        <v>16.5</v>
      </c>
      <c r="AG194" s="4">
        <f t="shared" si="45"/>
        <v>6</v>
      </c>
      <c r="AH194">
        <f t="shared" ref="AH194:AH202" si="52">CEILING((N(BE194)+N(BK194))/2,0.5)</f>
        <v>6.5</v>
      </c>
      <c r="AI194" s="2">
        <v>34</v>
      </c>
      <c r="AJ194">
        <f t="shared" si="46"/>
        <v>47</v>
      </c>
      <c r="AK194" s="2">
        <v>18</v>
      </c>
      <c r="AL194" s="3">
        <v>17.5</v>
      </c>
      <c r="AM194" s="4">
        <v>19</v>
      </c>
      <c r="AN194" s="2">
        <v>6</v>
      </c>
      <c r="AO194" s="3">
        <v>13</v>
      </c>
      <c r="AP194" s="4">
        <v>25</v>
      </c>
      <c r="AQ194">
        <v>8</v>
      </c>
      <c r="AR194">
        <v>1</v>
      </c>
      <c r="AS194">
        <v>10</v>
      </c>
      <c r="AT194">
        <v>4</v>
      </c>
      <c r="AU194">
        <f t="shared" si="47"/>
        <v>2</v>
      </c>
      <c r="AV194" t="s">
        <v>230</v>
      </c>
      <c r="AW194" t="s">
        <v>231</v>
      </c>
      <c r="AX194" t="s">
        <v>232</v>
      </c>
      <c r="AY194" t="s">
        <v>281</v>
      </c>
      <c r="AZ194" t="s">
        <v>278</v>
      </c>
      <c r="BA194" t="s">
        <v>235</v>
      </c>
      <c r="BB194" t="s">
        <v>276</v>
      </c>
      <c r="BC194" t="s">
        <v>218</v>
      </c>
      <c r="BD194" t="s">
        <v>220</v>
      </c>
      <c r="BE194">
        <v>8</v>
      </c>
      <c r="BF194">
        <v>10</v>
      </c>
      <c r="BG194">
        <v>9.5</v>
      </c>
      <c r="BH194">
        <v>6</v>
      </c>
      <c r="BI194">
        <v>4</v>
      </c>
      <c r="BJ194" t="s">
        <v>222</v>
      </c>
      <c r="BK194">
        <v>5</v>
      </c>
      <c r="BL194">
        <v>9</v>
      </c>
      <c r="BM194">
        <v>7.5</v>
      </c>
      <c r="BN194">
        <v>6.5</v>
      </c>
      <c r="BO194">
        <v>8</v>
      </c>
    </row>
    <row r="195" spans="1:67" x14ac:dyDescent="0.25">
      <c r="A195">
        <v>31</v>
      </c>
      <c r="B195" t="s">
        <v>384</v>
      </c>
      <c r="C195" t="s">
        <v>388</v>
      </c>
      <c r="D195">
        <v>18475</v>
      </c>
      <c r="E195" t="s">
        <v>169</v>
      </c>
      <c r="F195" t="s">
        <v>12</v>
      </c>
      <c r="G195" s="2">
        <v>29</v>
      </c>
      <c r="H195" s="3">
        <v>22.5</v>
      </c>
      <c r="I195" s="4">
        <f t="shared" ref="I195:I202" si="53">CEILING((N(G195)+N(H195))/80*10,0.5)</f>
        <v>6.5</v>
      </c>
      <c r="J195">
        <f t="shared" si="48"/>
        <v>9.5</v>
      </c>
      <c r="K195" s="2">
        <v>49</v>
      </c>
      <c r="L195">
        <f t="shared" ref="L195:L202" si="54">ROUND(N(I195) + N(J195) + N(K195), 0)</f>
        <v>65</v>
      </c>
      <c r="M195" s="2">
        <v>35.5</v>
      </c>
      <c r="N195" s="3">
        <v>32</v>
      </c>
      <c r="O195" s="4">
        <f t="shared" ref="O195:O202" si="55">CEILING((N(M195)+N(N195))/80*10,0.5)</f>
        <v>8.5</v>
      </c>
      <c r="P195">
        <f t="shared" si="49"/>
        <v>10</v>
      </c>
      <c r="Q195" s="2">
        <v>64</v>
      </c>
      <c r="R195">
        <f t="shared" ref="R195:R202" si="56">ROUND(N(O195) + N(P195) + N(Q195), 0)</f>
        <v>83</v>
      </c>
      <c r="S195" s="2">
        <v>22</v>
      </c>
      <c r="T195" s="3">
        <v>18</v>
      </c>
      <c r="U195" s="4">
        <f t="shared" ref="U195:U202" si="57">CEILING((N(S195)+N(T195))/80*10,0.5)</f>
        <v>5</v>
      </c>
      <c r="V195">
        <f t="shared" si="50"/>
        <v>5.5</v>
      </c>
      <c r="W195" s="2">
        <v>50.5</v>
      </c>
      <c r="X195">
        <f t="shared" ref="X195:X202" si="58">ROUND(N(U195) + N(V195) + N(W195), 0)</f>
        <v>61</v>
      </c>
      <c r="Y195" s="2">
        <v>31</v>
      </c>
      <c r="Z195" s="3">
        <v>28</v>
      </c>
      <c r="AA195" s="4">
        <f t="shared" ref="AA195:AA202" si="59">CEILING((N(Y195)+N(Z195))/80*10,0.5)</f>
        <v>7.5</v>
      </c>
      <c r="AB195">
        <f t="shared" si="51"/>
        <v>9</v>
      </c>
      <c r="AC195" s="2">
        <v>54.5</v>
      </c>
      <c r="AD195">
        <f t="shared" ref="AD195:AD202" si="60">ROUND(N(AA195) + N(AB195) + N(AC195), 0)</f>
        <v>71</v>
      </c>
      <c r="AE195" s="2">
        <v>25.5</v>
      </c>
      <c r="AF195" s="3">
        <v>32</v>
      </c>
      <c r="AG195" s="4">
        <f t="shared" ref="AG195:AG202" si="61">CEILING((N(AE195)+N(AF195))/80*10,0.5)</f>
        <v>7.5</v>
      </c>
      <c r="AH195">
        <f t="shared" si="52"/>
        <v>8.5</v>
      </c>
      <c r="AI195" s="2">
        <v>57.5</v>
      </c>
      <c r="AJ195">
        <f t="shared" ref="AJ195:AJ202" si="62">ROUND(N(AG195) + N(AH195) + N(AI195), 0)</f>
        <v>74</v>
      </c>
      <c r="AK195" s="2">
        <v>19</v>
      </c>
      <c r="AL195" s="3">
        <v>12.5</v>
      </c>
      <c r="AM195" s="4" t="s">
        <v>32</v>
      </c>
      <c r="AN195" s="2">
        <v>8</v>
      </c>
      <c r="AO195" s="3">
        <v>22</v>
      </c>
      <c r="AP195" s="4" t="s">
        <v>15</v>
      </c>
      <c r="AQ195">
        <v>8</v>
      </c>
      <c r="AR195">
        <v>7.5</v>
      </c>
      <c r="AS195">
        <v>10</v>
      </c>
      <c r="AT195" t="s">
        <v>32</v>
      </c>
      <c r="AU195">
        <f t="shared" ref="AU195:AU202" si="63">CEILING(N(AT195)/2,0.5)</f>
        <v>0</v>
      </c>
      <c r="AV195" t="s">
        <v>230</v>
      </c>
      <c r="AW195" t="s">
        <v>231</v>
      </c>
      <c r="AX195" t="s">
        <v>232</v>
      </c>
      <c r="AY195" t="s">
        <v>314</v>
      </c>
      <c r="BA195" t="s">
        <v>235</v>
      </c>
      <c r="BB195" t="s">
        <v>276</v>
      </c>
      <c r="BC195" t="s">
        <v>218</v>
      </c>
      <c r="BD195" t="s">
        <v>220</v>
      </c>
      <c r="BE195">
        <v>8.5</v>
      </c>
      <c r="BF195">
        <v>10</v>
      </c>
      <c r="BG195">
        <v>9.5</v>
      </c>
      <c r="BH195">
        <v>9.5</v>
      </c>
      <c r="BI195">
        <v>5</v>
      </c>
      <c r="BJ195" t="s">
        <v>222</v>
      </c>
      <c r="BK195">
        <v>8</v>
      </c>
      <c r="BL195">
        <v>9.5</v>
      </c>
      <c r="BM195">
        <v>8.5</v>
      </c>
      <c r="BN195">
        <v>9</v>
      </c>
      <c r="BO195">
        <v>6</v>
      </c>
    </row>
    <row r="196" spans="1:67" x14ac:dyDescent="0.25">
      <c r="A196">
        <v>32</v>
      </c>
      <c r="B196" t="s">
        <v>384</v>
      </c>
      <c r="C196" t="s">
        <v>388</v>
      </c>
      <c r="D196">
        <v>16227</v>
      </c>
      <c r="E196" t="s">
        <v>174</v>
      </c>
      <c r="F196" t="s">
        <v>12</v>
      </c>
      <c r="G196" s="2">
        <v>31</v>
      </c>
      <c r="H196" s="3">
        <v>26.5</v>
      </c>
      <c r="I196" s="4">
        <f t="shared" si="53"/>
        <v>7.5</v>
      </c>
      <c r="J196">
        <f t="shared" si="48"/>
        <v>8.5</v>
      </c>
      <c r="K196" s="2">
        <v>57.5</v>
      </c>
      <c r="L196">
        <f t="shared" si="54"/>
        <v>74</v>
      </c>
      <c r="M196" s="2">
        <v>35.5</v>
      </c>
      <c r="N196" s="3">
        <v>36.5</v>
      </c>
      <c r="O196" s="4">
        <f t="shared" si="55"/>
        <v>9</v>
      </c>
      <c r="P196">
        <f t="shared" si="49"/>
        <v>5</v>
      </c>
      <c r="Q196" s="2">
        <v>67</v>
      </c>
      <c r="R196">
        <f t="shared" si="56"/>
        <v>81</v>
      </c>
      <c r="S196" s="2">
        <v>29.5</v>
      </c>
      <c r="T196" s="3">
        <v>28</v>
      </c>
      <c r="U196" s="4">
        <f t="shared" si="57"/>
        <v>7.5</v>
      </c>
      <c r="V196">
        <f t="shared" si="50"/>
        <v>8</v>
      </c>
      <c r="W196" s="2">
        <v>67</v>
      </c>
      <c r="X196">
        <f t="shared" si="58"/>
        <v>83</v>
      </c>
      <c r="Y196" s="2">
        <v>33</v>
      </c>
      <c r="Z196" s="3" t="s">
        <v>32</v>
      </c>
      <c r="AA196" s="4">
        <f t="shared" si="59"/>
        <v>4.5</v>
      </c>
      <c r="AB196">
        <f t="shared" si="51"/>
        <v>9.5</v>
      </c>
      <c r="AC196" s="2">
        <v>67</v>
      </c>
      <c r="AD196">
        <f t="shared" si="60"/>
        <v>81</v>
      </c>
      <c r="AE196" s="2">
        <v>34</v>
      </c>
      <c r="AF196" s="3">
        <v>34</v>
      </c>
      <c r="AG196" s="4">
        <f t="shared" si="61"/>
        <v>8.5</v>
      </c>
      <c r="AH196">
        <f t="shared" si="52"/>
        <v>3</v>
      </c>
      <c r="AI196" s="2">
        <v>65.5</v>
      </c>
      <c r="AJ196">
        <f t="shared" si="62"/>
        <v>77</v>
      </c>
      <c r="AK196" s="2">
        <v>20</v>
      </c>
      <c r="AL196" s="3">
        <v>16.5</v>
      </c>
      <c r="AM196" s="4">
        <v>24.5</v>
      </c>
      <c r="AN196" s="2">
        <v>8</v>
      </c>
      <c r="AO196" s="3">
        <v>16</v>
      </c>
      <c r="AP196" s="4">
        <v>29.5</v>
      </c>
      <c r="AQ196">
        <v>8</v>
      </c>
      <c r="AR196">
        <v>7</v>
      </c>
      <c r="AS196">
        <v>10</v>
      </c>
      <c r="AT196">
        <v>6</v>
      </c>
      <c r="AU196">
        <f t="shared" si="63"/>
        <v>3</v>
      </c>
      <c r="AV196" t="s">
        <v>230</v>
      </c>
      <c r="AW196" t="s">
        <v>231</v>
      </c>
      <c r="AX196" t="s">
        <v>232</v>
      </c>
      <c r="AY196" t="s">
        <v>316</v>
      </c>
      <c r="BA196" t="s">
        <v>235</v>
      </c>
      <c r="BB196" t="s">
        <v>276</v>
      </c>
      <c r="BC196" t="s">
        <v>218</v>
      </c>
      <c r="BD196" t="s">
        <v>220</v>
      </c>
      <c r="BE196">
        <v>5.5</v>
      </c>
      <c r="BF196">
        <v>10</v>
      </c>
      <c r="BG196">
        <v>10</v>
      </c>
      <c r="BH196">
        <v>8.5</v>
      </c>
      <c r="BI196">
        <v>7</v>
      </c>
      <c r="BJ196" t="s">
        <v>222</v>
      </c>
      <c r="BK196" t="s">
        <v>14</v>
      </c>
      <c r="BL196" t="s">
        <v>14</v>
      </c>
      <c r="BM196">
        <v>8.5</v>
      </c>
      <c r="BN196">
        <v>8.5</v>
      </c>
      <c r="BO196">
        <v>8.5</v>
      </c>
    </row>
    <row r="197" spans="1:67" x14ac:dyDescent="0.25">
      <c r="A197">
        <v>33</v>
      </c>
      <c r="B197" t="s">
        <v>384</v>
      </c>
      <c r="C197" t="s">
        <v>388</v>
      </c>
      <c r="D197">
        <v>16226</v>
      </c>
      <c r="E197" t="s">
        <v>179</v>
      </c>
      <c r="F197" t="s">
        <v>12</v>
      </c>
      <c r="G197" s="2">
        <v>30</v>
      </c>
      <c r="H197" s="3">
        <v>27.5</v>
      </c>
      <c r="I197" s="4">
        <f t="shared" si="53"/>
        <v>7.5</v>
      </c>
      <c r="J197">
        <f t="shared" si="48"/>
        <v>8</v>
      </c>
      <c r="K197" s="2">
        <v>52.5</v>
      </c>
      <c r="L197">
        <f t="shared" si="54"/>
        <v>68</v>
      </c>
      <c r="M197" s="2">
        <v>19.5</v>
      </c>
      <c r="N197" s="3">
        <v>29.5</v>
      </c>
      <c r="O197" s="4">
        <f t="shared" si="55"/>
        <v>6.5</v>
      </c>
      <c r="P197">
        <f t="shared" si="49"/>
        <v>8</v>
      </c>
      <c r="Q197" s="2">
        <v>47</v>
      </c>
      <c r="R197">
        <f t="shared" si="56"/>
        <v>62</v>
      </c>
      <c r="S197" s="2">
        <v>34</v>
      </c>
      <c r="T197" s="3">
        <v>18</v>
      </c>
      <c r="U197" s="4">
        <f t="shared" si="57"/>
        <v>6.5</v>
      </c>
      <c r="V197">
        <f t="shared" si="50"/>
        <v>6.5</v>
      </c>
      <c r="W197" s="2">
        <v>56</v>
      </c>
      <c r="X197">
        <f t="shared" si="58"/>
        <v>69</v>
      </c>
      <c r="Y197" s="2">
        <v>29</v>
      </c>
      <c r="Z197" s="3">
        <v>28.5</v>
      </c>
      <c r="AA197" s="4">
        <f t="shared" si="59"/>
        <v>7.5</v>
      </c>
      <c r="AB197">
        <f t="shared" si="51"/>
        <v>8.5</v>
      </c>
      <c r="AC197" s="2">
        <v>51.5</v>
      </c>
      <c r="AD197">
        <f t="shared" si="60"/>
        <v>68</v>
      </c>
      <c r="AE197" s="2">
        <v>26</v>
      </c>
      <c r="AF197" s="3">
        <v>24</v>
      </c>
      <c r="AG197" s="4">
        <f t="shared" si="61"/>
        <v>6.5</v>
      </c>
      <c r="AH197">
        <f t="shared" si="52"/>
        <v>7.5</v>
      </c>
      <c r="AI197" s="2">
        <v>45.5</v>
      </c>
      <c r="AJ197">
        <f t="shared" si="62"/>
        <v>60</v>
      </c>
      <c r="AK197" s="2">
        <v>15.5</v>
      </c>
      <c r="AL197" s="3">
        <v>10</v>
      </c>
      <c r="AM197" s="4">
        <v>15</v>
      </c>
      <c r="AN197" s="2">
        <v>4</v>
      </c>
      <c r="AO197" s="3">
        <v>15</v>
      </c>
      <c r="AP197" s="4">
        <v>26</v>
      </c>
      <c r="AQ197">
        <v>8</v>
      </c>
      <c r="AR197">
        <v>8</v>
      </c>
      <c r="AS197">
        <v>10</v>
      </c>
      <c r="AT197">
        <v>4</v>
      </c>
      <c r="AU197">
        <f t="shared" si="63"/>
        <v>2</v>
      </c>
      <c r="AV197" t="s">
        <v>230</v>
      </c>
      <c r="AW197" t="s">
        <v>231</v>
      </c>
      <c r="AX197" t="s">
        <v>232</v>
      </c>
      <c r="AY197" t="s">
        <v>254</v>
      </c>
      <c r="BA197" t="s">
        <v>235</v>
      </c>
      <c r="BB197" t="s">
        <v>276</v>
      </c>
      <c r="BC197" t="s">
        <v>218</v>
      </c>
      <c r="BD197" t="s">
        <v>220</v>
      </c>
      <c r="BE197">
        <v>7.5</v>
      </c>
      <c r="BF197">
        <v>10</v>
      </c>
      <c r="BG197">
        <v>9</v>
      </c>
      <c r="BH197">
        <v>9</v>
      </c>
      <c r="BI197">
        <v>6.5</v>
      </c>
      <c r="BJ197" t="s">
        <v>222</v>
      </c>
      <c r="BK197">
        <v>7</v>
      </c>
      <c r="BL197">
        <v>6</v>
      </c>
      <c r="BM197">
        <v>8</v>
      </c>
      <c r="BN197">
        <v>7</v>
      </c>
      <c r="BO197">
        <v>6.5</v>
      </c>
    </row>
    <row r="198" spans="1:67" x14ac:dyDescent="0.25">
      <c r="A198">
        <v>34</v>
      </c>
      <c r="B198" t="s">
        <v>384</v>
      </c>
      <c r="C198" t="s">
        <v>388</v>
      </c>
      <c r="D198">
        <v>16246</v>
      </c>
      <c r="E198" t="s">
        <v>184</v>
      </c>
      <c r="F198" t="s">
        <v>12</v>
      </c>
      <c r="G198" s="2">
        <v>29</v>
      </c>
      <c r="H198" s="3">
        <v>24.5</v>
      </c>
      <c r="I198" s="4">
        <f t="shared" si="53"/>
        <v>7</v>
      </c>
      <c r="J198">
        <f t="shared" si="48"/>
        <v>8</v>
      </c>
      <c r="K198" s="2">
        <v>42</v>
      </c>
      <c r="L198">
        <f t="shared" si="54"/>
        <v>57</v>
      </c>
      <c r="M198" s="2">
        <v>34</v>
      </c>
      <c r="N198" s="3">
        <v>37.5</v>
      </c>
      <c r="O198" s="4">
        <f t="shared" si="55"/>
        <v>9</v>
      </c>
      <c r="P198">
        <f t="shared" si="49"/>
        <v>10</v>
      </c>
      <c r="Q198" s="2">
        <v>70</v>
      </c>
      <c r="R198">
        <f t="shared" si="56"/>
        <v>89</v>
      </c>
      <c r="S198" s="2">
        <v>29.5</v>
      </c>
      <c r="T198" s="3">
        <v>21</v>
      </c>
      <c r="U198" s="4">
        <f t="shared" si="57"/>
        <v>6.5</v>
      </c>
      <c r="V198">
        <f t="shared" si="50"/>
        <v>6</v>
      </c>
      <c r="W198" s="2">
        <v>55.5</v>
      </c>
      <c r="X198">
        <f t="shared" si="58"/>
        <v>68</v>
      </c>
      <c r="Y198" s="2">
        <v>24.5</v>
      </c>
      <c r="Z198" s="3">
        <v>37</v>
      </c>
      <c r="AA198" s="4">
        <f t="shared" si="59"/>
        <v>8</v>
      </c>
      <c r="AB198">
        <f t="shared" si="51"/>
        <v>8</v>
      </c>
      <c r="AC198" s="2">
        <v>42.5</v>
      </c>
      <c r="AD198">
        <f t="shared" si="60"/>
        <v>59</v>
      </c>
      <c r="AE198" s="2">
        <v>34</v>
      </c>
      <c r="AF198" s="3">
        <v>30.5</v>
      </c>
      <c r="AG198" s="4">
        <f t="shared" si="61"/>
        <v>8.5</v>
      </c>
      <c r="AH198">
        <f t="shared" si="52"/>
        <v>8</v>
      </c>
      <c r="AI198" s="2">
        <v>65</v>
      </c>
      <c r="AJ198">
        <f t="shared" si="62"/>
        <v>82</v>
      </c>
      <c r="AK198" s="2">
        <v>22.5</v>
      </c>
      <c r="AL198" s="3">
        <v>23</v>
      </c>
      <c r="AM198" s="4">
        <v>21</v>
      </c>
      <c r="AN198" s="2">
        <v>6</v>
      </c>
      <c r="AO198" s="3">
        <v>13</v>
      </c>
      <c r="AP198" s="4">
        <v>29.5</v>
      </c>
      <c r="AQ198">
        <v>8</v>
      </c>
      <c r="AR198">
        <v>7.5</v>
      </c>
      <c r="AS198">
        <v>10</v>
      </c>
      <c r="AT198">
        <v>6</v>
      </c>
      <c r="AU198">
        <f t="shared" si="63"/>
        <v>3</v>
      </c>
      <c r="AV198" t="s">
        <v>230</v>
      </c>
      <c r="AW198" t="s">
        <v>231</v>
      </c>
      <c r="AX198" t="s">
        <v>232</v>
      </c>
      <c r="AY198" t="s">
        <v>242</v>
      </c>
      <c r="AZ198" t="s">
        <v>353</v>
      </c>
      <c r="BA198" t="s">
        <v>235</v>
      </c>
      <c r="BB198" t="s">
        <v>276</v>
      </c>
      <c r="BC198" t="s">
        <v>218</v>
      </c>
      <c r="BD198" t="s">
        <v>220</v>
      </c>
      <c r="BE198">
        <v>6.5</v>
      </c>
      <c r="BF198">
        <v>10</v>
      </c>
      <c r="BG198">
        <v>8.5</v>
      </c>
      <c r="BH198">
        <v>8.5</v>
      </c>
      <c r="BI198">
        <v>5.5</v>
      </c>
      <c r="BJ198" t="s">
        <v>222</v>
      </c>
      <c r="BK198">
        <v>9</v>
      </c>
      <c r="BL198">
        <v>10</v>
      </c>
      <c r="BM198">
        <v>7</v>
      </c>
      <c r="BN198">
        <v>7</v>
      </c>
      <c r="BO198">
        <v>6</v>
      </c>
    </row>
    <row r="199" spans="1:67" x14ac:dyDescent="0.25">
      <c r="A199">
        <v>35</v>
      </c>
      <c r="B199" t="s">
        <v>384</v>
      </c>
      <c r="C199" t="s">
        <v>388</v>
      </c>
      <c r="D199">
        <v>16569</v>
      </c>
      <c r="E199" t="s">
        <v>189</v>
      </c>
      <c r="F199" t="s">
        <v>12</v>
      </c>
      <c r="G199" s="2">
        <v>20.5</v>
      </c>
      <c r="H199" s="3">
        <v>21.5</v>
      </c>
      <c r="I199" s="4">
        <f t="shared" si="53"/>
        <v>5.5</v>
      </c>
      <c r="J199">
        <f t="shared" si="48"/>
        <v>6</v>
      </c>
      <c r="K199" s="2">
        <v>45</v>
      </c>
      <c r="L199">
        <f t="shared" si="54"/>
        <v>57</v>
      </c>
      <c r="M199" s="2">
        <v>32.5</v>
      </c>
      <c r="N199" s="3">
        <v>32</v>
      </c>
      <c r="O199" s="4">
        <f t="shared" si="55"/>
        <v>8.5</v>
      </c>
      <c r="P199">
        <f t="shared" si="49"/>
        <v>10</v>
      </c>
      <c r="Q199" s="2">
        <v>70</v>
      </c>
      <c r="R199">
        <f t="shared" si="56"/>
        <v>89</v>
      </c>
      <c r="S199" s="2">
        <v>20.5</v>
      </c>
      <c r="T199" s="3">
        <v>19.5</v>
      </c>
      <c r="U199" s="4">
        <f t="shared" si="57"/>
        <v>5</v>
      </c>
      <c r="V199">
        <f t="shared" si="50"/>
        <v>5</v>
      </c>
      <c r="W199" s="2">
        <v>44.5</v>
      </c>
      <c r="X199">
        <f t="shared" si="58"/>
        <v>55</v>
      </c>
      <c r="Y199" s="2">
        <v>17.5</v>
      </c>
      <c r="Z199" s="3">
        <v>21.5</v>
      </c>
      <c r="AA199" s="4">
        <f t="shared" si="59"/>
        <v>5</v>
      </c>
      <c r="AB199">
        <f t="shared" si="51"/>
        <v>8</v>
      </c>
      <c r="AC199" s="2">
        <v>50.5</v>
      </c>
      <c r="AD199">
        <f t="shared" si="60"/>
        <v>64</v>
      </c>
      <c r="AE199" s="2">
        <v>27</v>
      </c>
      <c r="AF199" s="3">
        <v>35</v>
      </c>
      <c r="AG199" s="4">
        <f t="shared" si="61"/>
        <v>8</v>
      </c>
      <c r="AH199">
        <f t="shared" si="52"/>
        <v>6.5</v>
      </c>
      <c r="AI199" s="2">
        <v>40</v>
      </c>
      <c r="AJ199">
        <f t="shared" si="62"/>
        <v>55</v>
      </c>
      <c r="AK199" s="2">
        <v>22.5</v>
      </c>
      <c r="AL199" s="3">
        <v>19</v>
      </c>
      <c r="AM199" s="4">
        <v>20</v>
      </c>
      <c r="AN199" s="2">
        <v>7</v>
      </c>
      <c r="AO199" s="3">
        <v>15</v>
      </c>
      <c r="AP199" s="4">
        <v>18</v>
      </c>
      <c r="AQ199">
        <v>8</v>
      </c>
      <c r="AR199">
        <v>8</v>
      </c>
      <c r="AS199">
        <v>10</v>
      </c>
      <c r="AT199">
        <v>6</v>
      </c>
      <c r="AU199">
        <f t="shared" si="63"/>
        <v>3</v>
      </c>
      <c r="AV199" t="s">
        <v>230</v>
      </c>
      <c r="AW199" t="s">
        <v>231</v>
      </c>
      <c r="AX199" t="s">
        <v>232</v>
      </c>
      <c r="AY199" t="s">
        <v>233</v>
      </c>
      <c r="AZ199" t="s">
        <v>363</v>
      </c>
      <c r="BA199" t="s">
        <v>235</v>
      </c>
      <c r="BB199" t="s">
        <v>276</v>
      </c>
      <c r="BC199" t="s">
        <v>218</v>
      </c>
      <c r="BD199" t="s">
        <v>220</v>
      </c>
      <c r="BE199">
        <v>7</v>
      </c>
      <c r="BF199">
        <v>10</v>
      </c>
      <c r="BG199">
        <v>9</v>
      </c>
      <c r="BH199">
        <v>6</v>
      </c>
      <c r="BI199">
        <v>4</v>
      </c>
      <c r="BJ199" t="s">
        <v>222</v>
      </c>
      <c r="BK199">
        <v>5.5</v>
      </c>
      <c r="BL199">
        <v>9.5</v>
      </c>
      <c r="BM199">
        <v>7</v>
      </c>
      <c r="BN199">
        <v>6</v>
      </c>
      <c r="BO199">
        <v>6</v>
      </c>
    </row>
    <row r="200" spans="1:67" x14ac:dyDescent="0.25">
      <c r="A200">
        <v>36</v>
      </c>
      <c r="B200" t="s">
        <v>384</v>
      </c>
      <c r="C200" t="s">
        <v>388</v>
      </c>
      <c r="D200">
        <v>16239</v>
      </c>
      <c r="E200" t="s">
        <v>194</v>
      </c>
      <c r="F200" t="s">
        <v>12</v>
      </c>
      <c r="G200" s="2">
        <v>32.5</v>
      </c>
      <c r="H200" s="3">
        <v>30.5</v>
      </c>
      <c r="I200" s="4">
        <f t="shared" si="53"/>
        <v>8</v>
      </c>
      <c r="J200">
        <f t="shared" si="48"/>
        <v>8.5</v>
      </c>
      <c r="K200" s="2">
        <v>60</v>
      </c>
      <c r="L200">
        <f t="shared" si="54"/>
        <v>77</v>
      </c>
      <c r="M200" s="2">
        <v>39.5</v>
      </c>
      <c r="N200" s="3">
        <v>37</v>
      </c>
      <c r="O200" s="4">
        <f t="shared" si="55"/>
        <v>10</v>
      </c>
      <c r="P200">
        <f t="shared" si="49"/>
        <v>8</v>
      </c>
      <c r="Q200" s="2">
        <v>72.5</v>
      </c>
      <c r="R200">
        <f t="shared" si="56"/>
        <v>91</v>
      </c>
      <c r="S200" s="2">
        <v>37</v>
      </c>
      <c r="T200" s="3">
        <v>35.5</v>
      </c>
      <c r="U200" s="4">
        <f t="shared" si="57"/>
        <v>9.5</v>
      </c>
      <c r="V200">
        <f t="shared" si="50"/>
        <v>8</v>
      </c>
      <c r="W200" s="2">
        <v>68.5</v>
      </c>
      <c r="X200">
        <f t="shared" si="58"/>
        <v>86</v>
      </c>
      <c r="Y200" s="2">
        <v>33.5</v>
      </c>
      <c r="Z200" s="3">
        <v>38</v>
      </c>
      <c r="AA200" s="4">
        <f t="shared" si="59"/>
        <v>9</v>
      </c>
      <c r="AB200">
        <f t="shared" si="51"/>
        <v>8.5</v>
      </c>
      <c r="AC200" s="2">
        <v>70</v>
      </c>
      <c r="AD200">
        <f t="shared" si="60"/>
        <v>88</v>
      </c>
      <c r="AE200" s="2">
        <v>37.5</v>
      </c>
      <c r="AF200" s="3">
        <v>34</v>
      </c>
      <c r="AG200" s="4">
        <f t="shared" si="61"/>
        <v>9</v>
      </c>
      <c r="AH200">
        <f t="shared" si="52"/>
        <v>7.5</v>
      </c>
      <c r="AI200" s="2">
        <v>70.5</v>
      </c>
      <c r="AJ200">
        <f t="shared" si="62"/>
        <v>87</v>
      </c>
      <c r="AK200" s="2">
        <v>24</v>
      </c>
      <c r="AL200" s="3">
        <v>0</v>
      </c>
      <c r="AM200" s="4">
        <v>25</v>
      </c>
      <c r="AN200" s="2">
        <v>10</v>
      </c>
      <c r="AO200" s="3">
        <v>18</v>
      </c>
      <c r="AP200" s="4">
        <v>34</v>
      </c>
      <c r="AQ200">
        <v>8</v>
      </c>
      <c r="AR200">
        <v>8.5</v>
      </c>
      <c r="AS200">
        <v>10</v>
      </c>
      <c r="AT200">
        <v>6.5</v>
      </c>
      <c r="AU200">
        <f t="shared" si="63"/>
        <v>3.5</v>
      </c>
      <c r="AV200" t="s">
        <v>230</v>
      </c>
      <c r="AW200" t="s">
        <v>231</v>
      </c>
      <c r="AX200" t="s">
        <v>232</v>
      </c>
      <c r="AY200" t="s">
        <v>335</v>
      </c>
      <c r="AZ200" t="s">
        <v>364</v>
      </c>
      <c r="BA200" t="s">
        <v>365</v>
      </c>
      <c r="BC200" t="s">
        <v>218</v>
      </c>
      <c r="BD200" t="s">
        <v>220</v>
      </c>
      <c r="BE200">
        <v>8</v>
      </c>
      <c r="BF200">
        <v>10</v>
      </c>
      <c r="BG200">
        <v>9.5</v>
      </c>
      <c r="BH200">
        <v>9</v>
      </c>
      <c r="BI200">
        <v>7</v>
      </c>
      <c r="BJ200" t="s">
        <v>222</v>
      </c>
      <c r="BK200">
        <v>6.5</v>
      </c>
      <c r="BL200">
        <v>6</v>
      </c>
      <c r="BM200">
        <v>7.5</v>
      </c>
      <c r="BN200">
        <v>8</v>
      </c>
      <c r="BO200">
        <v>9</v>
      </c>
    </row>
    <row r="201" spans="1:67" x14ac:dyDescent="0.25">
      <c r="A201">
        <v>37</v>
      </c>
      <c r="B201" t="s">
        <v>384</v>
      </c>
      <c r="C201" t="s">
        <v>388</v>
      </c>
      <c r="D201">
        <v>17953</v>
      </c>
      <c r="E201" t="s">
        <v>199</v>
      </c>
      <c r="F201" t="s">
        <v>12</v>
      </c>
      <c r="G201" s="2">
        <v>19</v>
      </c>
      <c r="H201" s="3">
        <v>21</v>
      </c>
      <c r="I201" s="4">
        <f t="shared" si="53"/>
        <v>5</v>
      </c>
      <c r="J201">
        <f t="shared" si="48"/>
        <v>8</v>
      </c>
      <c r="K201" s="2" t="s">
        <v>32</v>
      </c>
      <c r="L201">
        <f t="shared" si="54"/>
        <v>13</v>
      </c>
      <c r="M201" s="2">
        <v>30.5</v>
      </c>
      <c r="N201" s="3">
        <v>31.5</v>
      </c>
      <c r="O201" s="4">
        <f t="shared" si="55"/>
        <v>8</v>
      </c>
      <c r="P201">
        <f t="shared" si="49"/>
        <v>7.5</v>
      </c>
      <c r="Q201" s="2" t="s">
        <v>14</v>
      </c>
      <c r="R201">
        <f t="shared" si="56"/>
        <v>16</v>
      </c>
      <c r="S201" s="2">
        <v>19.5</v>
      </c>
      <c r="T201" s="3">
        <v>13.5</v>
      </c>
      <c r="U201" s="4">
        <f t="shared" si="57"/>
        <v>4.5</v>
      </c>
      <c r="V201">
        <f t="shared" si="50"/>
        <v>5.5</v>
      </c>
      <c r="W201" s="2" t="s">
        <v>32</v>
      </c>
      <c r="X201">
        <f t="shared" si="58"/>
        <v>10</v>
      </c>
      <c r="Y201" s="2">
        <v>32</v>
      </c>
      <c r="Z201" s="3">
        <v>24</v>
      </c>
      <c r="AA201" s="4">
        <f t="shared" si="59"/>
        <v>7</v>
      </c>
      <c r="AB201">
        <f t="shared" si="51"/>
        <v>9.5</v>
      </c>
      <c r="AC201" s="2" t="s">
        <v>32</v>
      </c>
      <c r="AD201">
        <f t="shared" si="60"/>
        <v>17</v>
      </c>
      <c r="AE201" s="2">
        <v>29.5</v>
      </c>
      <c r="AF201" s="3">
        <v>26.5</v>
      </c>
      <c r="AG201" s="4">
        <f t="shared" si="61"/>
        <v>7</v>
      </c>
      <c r="AH201">
        <f t="shared" si="52"/>
        <v>7</v>
      </c>
      <c r="AI201" s="2" t="s">
        <v>14</v>
      </c>
      <c r="AJ201">
        <f t="shared" si="62"/>
        <v>14</v>
      </c>
      <c r="AK201" s="2">
        <v>20.5</v>
      </c>
      <c r="AL201" s="3">
        <v>12.5</v>
      </c>
      <c r="AM201" s="4" t="s">
        <v>32</v>
      </c>
      <c r="AN201" s="2" t="s">
        <v>32</v>
      </c>
      <c r="AO201" s="3">
        <v>16</v>
      </c>
      <c r="AP201" s="4" t="s">
        <v>15</v>
      </c>
      <c r="AQ201">
        <v>8</v>
      </c>
      <c r="AR201">
        <v>6</v>
      </c>
      <c r="AS201">
        <v>10</v>
      </c>
      <c r="AT201" t="s">
        <v>32</v>
      </c>
      <c r="AU201">
        <f t="shared" si="63"/>
        <v>0</v>
      </c>
      <c r="AV201" t="s">
        <v>230</v>
      </c>
      <c r="AW201" t="s">
        <v>231</v>
      </c>
      <c r="AX201" t="s">
        <v>232</v>
      </c>
      <c r="AY201" t="s">
        <v>344</v>
      </c>
      <c r="AZ201" t="s">
        <v>366</v>
      </c>
      <c r="BA201" t="s">
        <v>235</v>
      </c>
      <c r="BB201" t="s">
        <v>276</v>
      </c>
      <c r="BC201" t="s">
        <v>218</v>
      </c>
      <c r="BD201" t="s">
        <v>220</v>
      </c>
      <c r="BE201">
        <v>8</v>
      </c>
      <c r="BF201">
        <v>10</v>
      </c>
      <c r="BG201">
        <v>9.5</v>
      </c>
      <c r="BH201">
        <v>7</v>
      </c>
      <c r="BI201">
        <v>4</v>
      </c>
      <c r="BJ201" t="s">
        <v>222</v>
      </c>
      <c r="BK201">
        <v>6</v>
      </c>
      <c r="BL201">
        <v>5</v>
      </c>
      <c r="BM201">
        <v>9.5</v>
      </c>
      <c r="BN201">
        <v>9</v>
      </c>
      <c r="BO201">
        <v>6.5</v>
      </c>
    </row>
    <row r="202" spans="1:67" x14ac:dyDescent="0.25">
      <c r="A202">
        <v>38</v>
      </c>
      <c r="B202" t="s">
        <v>384</v>
      </c>
      <c r="C202" t="s">
        <v>388</v>
      </c>
      <c r="D202">
        <v>17341</v>
      </c>
      <c r="E202" t="s">
        <v>204</v>
      </c>
      <c r="F202" t="s">
        <v>12</v>
      </c>
      <c r="G202" s="2">
        <v>27.5</v>
      </c>
      <c r="H202" s="3">
        <v>25</v>
      </c>
      <c r="I202" s="4">
        <f t="shared" si="53"/>
        <v>7</v>
      </c>
      <c r="J202">
        <f t="shared" si="48"/>
        <v>3</v>
      </c>
      <c r="K202" s="2">
        <v>47</v>
      </c>
      <c r="L202">
        <f t="shared" si="54"/>
        <v>57</v>
      </c>
      <c r="M202" s="2">
        <v>24.5</v>
      </c>
      <c r="N202" s="3">
        <v>28</v>
      </c>
      <c r="O202" s="4">
        <f t="shared" si="55"/>
        <v>7</v>
      </c>
      <c r="P202">
        <f t="shared" si="49"/>
        <v>8</v>
      </c>
      <c r="Q202" s="2">
        <v>0</v>
      </c>
      <c r="R202">
        <f t="shared" si="56"/>
        <v>15</v>
      </c>
      <c r="S202" s="2">
        <v>31</v>
      </c>
      <c r="T202" s="3">
        <v>28.5</v>
      </c>
      <c r="U202" s="4">
        <f t="shared" si="57"/>
        <v>7.5</v>
      </c>
      <c r="V202">
        <f t="shared" si="50"/>
        <v>5.5</v>
      </c>
      <c r="W202" s="2">
        <v>53</v>
      </c>
      <c r="X202">
        <f t="shared" si="58"/>
        <v>66</v>
      </c>
      <c r="Y202" s="2">
        <v>23.5</v>
      </c>
      <c r="Z202" s="3">
        <v>29.5</v>
      </c>
      <c r="AA202" s="4">
        <f t="shared" si="59"/>
        <v>7</v>
      </c>
      <c r="AB202">
        <f t="shared" si="51"/>
        <v>8</v>
      </c>
      <c r="AC202" s="2" t="s">
        <v>32</v>
      </c>
      <c r="AD202">
        <f t="shared" si="60"/>
        <v>15</v>
      </c>
      <c r="AE202" s="2">
        <v>19.5</v>
      </c>
      <c r="AF202" s="3">
        <v>18.5</v>
      </c>
      <c r="AG202" s="4">
        <f t="shared" si="61"/>
        <v>5</v>
      </c>
      <c r="AH202">
        <f t="shared" si="52"/>
        <v>8</v>
      </c>
      <c r="AI202" s="2" t="s">
        <v>14</v>
      </c>
      <c r="AJ202">
        <f t="shared" si="62"/>
        <v>13</v>
      </c>
      <c r="AK202" s="2">
        <v>15</v>
      </c>
      <c r="AL202" s="3">
        <v>9</v>
      </c>
      <c r="AM202" s="4">
        <v>11.5</v>
      </c>
      <c r="AN202" s="2">
        <v>7</v>
      </c>
      <c r="AO202" s="3">
        <v>14</v>
      </c>
      <c r="AP202" s="4">
        <v>22.5</v>
      </c>
      <c r="AQ202">
        <v>8</v>
      </c>
      <c r="AR202">
        <v>7</v>
      </c>
      <c r="AS202">
        <v>10</v>
      </c>
      <c r="AT202">
        <v>7</v>
      </c>
      <c r="AU202">
        <f t="shared" si="63"/>
        <v>3.5</v>
      </c>
      <c r="AV202" t="s">
        <v>230</v>
      </c>
      <c r="AW202" t="s">
        <v>231</v>
      </c>
      <c r="AX202" t="s">
        <v>232</v>
      </c>
      <c r="AY202" t="s">
        <v>367</v>
      </c>
      <c r="BA202" t="s">
        <v>368</v>
      </c>
      <c r="BB202" t="s">
        <v>369</v>
      </c>
      <c r="BC202" t="s">
        <v>218</v>
      </c>
      <c r="BD202" t="s">
        <v>220</v>
      </c>
      <c r="BE202">
        <v>7</v>
      </c>
      <c r="BF202">
        <v>10</v>
      </c>
      <c r="BG202">
        <v>8.5</v>
      </c>
      <c r="BH202">
        <v>5.5</v>
      </c>
      <c r="BI202">
        <v>4</v>
      </c>
      <c r="BJ202" t="s">
        <v>222</v>
      </c>
      <c r="BK202">
        <v>9</v>
      </c>
      <c r="BL202">
        <v>5.5</v>
      </c>
      <c r="BM202">
        <v>7</v>
      </c>
      <c r="BN202" t="s">
        <v>32</v>
      </c>
      <c r="BO202">
        <v>6.5</v>
      </c>
    </row>
  </sheetData>
  <sortState ref="A2:AS202">
    <sortCondition ref="B2:B202"/>
    <sortCondition ref="A2:A20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WEBEXCEL</cp:lastModifiedBy>
  <dcterms:created xsi:type="dcterms:W3CDTF">2024-10-04T13:58:16Z</dcterms:created>
  <dcterms:modified xsi:type="dcterms:W3CDTF">2024-10-05T03:49:52Z</dcterms:modified>
</cp:coreProperties>
</file>