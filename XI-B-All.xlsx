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1"/>
  <c r="AJ3"/>
  <c r="AK3"/>
  <c r="AL3"/>
  <c r="AM3"/>
  <c r="AI4"/>
  <c r="AJ4"/>
  <c r="AK4"/>
  <c r="AL4"/>
  <c r="AM4"/>
  <c r="AI5"/>
  <c r="AJ5"/>
  <c r="AK5"/>
  <c r="AL5"/>
  <c r="AM5"/>
  <c r="AI6"/>
  <c r="AJ6"/>
  <c r="AK6"/>
  <c r="AL6"/>
  <c r="AM6"/>
  <c r="AI7"/>
  <c r="AJ7"/>
  <c r="AK7"/>
  <c r="AL7"/>
  <c r="AM7"/>
  <c r="AI8"/>
  <c r="AJ8"/>
  <c r="AK8"/>
  <c r="AL8"/>
  <c r="AM8"/>
  <c r="AI9"/>
  <c r="AJ9"/>
  <c r="AK9"/>
  <c r="AL9"/>
  <c r="AM9"/>
  <c r="AI10"/>
  <c r="AJ10"/>
  <c r="AK10"/>
  <c r="AL10"/>
  <c r="AM10"/>
  <c r="AI11"/>
  <c r="AJ11"/>
  <c r="AK11"/>
  <c r="AL11"/>
  <c r="AM11"/>
  <c r="AI12"/>
  <c r="AJ12"/>
  <c r="AK12"/>
  <c r="AL12"/>
  <c r="AM12"/>
  <c r="AI13"/>
  <c r="AJ13"/>
  <c r="AK13"/>
  <c r="AL13"/>
  <c r="AM13"/>
  <c r="AI14"/>
  <c r="AJ14"/>
  <c r="AK14"/>
  <c r="AL14"/>
  <c r="AM14"/>
  <c r="AI15"/>
  <c r="AJ15"/>
  <c r="AK15"/>
  <c r="AL15"/>
  <c r="AM15"/>
  <c r="AI16"/>
  <c r="AJ16"/>
  <c r="AK16"/>
  <c r="AL16"/>
  <c r="AM16"/>
  <c r="AI17"/>
  <c r="AJ17"/>
  <c r="AK17"/>
  <c r="AL17"/>
  <c r="AM17"/>
  <c r="AI18"/>
  <c r="AJ18"/>
  <c r="AK18"/>
  <c r="AL18"/>
  <c r="AM18"/>
  <c r="AI19"/>
  <c r="AJ19"/>
  <c r="AK19"/>
  <c r="AL19"/>
  <c r="AM19"/>
  <c r="AI20"/>
  <c r="AJ20"/>
  <c r="AK20"/>
  <c r="AL20"/>
  <c r="AM20"/>
  <c r="AI21"/>
  <c r="AJ21"/>
  <c r="AK21"/>
  <c r="AL21"/>
  <c r="AM21"/>
  <c r="AI22"/>
  <c r="AJ22"/>
  <c r="AK22"/>
  <c r="AL22"/>
  <c r="AM22"/>
  <c r="AI23"/>
  <c r="AJ23"/>
  <c r="AK23"/>
  <c r="AL23"/>
  <c r="AM23"/>
  <c r="AI24"/>
  <c r="AJ24"/>
  <c r="AK24"/>
  <c r="AL24"/>
  <c r="AM24"/>
  <c r="AI25"/>
  <c r="AJ25"/>
  <c r="AK25"/>
  <c r="AL25"/>
  <c r="AM25"/>
  <c r="AI26"/>
  <c r="AJ26"/>
  <c r="AK26"/>
  <c r="AL26"/>
  <c r="AM26"/>
  <c r="AI27"/>
  <c r="AJ27"/>
  <c r="AK27"/>
  <c r="AL27"/>
  <c r="AM27"/>
  <c r="AI28"/>
  <c r="AJ28"/>
  <c r="AK28"/>
  <c r="AL28"/>
  <c r="AM28"/>
  <c r="AI29"/>
  <c r="AJ29"/>
  <c r="AK29"/>
  <c r="AL29"/>
  <c r="AM29"/>
  <c r="AI30"/>
  <c r="AJ30"/>
  <c r="AK30"/>
  <c r="AL30"/>
  <c r="AM30"/>
  <c r="AI31"/>
  <c r="AJ31"/>
  <c r="AK31"/>
  <c r="AL31"/>
  <c r="AM31"/>
  <c r="AI32"/>
  <c r="AJ32"/>
  <c r="AK32"/>
  <c r="AL32"/>
  <c r="AM32"/>
  <c r="AI33"/>
  <c r="AJ33"/>
  <c r="AK33"/>
  <c r="AL33"/>
  <c r="AM33"/>
  <c r="AM2"/>
  <c r="AL2"/>
  <c r="AK2"/>
  <c r="AJ2"/>
  <c r="AI2"/>
  <c r="AH3"/>
  <c r="AH4"/>
  <c r="AH5"/>
  <c r="AH6"/>
  <c r="AH7"/>
  <c r="AH8"/>
  <c r="AH9"/>
  <c r="AH10"/>
  <c r="AH11"/>
  <c r="AH12"/>
  <c r="AH13"/>
  <c r="AH14"/>
  <c r="AH15"/>
  <c r="AH16"/>
  <c r="AH17"/>
  <c r="AH18"/>
  <c r="AH19"/>
  <c r="AH20"/>
  <c r="AH21"/>
  <c r="AH22"/>
  <c r="AH23"/>
  <c r="AH24"/>
  <c r="AH25"/>
  <c r="AH26"/>
  <c r="AH27"/>
  <c r="AH28"/>
  <c r="AH29"/>
  <c r="AH30"/>
  <c r="AH31"/>
  <c r="AH32"/>
  <c r="AH33"/>
  <c r="AH2"/>
  <c r="AC3"/>
  <c r="AC4"/>
  <c r="AC5"/>
  <c r="AC6"/>
  <c r="AC7"/>
  <c r="AC8"/>
  <c r="AC9"/>
  <c r="AC10"/>
  <c r="AC11"/>
  <c r="AC12"/>
  <c r="AC13"/>
  <c r="AC14"/>
  <c r="AC15"/>
  <c r="AC16"/>
  <c r="AC17"/>
  <c r="AC18"/>
  <c r="AC19"/>
  <c r="AC20"/>
  <c r="AC21"/>
  <c r="AC22"/>
  <c r="AC23"/>
  <c r="AC24"/>
  <c r="AC25"/>
  <c r="AC26"/>
  <c r="AC27"/>
  <c r="AC28"/>
  <c r="AC29"/>
  <c r="AC30"/>
  <c r="AC31"/>
  <c r="AC32"/>
  <c r="AC33"/>
  <c r="AC2"/>
</calcChain>
</file>

<file path=xl/sharedStrings.xml><?xml version="1.0" encoding="utf-8"?>
<sst xmlns="http://schemas.openxmlformats.org/spreadsheetml/2006/main" count="505" uniqueCount="127">
  <si>
    <t>Roll_No</t>
  </si>
  <si>
    <t>CLASSSEC</t>
  </si>
  <si>
    <t>Adno</t>
  </si>
  <si>
    <t>name</t>
  </si>
  <si>
    <t>Exam</t>
  </si>
  <si>
    <t>English</t>
  </si>
  <si>
    <t>AB</t>
  </si>
  <si>
    <t>ab</t>
  </si>
  <si>
    <t>Quarterly</t>
  </si>
  <si>
    <t>Quarterly- IA / Practicals</t>
  </si>
  <si>
    <t>OD</t>
  </si>
  <si>
    <t>T1</t>
  </si>
  <si>
    <t>T2</t>
  </si>
  <si>
    <t>T3</t>
  </si>
  <si>
    <t>Att</t>
  </si>
  <si>
    <t>Scholastic</t>
  </si>
  <si>
    <t>Sports</t>
  </si>
  <si>
    <t>Yes</t>
  </si>
  <si>
    <t>Good</t>
  </si>
  <si>
    <t>Regular</t>
  </si>
  <si>
    <t>Chemistry</t>
  </si>
  <si>
    <t>Physics</t>
  </si>
  <si>
    <t>Maths</t>
  </si>
  <si>
    <t>Unit Test- I</t>
  </si>
  <si>
    <t>A</t>
  </si>
  <si>
    <t>Unit Test-II</t>
  </si>
  <si>
    <t>75/76</t>
  </si>
  <si>
    <t>71/76</t>
  </si>
  <si>
    <t>72/76</t>
  </si>
  <si>
    <t>74/76</t>
  </si>
  <si>
    <t>67/76</t>
  </si>
  <si>
    <t>73/76</t>
  </si>
  <si>
    <t>68/76</t>
  </si>
  <si>
    <t>67.5/76</t>
  </si>
  <si>
    <t>70/76</t>
  </si>
  <si>
    <t>71.5/76</t>
  </si>
  <si>
    <t>76/76</t>
  </si>
  <si>
    <t>Biology</t>
  </si>
  <si>
    <t>Informatics_Practices</t>
  </si>
  <si>
    <t>XI-B</t>
  </si>
  <si>
    <t>R ABHIISHEK</t>
  </si>
  <si>
    <t>ABINAYA RAMAN</t>
  </si>
  <si>
    <t>AJASHWINI SAHOO</t>
  </si>
  <si>
    <t>APARAJITHA MURALIDHARAN</t>
  </si>
  <si>
    <t>J ASHWANTHIKA</t>
  </si>
  <si>
    <t>CHARA SHREE KATARE</t>
  </si>
  <si>
    <t>DIYA RANJITH</t>
  </si>
  <si>
    <t>DWARAKH SHRIRAM</t>
  </si>
  <si>
    <t>S K GHUSHVANTHIKA</t>
  </si>
  <si>
    <t>HARINI B</t>
  </si>
  <si>
    <t>S HARSHITA</t>
  </si>
  <si>
    <t>HARSIKA SRI R</t>
  </si>
  <si>
    <t>JAI KRISHNAN P</t>
  </si>
  <si>
    <t>JANANI S</t>
  </si>
  <si>
    <t>KALYANI RAJESH</t>
  </si>
  <si>
    <t>K KARTHIGEYAN</t>
  </si>
  <si>
    <t>R KAVI</t>
  </si>
  <si>
    <t>KAVIN K</t>
  </si>
  <si>
    <t>KRISHNA NANDA</t>
  </si>
  <si>
    <t>KRITAV KRISHNA</t>
  </si>
  <si>
    <t>M M LIBAN REYHAN</t>
  </si>
  <si>
    <t>M MADHESHWARAN</t>
  </si>
  <si>
    <t>MAHIMA SRIDHAR</t>
  </si>
  <si>
    <t>S PAVITHRA</t>
  </si>
  <si>
    <t>a</t>
  </si>
  <si>
    <t>A RAJARAJESWARI</t>
  </si>
  <si>
    <t>SAI ARNAV RAYALA</t>
  </si>
  <si>
    <t>G SAI ROSHINII</t>
  </si>
  <si>
    <t>SAI SKANDHAN</t>
  </si>
  <si>
    <t>SRI DHARSHIKA SIVAKUMAR</t>
  </si>
  <si>
    <t>P B SWAETHASRI</t>
  </si>
  <si>
    <t>THAARANI PRIYA KIRUBAKARAN</t>
  </si>
  <si>
    <t>A VAINAVI</t>
  </si>
  <si>
    <t>Volunteer for Vivadha media Volunteer for annual day in prize committee Participated in Smaraneeyam 2024</t>
  </si>
  <si>
    <t>Participated in English drama annual day Won 3rd prize in reflections band 2024 Completed an exhilarating trekking expedition at Avocado Hills</t>
  </si>
  <si>
    <t>Volunteer for annual day dance program</t>
  </si>
  <si>
    <t>Volunteer for annual day prize committee Participate in Dumb C at Smaraneeyam sankara cultural events Completed an exhilarating trekking expedition at Avocado Hills</t>
  </si>
  <si>
    <t>Won 2nd prize in English endowment competition Participated in Vivadha medai Participated in English drama -- Annual day Participatd in ED MUN</t>
  </si>
  <si>
    <t>Participated in annual choir and in Rhetoric as swing team Participated in VITC MUN</t>
  </si>
  <si>
    <t>Won 2nd prize in English endowment</t>
  </si>
  <si>
    <t>Volunteer in Annual day</t>
  </si>
  <si>
    <t>Participated in dance-Annual day</t>
  </si>
  <si>
    <t>Volunteer for annual day - Decoration committee</t>
  </si>
  <si>
    <t>Conducted science quiz</t>
  </si>
  <si>
    <t>Volunteer for annual day -- Dance</t>
  </si>
  <si>
    <t>60.5/76</t>
  </si>
  <si>
    <t>Volunteer for annual day</t>
  </si>
  <si>
    <t>Volunteer for annual day dance program Participated in Smaraneeyam treasure hunt Completed an exhilarating trekking expedition at Avocado Hills</t>
  </si>
  <si>
    <t>Volunteer for annual day Completed an exhilarating trekking expedition at Avocado Hills</t>
  </si>
  <si>
    <t>Volunteer for school annual day - prize committee</t>
  </si>
  <si>
    <t>Volunteer for school annual day - prize committee -Participated in Math talent test</t>
  </si>
  <si>
    <t xml:space="preserve">Volunteer for annual day - prize committee </t>
  </si>
  <si>
    <t>68.5/76</t>
  </si>
  <si>
    <t>Volunteer in school day</t>
  </si>
  <si>
    <t>Participated in dance program - annual day</t>
  </si>
  <si>
    <t>61/76</t>
  </si>
  <si>
    <t>Volunteer in annual day</t>
  </si>
  <si>
    <t>Participated in annual day dance program</t>
  </si>
  <si>
    <t>Volunteer for annual day and Rhetoric</t>
  </si>
  <si>
    <t>74.5/76</t>
  </si>
  <si>
    <t>Volunteer in annual day Completed an exhilarating trekking expedition at Avocado Hills</t>
  </si>
  <si>
    <t>Volunteer for vivadha medai and annual day Completed an exhilarating trekking expedition at Avocado Hills</t>
  </si>
  <si>
    <t>Volunteer for dance program -- annual day</t>
  </si>
  <si>
    <t xml:space="preserve">Voluneer for dance program in the annual day </t>
  </si>
  <si>
    <t>Volunteer for dance program in annual day</t>
  </si>
  <si>
    <t xml:space="preserve">      </t>
  </si>
  <si>
    <t xml:space="preserve"> 358 meters above sea level in Kodaikanal. This activity offered the student a chance to connect with the natural environment  promote teamwork  and build essential outdoor skills. -  </t>
  </si>
  <si>
    <t xml:space="preserve">  BVB essay writing  Kalanjali JAM Completed an exhilarating trekking expedition at Avocado Hills  located at an elevation of 1 358 meters above sea level in Kodaikanal. This activity offered the student a chance to connect with the natural environment  promote teamwork  and build essential outdoor skills.</t>
  </si>
  <si>
    <t xml:space="preserve">  ED MUN Best oped LAKEVIEW MUN High commendation  AXIS MUN- chair person  NPS MUN chair person  VINTAGE MUN co-chair person  APL MUN chair person</t>
  </si>
  <si>
    <t xml:space="preserve">  Participated in sanskrit essay - literary week. Won 3rd prize in MCTM debate competition  2nd prize in Jewellary making- Kalanjali  Participated in creative writing - Smaraneeyam  1st prize in debate competition- P S educational society  Participated in CBSE story telling competition Completed an exhilarating trekking expedition at Avocado Hills  located at an elevation of 1</t>
  </si>
  <si>
    <t xml:space="preserve">  located at an elevation of 1 358 meters above sea level in Kodaikanal. This activity offered the student a chance to connect with the natural environment  promote teamwork  and build essential outdoor skills. Participated in Football match at Omega school won 1st place in 1500m and 2nd place 400m relay in school sports day Won CBSE cluster- south zone in foot ball match and qualified for the Nationals </t>
  </si>
  <si>
    <t xml:space="preserve">  runner in throwball tournament - P S society golden jublieCompleted an exhilarating trekking expedition at Avocado Hills  located at an elevation of 1 358 meters above sea level in Kodaikanal. This activity offered the student a chance to connect with the natural environment  promote teamwork  and build essential outdoor skills. </t>
  </si>
  <si>
    <t xml:space="preserve">  located at an elevation of 1 358 meters above sea level in Kodaikanal. This activity offered the student a chance to connect with the natural environment  promote teamwork  and build essential outdoor skills. Participated in badminton -- YMCA  1st place in Javeline throw</t>
  </si>
  <si>
    <t xml:space="preserve">  Reverberation  Reflections  Smaraneeyam and Maithri -  </t>
  </si>
  <si>
    <t xml:space="preserve">  Volunteer for Rhetoric -    </t>
  </si>
  <si>
    <t xml:space="preserve">  located at an elevation of 1 358 meters above sea level in Kodaikanal. This activity offered the student a chance to connect with the natural environment  promote teamwork  and build essential outdoor skills. - </t>
  </si>
  <si>
    <t xml:space="preserve">  located at an elevation of 1 358 meters above sea level in Kodaikanal. This activity offered the student a chance to connect with the natural environment  promote teamwork  and build essential outdoor skills. 2nd place in javelin throw </t>
  </si>
  <si>
    <t xml:space="preserve">  Kuala Lumpur 3rd seventeen mall chess - won 1st place  Kuala Lumpur- 1st Gombak FIDE Rapid - won 4th place  Kuala Lumpur- circuit 5 - Runner up  Chairman's trophy international open FIDE rating rapid chess - won 1st place  60th Jubilee international Akiba Rubinstein chess festival - Poland - secured 10th place in open E category  IX Lech Kaczynski international chess festival - Poland - secured 7th place in open B category</t>
  </si>
  <si>
    <t xml:space="preserve"> -     </t>
  </si>
  <si>
    <t xml:space="preserve">  Participated in VITC MUN  ED MUN  CV MUN - verbal and honorable mention Completed an exhilarating trekking expedition at Avocado Hills  located at an elevation of 1 358 meters above sea level in Kodaikanal. This activity offered the student a chance to connect with the natural environment  promote teamwork</t>
  </si>
  <si>
    <t xml:space="preserve">  Participated in Kalanjali -    </t>
  </si>
  <si>
    <t xml:space="preserve">  CV MUN  SAN MUN  Participated in Kalanjali  Smaraneeyam  Won 2nd place in stand up comedy -- Reverberations Completed an exhilarating trekking expedition at Avocado Hills  located at an elevation of 1</t>
  </si>
  <si>
    <t xml:space="preserve">  located at an elevation of 1 358 meters above sea level in Kodaikanal. This activity offered the student a chance to connect with the natural environment  promote teamwork  and build essential outdoor skills. Won 1st place in Basket ball intramurals </t>
  </si>
  <si>
    <t xml:space="preserve"> 358 meters above sea level in Kodaikanal. This activity offered the student a chance to connect with the natural environment  promote teamwork  and build essential outdoor skills. 3rd prize in long jump  1st prize in 4 x 100m relay  Participated in PEDHAS meet conducted by MCC</t>
  </si>
  <si>
    <t xml:space="preserve"> Intramurals - Throwball -3rd place   Throwball tournament - runner up- At P S society Golden jublie event    </t>
  </si>
  <si>
    <t xml:space="preserve">  Participated in Smaraneeyam -    </t>
  </si>
  <si>
    <t>TERM1-100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</si>
</sst>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T33"/>
  <sheetViews>
    <sheetView tabSelected="1" topLeftCell="A12" workbookViewId="0">
      <selection activeCell="AI8" sqref="AI8"/>
    </sheetView>
  </sheetViews>
  <sheetFormatPr defaultColWidth="11.7109375" defaultRowHeight="15"/>
  <cols>
    <col min="1" max="1" width="8" bestFit="1" customWidth="1"/>
    <col min="2" max="2" width="9.42578125" bestFit="1" customWidth="1"/>
    <col min="3" max="3" width="6" customWidth="1"/>
    <col min="5" max="5" width="6.140625" customWidth="1"/>
    <col min="6" max="6" width="7.140625" customWidth="1"/>
    <col min="7" max="7" width="6.28515625" customWidth="1"/>
    <col min="8" max="8" width="6" customWidth="1"/>
    <col min="9" max="9" width="5.85546875" customWidth="1"/>
    <col min="10" max="10" width="7.140625" customWidth="1"/>
    <col min="11" max="11" width="7.5703125" customWidth="1"/>
    <col min="12" max="12" width="8.85546875"/>
    <col min="13" max="13" width="7.42578125" customWidth="1"/>
    <col min="14" max="14" width="5.42578125" customWidth="1"/>
    <col min="15" max="15" width="6.42578125" customWidth="1"/>
    <col min="16" max="16" width="6.85546875" customWidth="1"/>
    <col min="17" max="17" width="7.5703125" customWidth="1"/>
    <col min="18" max="18" width="5.5703125" customWidth="1"/>
    <col min="19" max="19" width="8.85546875"/>
    <col min="20" max="20" width="6.85546875" customWidth="1"/>
    <col min="21" max="26" width="8.85546875"/>
    <col min="27" max="27" width="6.85546875" customWidth="1"/>
    <col min="28" max="28" width="5.85546875" customWidth="1"/>
    <col min="29" max="30" width="6" customWidth="1"/>
    <col min="31" max="31" width="4.85546875" customWidth="1"/>
    <col min="32" max="32" width="6.7109375" customWidth="1"/>
    <col min="33" max="33" width="10.5703125" bestFit="1" customWidth="1"/>
    <col min="34" max="34" width="10.5703125" customWidth="1"/>
    <col min="35" max="39" width="6.7109375" customWidth="1"/>
    <col min="40" max="46" width="8.85546875"/>
    <col min="47" max="47" width="7.140625" bestFit="1" customWidth="1"/>
    <col min="48" max="48" width="10.28515625" bestFit="1" customWidth="1"/>
    <col min="49" max="50" width="255.7109375" bestFit="1" customWidth="1"/>
    <col min="51" max="55" width="8.85546875"/>
  </cols>
  <sheetData>
    <row r="1" spans="1:46">
      <c r="A1" t="s">
        <v>0</v>
      </c>
      <c r="B1" t="s">
        <v>1</v>
      </c>
      <c r="C1" t="s">
        <v>2</v>
      </c>
      <c r="D1" t="s">
        <v>3</v>
      </c>
      <c r="E1" t="s">
        <v>4</v>
      </c>
      <c r="F1" t="s">
        <v>37</v>
      </c>
      <c r="G1" t="s">
        <v>5</v>
      </c>
      <c r="H1" t="s">
        <v>22</v>
      </c>
      <c r="I1" t="s">
        <v>21</v>
      </c>
      <c r="J1" t="s">
        <v>20</v>
      </c>
      <c r="K1" t="s">
        <v>38</v>
      </c>
      <c r="L1" t="s">
        <v>4</v>
      </c>
      <c r="M1" t="s">
        <v>37</v>
      </c>
      <c r="N1" t="s">
        <v>5</v>
      </c>
      <c r="O1" t="s">
        <v>22</v>
      </c>
      <c r="P1" t="s">
        <v>21</v>
      </c>
      <c r="Q1" t="s">
        <v>20</v>
      </c>
      <c r="R1" t="s">
        <v>38</v>
      </c>
      <c r="S1" t="s">
        <v>4</v>
      </c>
      <c r="T1" t="s">
        <v>37</v>
      </c>
      <c r="U1" t="s">
        <v>5</v>
      </c>
      <c r="V1" t="s">
        <v>22</v>
      </c>
      <c r="W1" t="s">
        <v>21</v>
      </c>
      <c r="X1" t="s">
        <v>20</v>
      </c>
      <c r="Y1" t="s">
        <v>38</v>
      </c>
      <c r="Z1" t="s">
        <v>4</v>
      </c>
      <c r="AA1" t="s">
        <v>37</v>
      </c>
      <c r="AB1" t="s">
        <v>5</v>
      </c>
      <c r="AC1" s="1" t="s">
        <v>22</v>
      </c>
      <c r="AD1" t="s">
        <v>21</v>
      </c>
      <c r="AE1" t="s">
        <v>20</v>
      </c>
      <c r="AF1" t="s">
        <v>38</v>
      </c>
      <c r="AG1" t="s">
        <v>126</v>
      </c>
      <c r="AH1" t="s">
        <v>37</v>
      </c>
      <c r="AI1" t="s">
        <v>5</v>
      </c>
      <c r="AJ1" s="1" t="s">
        <v>22</v>
      </c>
      <c r="AK1" t="s">
        <v>21</v>
      </c>
      <c r="AL1" t="s">
        <v>20</v>
      </c>
      <c r="AM1" t="s">
        <v>38</v>
      </c>
      <c r="AN1" t="s">
        <v>4</v>
      </c>
      <c r="AO1" t="s">
        <v>11</v>
      </c>
      <c r="AP1" t="s">
        <v>12</v>
      </c>
      <c r="AQ1" t="s">
        <v>13</v>
      </c>
      <c r="AR1" t="s">
        <v>14</v>
      </c>
      <c r="AS1" t="s">
        <v>15</v>
      </c>
      <c r="AT1" t="s">
        <v>16</v>
      </c>
    </row>
    <row r="2" spans="1:46">
      <c r="A2">
        <v>1</v>
      </c>
      <c r="B2" t="s">
        <v>39</v>
      </c>
      <c r="C2">
        <v>14631</v>
      </c>
      <c r="D2" t="s">
        <v>40</v>
      </c>
      <c r="E2" t="s">
        <v>23</v>
      </c>
      <c r="F2">
        <v>16</v>
      </c>
      <c r="G2">
        <v>20</v>
      </c>
      <c r="H2">
        <v>16</v>
      </c>
      <c r="I2">
        <v>13</v>
      </c>
      <c r="J2">
        <v>11.5</v>
      </c>
      <c r="K2">
        <v>0</v>
      </c>
      <c r="L2" t="s">
        <v>25</v>
      </c>
      <c r="M2">
        <v>10</v>
      </c>
      <c r="N2">
        <v>24</v>
      </c>
      <c r="O2">
        <v>12</v>
      </c>
      <c r="P2">
        <v>4.5</v>
      </c>
      <c r="Q2">
        <v>7.5</v>
      </c>
      <c r="R2">
        <v>0</v>
      </c>
      <c r="S2" t="s">
        <v>8</v>
      </c>
      <c r="T2">
        <v>30</v>
      </c>
      <c r="U2">
        <v>35.5</v>
      </c>
      <c r="V2">
        <v>36</v>
      </c>
      <c r="W2">
        <v>26</v>
      </c>
      <c r="X2">
        <v>26.5</v>
      </c>
      <c r="Y2">
        <v>0</v>
      </c>
      <c r="Z2" t="s">
        <v>9</v>
      </c>
      <c r="AA2">
        <v>17</v>
      </c>
      <c r="AB2">
        <v>7</v>
      </c>
      <c r="AC2" s="1">
        <f>CEILING((N(H2)+N(O2))/80*20,0.5)</f>
        <v>7</v>
      </c>
      <c r="AD2">
        <v>26</v>
      </c>
      <c r="AE2">
        <v>26</v>
      </c>
      <c r="AF2">
        <v>0</v>
      </c>
      <c r="AG2" t="s">
        <v>126</v>
      </c>
      <c r="AH2" s="1">
        <f>ROUND(AA2+N(T2),0)</f>
        <v>47</v>
      </c>
      <c r="AI2" s="1">
        <f t="shared" ref="AI2:AM2" si="0">ROUND(AB2+N(U2),0)</f>
        <v>43</v>
      </c>
      <c r="AJ2" s="1">
        <f t="shared" si="0"/>
        <v>43</v>
      </c>
      <c r="AK2" s="1">
        <f t="shared" si="0"/>
        <v>52</v>
      </c>
      <c r="AL2" s="1">
        <f t="shared" si="0"/>
        <v>53</v>
      </c>
      <c r="AM2" s="1">
        <f t="shared" si="0"/>
        <v>0</v>
      </c>
      <c r="AN2" t="s">
        <v>8</v>
      </c>
      <c r="AO2" t="s">
        <v>17</v>
      </c>
      <c r="AP2" t="s">
        <v>18</v>
      </c>
      <c r="AQ2" t="s">
        <v>19</v>
      </c>
      <c r="AR2" t="s">
        <v>27</v>
      </c>
      <c r="AS2" t="s">
        <v>73</v>
      </c>
      <c r="AT2" t="s">
        <v>105</v>
      </c>
    </row>
    <row r="3" spans="1:46">
      <c r="A3">
        <v>2</v>
      </c>
      <c r="B3" t="s">
        <v>39</v>
      </c>
      <c r="C3">
        <v>16718</v>
      </c>
      <c r="D3" t="s">
        <v>41</v>
      </c>
      <c r="E3" t="s">
        <v>23</v>
      </c>
      <c r="F3">
        <v>17.5</v>
      </c>
      <c r="G3">
        <v>31.5</v>
      </c>
      <c r="H3">
        <v>22</v>
      </c>
      <c r="I3">
        <v>20</v>
      </c>
      <c r="J3">
        <v>20</v>
      </c>
      <c r="K3">
        <v>0</v>
      </c>
      <c r="L3" t="s">
        <v>25</v>
      </c>
      <c r="M3">
        <v>16</v>
      </c>
      <c r="N3">
        <v>30</v>
      </c>
      <c r="O3">
        <v>17.5</v>
      </c>
      <c r="P3">
        <v>17.5</v>
      </c>
      <c r="Q3">
        <v>23</v>
      </c>
      <c r="R3">
        <v>0</v>
      </c>
      <c r="S3" t="s">
        <v>8</v>
      </c>
      <c r="T3">
        <v>54.5</v>
      </c>
      <c r="U3">
        <v>62.5</v>
      </c>
      <c r="V3">
        <v>45</v>
      </c>
      <c r="W3">
        <v>34</v>
      </c>
      <c r="X3">
        <v>30.5</v>
      </c>
      <c r="Y3">
        <v>0</v>
      </c>
      <c r="Z3" t="s">
        <v>9</v>
      </c>
      <c r="AA3">
        <v>25</v>
      </c>
      <c r="AB3">
        <v>20</v>
      </c>
      <c r="AC3" s="1">
        <f t="shared" ref="AC3:AC33" si="1">CEILING((N(H3)+N(O3))/80*20,0.5)</f>
        <v>10</v>
      </c>
      <c r="AD3">
        <v>27</v>
      </c>
      <c r="AE3">
        <v>29</v>
      </c>
      <c r="AF3">
        <v>0</v>
      </c>
      <c r="AG3" t="s">
        <v>126</v>
      </c>
      <c r="AH3" s="1">
        <f t="shared" ref="AH3:AH33" si="2">ROUND(AA3+N(T3),0)</f>
        <v>80</v>
      </c>
      <c r="AI3" s="1">
        <f t="shared" ref="AI3:AI33" si="3">ROUND(AB3+N(U3),0)</f>
        <v>83</v>
      </c>
      <c r="AJ3" s="1">
        <f t="shared" ref="AJ3:AJ33" si="4">ROUND(AC3+N(V3),0)</f>
        <v>55</v>
      </c>
      <c r="AK3" s="1">
        <f t="shared" ref="AK3:AK33" si="5">ROUND(AD3+N(W3),0)</f>
        <v>61</v>
      </c>
      <c r="AL3" s="1">
        <f t="shared" ref="AL3:AL33" si="6">ROUND(AE3+N(X3),0)</f>
        <v>60</v>
      </c>
      <c r="AM3" s="1">
        <f t="shared" ref="AM3:AM33" si="7">ROUND(AF3+N(Y3),0)</f>
        <v>0</v>
      </c>
      <c r="AN3" t="s">
        <v>8</v>
      </c>
      <c r="AO3" t="s">
        <v>17</v>
      </c>
      <c r="AP3" t="s">
        <v>18</v>
      </c>
      <c r="AQ3" t="s">
        <v>19</v>
      </c>
      <c r="AR3" t="s">
        <v>29</v>
      </c>
      <c r="AS3" t="s">
        <v>74</v>
      </c>
      <c r="AT3" t="s">
        <v>106</v>
      </c>
    </row>
    <row r="4" spans="1:46">
      <c r="A4">
        <v>3</v>
      </c>
      <c r="B4" t="s">
        <v>39</v>
      </c>
      <c r="C4">
        <v>18843</v>
      </c>
      <c r="D4" t="s">
        <v>42</v>
      </c>
      <c r="E4" t="s">
        <v>23</v>
      </c>
      <c r="F4">
        <v>25.5</v>
      </c>
      <c r="G4">
        <v>31.5</v>
      </c>
      <c r="H4">
        <v>23</v>
      </c>
      <c r="I4">
        <v>17.5</v>
      </c>
      <c r="J4">
        <v>23.5</v>
      </c>
      <c r="K4">
        <v>0</v>
      </c>
      <c r="L4" t="s">
        <v>25</v>
      </c>
      <c r="M4">
        <v>25</v>
      </c>
      <c r="N4">
        <v>25</v>
      </c>
      <c r="O4" t="s">
        <v>24</v>
      </c>
      <c r="P4">
        <v>16</v>
      </c>
      <c r="Q4">
        <v>23</v>
      </c>
      <c r="R4">
        <v>0</v>
      </c>
      <c r="S4" t="s">
        <v>8</v>
      </c>
      <c r="T4">
        <v>56.5</v>
      </c>
      <c r="U4">
        <v>48.5</v>
      </c>
      <c r="V4">
        <v>34</v>
      </c>
      <c r="W4">
        <v>36</v>
      </c>
      <c r="X4">
        <v>46.5</v>
      </c>
      <c r="Y4">
        <v>0</v>
      </c>
      <c r="Z4" t="s">
        <v>9</v>
      </c>
      <c r="AA4">
        <v>24</v>
      </c>
      <c r="AB4">
        <v>20</v>
      </c>
      <c r="AC4" s="1">
        <f t="shared" si="1"/>
        <v>6</v>
      </c>
      <c r="AD4">
        <v>25.5</v>
      </c>
      <c r="AE4">
        <v>30</v>
      </c>
      <c r="AF4">
        <v>0</v>
      </c>
      <c r="AG4" t="s">
        <v>126</v>
      </c>
      <c r="AH4" s="1">
        <f t="shared" si="2"/>
        <v>81</v>
      </c>
      <c r="AI4" s="1">
        <f t="shared" si="3"/>
        <v>69</v>
      </c>
      <c r="AJ4" s="1">
        <f t="shared" si="4"/>
        <v>40</v>
      </c>
      <c r="AK4" s="1">
        <f t="shared" si="5"/>
        <v>62</v>
      </c>
      <c r="AL4" s="1">
        <f t="shared" si="6"/>
        <v>77</v>
      </c>
      <c r="AM4" s="1">
        <f t="shared" si="7"/>
        <v>0</v>
      </c>
      <c r="AN4" t="s">
        <v>8</v>
      </c>
      <c r="AO4" t="s">
        <v>17</v>
      </c>
      <c r="AP4" t="s">
        <v>18</v>
      </c>
      <c r="AQ4" t="s">
        <v>19</v>
      </c>
      <c r="AR4" t="s">
        <v>27</v>
      </c>
      <c r="AS4" t="s">
        <v>75</v>
      </c>
      <c r="AT4" t="s">
        <v>105</v>
      </c>
    </row>
    <row r="5" spans="1:46">
      <c r="A5">
        <v>4</v>
      </c>
      <c r="B5" t="s">
        <v>39</v>
      </c>
      <c r="C5">
        <v>14575</v>
      </c>
      <c r="D5" t="s">
        <v>43</v>
      </c>
      <c r="E5" t="s">
        <v>23</v>
      </c>
      <c r="F5">
        <v>20.5</v>
      </c>
      <c r="G5">
        <v>29.5</v>
      </c>
      <c r="H5">
        <v>20.5</v>
      </c>
      <c r="I5">
        <v>22</v>
      </c>
      <c r="J5">
        <v>19</v>
      </c>
      <c r="K5">
        <v>0</v>
      </c>
      <c r="L5" t="s">
        <v>25</v>
      </c>
      <c r="M5">
        <v>26</v>
      </c>
      <c r="N5">
        <v>30</v>
      </c>
      <c r="O5">
        <v>27.5</v>
      </c>
      <c r="P5">
        <v>19.5</v>
      </c>
      <c r="Q5">
        <v>27</v>
      </c>
      <c r="R5">
        <v>0</v>
      </c>
      <c r="S5" t="s">
        <v>8</v>
      </c>
      <c r="T5">
        <v>40</v>
      </c>
      <c r="U5">
        <v>60.5</v>
      </c>
      <c r="V5">
        <v>52</v>
      </c>
      <c r="W5">
        <v>35</v>
      </c>
      <c r="X5">
        <v>30.5</v>
      </c>
      <c r="Y5">
        <v>0</v>
      </c>
      <c r="Z5" t="s">
        <v>9</v>
      </c>
      <c r="AA5">
        <v>21</v>
      </c>
      <c r="AB5">
        <v>19</v>
      </c>
      <c r="AC5" s="1">
        <f t="shared" si="1"/>
        <v>12</v>
      </c>
      <c r="AD5">
        <v>28</v>
      </c>
      <c r="AE5">
        <v>27</v>
      </c>
      <c r="AF5">
        <v>0</v>
      </c>
      <c r="AG5" t="s">
        <v>126</v>
      </c>
      <c r="AH5" s="1">
        <f t="shared" si="2"/>
        <v>61</v>
      </c>
      <c r="AI5" s="1">
        <f t="shared" si="3"/>
        <v>80</v>
      </c>
      <c r="AJ5" s="1">
        <f t="shared" si="4"/>
        <v>64</v>
      </c>
      <c r="AK5" s="1">
        <f t="shared" si="5"/>
        <v>63</v>
      </c>
      <c r="AL5" s="1">
        <f t="shared" si="6"/>
        <v>58</v>
      </c>
      <c r="AM5" s="1">
        <f t="shared" si="7"/>
        <v>0</v>
      </c>
      <c r="AN5" t="s">
        <v>8</v>
      </c>
      <c r="AO5" t="s">
        <v>17</v>
      </c>
      <c r="AP5" t="s">
        <v>18</v>
      </c>
      <c r="AQ5" t="s">
        <v>19</v>
      </c>
      <c r="AR5" t="s">
        <v>26</v>
      </c>
      <c r="AS5" t="s">
        <v>76</v>
      </c>
      <c r="AT5" t="s">
        <v>106</v>
      </c>
    </row>
    <row r="6" spans="1:46">
      <c r="A6">
        <v>5</v>
      </c>
      <c r="B6" t="s">
        <v>39</v>
      </c>
      <c r="C6">
        <v>14642</v>
      </c>
      <c r="D6" t="s">
        <v>44</v>
      </c>
      <c r="E6" t="s">
        <v>23</v>
      </c>
      <c r="F6">
        <v>16.5</v>
      </c>
      <c r="G6">
        <v>26.5</v>
      </c>
      <c r="H6">
        <v>11</v>
      </c>
      <c r="I6">
        <v>13.5</v>
      </c>
      <c r="J6">
        <v>14.5</v>
      </c>
      <c r="K6">
        <v>0</v>
      </c>
      <c r="L6" t="s">
        <v>25</v>
      </c>
      <c r="M6">
        <v>21</v>
      </c>
      <c r="N6">
        <v>30.5</v>
      </c>
      <c r="O6">
        <v>17.5</v>
      </c>
      <c r="P6">
        <v>3</v>
      </c>
      <c r="Q6">
        <v>15.5</v>
      </c>
      <c r="R6">
        <v>0</v>
      </c>
      <c r="S6" t="s">
        <v>8</v>
      </c>
      <c r="T6">
        <v>34.5</v>
      </c>
      <c r="U6">
        <v>48.5</v>
      </c>
      <c r="V6">
        <v>23</v>
      </c>
      <c r="W6">
        <v>23</v>
      </c>
      <c r="X6">
        <v>32.5</v>
      </c>
      <c r="Y6">
        <v>0</v>
      </c>
      <c r="Z6" t="s">
        <v>9</v>
      </c>
      <c r="AA6">
        <v>24</v>
      </c>
      <c r="AB6">
        <v>18</v>
      </c>
      <c r="AC6" s="1">
        <f t="shared" si="1"/>
        <v>7.5</v>
      </c>
      <c r="AD6">
        <v>26</v>
      </c>
      <c r="AE6">
        <v>24</v>
      </c>
      <c r="AF6">
        <v>0</v>
      </c>
      <c r="AG6" t="s">
        <v>126</v>
      </c>
      <c r="AH6" s="1">
        <f t="shared" si="2"/>
        <v>59</v>
      </c>
      <c r="AI6" s="1">
        <f t="shared" si="3"/>
        <v>67</v>
      </c>
      <c r="AJ6" s="1">
        <f t="shared" si="4"/>
        <v>31</v>
      </c>
      <c r="AK6" s="1">
        <f t="shared" si="5"/>
        <v>49</v>
      </c>
      <c r="AL6" s="1">
        <f t="shared" si="6"/>
        <v>57</v>
      </c>
      <c r="AM6" s="1">
        <f t="shared" si="7"/>
        <v>0</v>
      </c>
      <c r="AN6" t="s">
        <v>8</v>
      </c>
      <c r="AO6" t="s">
        <v>17</v>
      </c>
      <c r="AP6" t="s">
        <v>18</v>
      </c>
      <c r="AQ6" t="s">
        <v>19</v>
      </c>
      <c r="AR6" t="s">
        <v>28</v>
      </c>
      <c r="AS6" t="s">
        <v>77</v>
      </c>
      <c r="AT6" t="s">
        <v>107</v>
      </c>
    </row>
    <row r="7" spans="1:46">
      <c r="A7">
        <v>6</v>
      </c>
      <c r="B7" t="s">
        <v>39</v>
      </c>
      <c r="C7">
        <v>14580</v>
      </c>
      <c r="D7" t="s">
        <v>45</v>
      </c>
      <c r="E7" t="s">
        <v>23</v>
      </c>
      <c r="F7">
        <v>25.5</v>
      </c>
      <c r="G7">
        <v>35.5</v>
      </c>
      <c r="H7">
        <v>6.5</v>
      </c>
      <c r="I7">
        <v>10</v>
      </c>
      <c r="J7">
        <v>12.5</v>
      </c>
      <c r="K7">
        <v>0</v>
      </c>
      <c r="L7" t="s">
        <v>25</v>
      </c>
      <c r="M7">
        <v>26.5</v>
      </c>
      <c r="N7">
        <v>36</v>
      </c>
      <c r="O7">
        <v>5</v>
      </c>
      <c r="P7">
        <v>6</v>
      </c>
      <c r="Q7">
        <v>15.5</v>
      </c>
      <c r="R7">
        <v>0</v>
      </c>
      <c r="S7" t="s">
        <v>8</v>
      </c>
      <c r="T7">
        <v>45.5</v>
      </c>
      <c r="U7">
        <v>64.5</v>
      </c>
      <c r="V7">
        <v>19.5</v>
      </c>
      <c r="W7">
        <v>17</v>
      </c>
      <c r="X7">
        <v>26.5</v>
      </c>
      <c r="Y7">
        <v>0</v>
      </c>
      <c r="Z7" t="s">
        <v>9</v>
      </c>
      <c r="AA7">
        <v>29</v>
      </c>
      <c r="AB7">
        <v>20</v>
      </c>
      <c r="AC7" s="1">
        <f t="shared" si="1"/>
        <v>3</v>
      </c>
      <c r="AD7">
        <v>23</v>
      </c>
      <c r="AE7">
        <v>26</v>
      </c>
      <c r="AF7">
        <v>0</v>
      </c>
      <c r="AG7" t="s">
        <v>126</v>
      </c>
      <c r="AH7" s="1">
        <f t="shared" si="2"/>
        <v>75</v>
      </c>
      <c r="AI7" s="1">
        <f t="shared" si="3"/>
        <v>85</v>
      </c>
      <c r="AJ7" s="1">
        <f t="shared" si="4"/>
        <v>23</v>
      </c>
      <c r="AK7" s="1">
        <f t="shared" si="5"/>
        <v>40</v>
      </c>
      <c r="AL7" s="1">
        <f t="shared" si="6"/>
        <v>53</v>
      </c>
      <c r="AM7" s="1">
        <f t="shared" si="7"/>
        <v>0</v>
      </c>
      <c r="AN7" t="s">
        <v>8</v>
      </c>
      <c r="AO7" t="s">
        <v>17</v>
      </c>
      <c r="AP7" t="s">
        <v>18</v>
      </c>
      <c r="AQ7" t="s">
        <v>19</v>
      </c>
      <c r="AR7" t="s">
        <v>28</v>
      </c>
      <c r="AS7" t="s">
        <v>78</v>
      </c>
      <c r="AT7" t="s">
        <v>108</v>
      </c>
    </row>
    <row r="8" spans="1:46">
      <c r="A8">
        <v>7</v>
      </c>
      <c r="B8" t="s">
        <v>39</v>
      </c>
      <c r="C8">
        <v>14584</v>
      </c>
      <c r="D8" t="s">
        <v>46</v>
      </c>
      <c r="E8" t="s">
        <v>23</v>
      </c>
      <c r="F8">
        <v>31</v>
      </c>
      <c r="G8">
        <v>34</v>
      </c>
      <c r="H8">
        <v>28</v>
      </c>
      <c r="I8">
        <v>26.5</v>
      </c>
      <c r="J8">
        <v>31.5</v>
      </c>
      <c r="K8">
        <v>0</v>
      </c>
      <c r="L8" t="s">
        <v>25</v>
      </c>
      <c r="M8">
        <v>33.5</v>
      </c>
      <c r="N8">
        <v>34.5</v>
      </c>
      <c r="O8">
        <v>31</v>
      </c>
      <c r="P8">
        <v>29.5</v>
      </c>
      <c r="Q8">
        <v>31</v>
      </c>
      <c r="R8">
        <v>0</v>
      </c>
      <c r="S8" t="s">
        <v>8</v>
      </c>
      <c r="T8">
        <v>67</v>
      </c>
      <c r="U8">
        <v>70.5</v>
      </c>
      <c r="V8">
        <v>75</v>
      </c>
      <c r="W8">
        <v>60</v>
      </c>
      <c r="X8">
        <v>57.5</v>
      </c>
      <c r="Y8">
        <v>0</v>
      </c>
      <c r="Z8" t="s">
        <v>9</v>
      </c>
      <c r="AA8">
        <v>28</v>
      </c>
      <c r="AB8">
        <v>20</v>
      </c>
      <c r="AC8" s="1">
        <f t="shared" si="1"/>
        <v>15</v>
      </c>
      <c r="AD8">
        <v>29</v>
      </c>
      <c r="AE8">
        <v>30</v>
      </c>
      <c r="AF8">
        <v>0</v>
      </c>
      <c r="AG8" t="s">
        <v>126</v>
      </c>
      <c r="AH8" s="1">
        <f t="shared" si="2"/>
        <v>95</v>
      </c>
      <c r="AI8" s="1">
        <f t="shared" si="3"/>
        <v>91</v>
      </c>
      <c r="AJ8" s="1">
        <f t="shared" si="4"/>
        <v>90</v>
      </c>
      <c r="AK8" s="1">
        <f t="shared" si="5"/>
        <v>89</v>
      </c>
      <c r="AL8" s="1">
        <f t="shared" si="6"/>
        <v>88</v>
      </c>
      <c r="AM8" s="1">
        <f t="shared" si="7"/>
        <v>0</v>
      </c>
      <c r="AN8" t="s">
        <v>8</v>
      </c>
      <c r="AO8" t="s">
        <v>17</v>
      </c>
      <c r="AP8" t="s">
        <v>18</v>
      </c>
      <c r="AQ8" t="s">
        <v>19</v>
      </c>
      <c r="AR8" t="s">
        <v>34</v>
      </c>
      <c r="AS8" t="s">
        <v>79</v>
      </c>
      <c r="AT8" t="s">
        <v>109</v>
      </c>
    </row>
    <row r="9" spans="1:46">
      <c r="A9">
        <v>8</v>
      </c>
      <c r="B9" t="s">
        <v>39</v>
      </c>
      <c r="C9">
        <v>16745</v>
      </c>
      <c r="D9" t="s">
        <v>47</v>
      </c>
      <c r="E9" t="s">
        <v>23</v>
      </c>
      <c r="F9">
        <v>6</v>
      </c>
      <c r="G9" t="s">
        <v>6</v>
      </c>
      <c r="H9">
        <v>24</v>
      </c>
      <c r="I9" t="s">
        <v>6</v>
      </c>
      <c r="J9">
        <v>11.5</v>
      </c>
      <c r="K9">
        <v>0</v>
      </c>
      <c r="L9" t="s">
        <v>25</v>
      </c>
      <c r="M9">
        <v>16</v>
      </c>
      <c r="N9">
        <v>22.5</v>
      </c>
      <c r="O9">
        <v>10.5</v>
      </c>
      <c r="P9">
        <v>17</v>
      </c>
      <c r="Q9">
        <v>24.5</v>
      </c>
      <c r="R9">
        <v>0</v>
      </c>
      <c r="S9" t="s">
        <v>8</v>
      </c>
      <c r="T9">
        <v>47.5</v>
      </c>
      <c r="U9">
        <v>34.5</v>
      </c>
      <c r="V9">
        <v>39</v>
      </c>
      <c r="W9">
        <v>39.5</v>
      </c>
      <c r="X9">
        <v>42.5</v>
      </c>
      <c r="Y9">
        <v>0</v>
      </c>
      <c r="Z9" t="s">
        <v>9</v>
      </c>
      <c r="AA9">
        <v>16</v>
      </c>
      <c r="AB9">
        <v>17</v>
      </c>
      <c r="AC9" s="1">
        <f t="shared" si="1"/>
        <v>9</v>
      </c>
      <c r="AD9">
        <v>24.5</v>
      </c>
      <c r="AE9">
        <v>29</v>
      </c>
      <c r="AF9">
        <v>0</v>
      </c>
      <c r="AG9" t="s">
        <v>126</v>
      </c>
      <c r="AH9" s="1">
        <f t="shared" si="2"/>
        <v>64</v>
      </c>
      <c r="AI9" s="1">
        <f t="shared" si="3"/>
        <v>52</v>
      </c>
      <c r="AJ9" s="1">
        <f t="shared" si="4"/>
        <v>48</v>
      </c>
      <c r="AK9" s="1">
        <f t="shared" si="5"/>
        <v>64</v>
      </c>
      <c r="AL9" s="1">
        <f t="shared" si="6"/>
        <v>72</v>
      </c>
      <c r="AM9" s="1">
        <f t="shared" si="7"/>
        <v>0</v>
      </c>
      <c r="AN9" t="s">
        <v>8</v>
      </c>
      <c r="AO9" t="s">
        <v>17</v>
      </c>
      <c r="AP9" t="s">
        <v>18</v>
      </c>
      <c r="AQ9" t="s">
        <v>19</v>
      </c>
      <c r="AR9" t="s">
        <v>30</v>
      </c>
      <c r="AS9" t="s">
        <v>80</v>
      </c>
      <c r="AT9" t="s">
        <v>105</v>
      </c>
    </row>
    <row r="10" spans="1:46">
      <c r="A10">
        <v>9</v>
      </c>
      <c r="B10" t="s">
        <v>39</v>
      </c>
      <c r="C10">
        <v>15756</v>
      </c>
      <c r="D10" t="s">
        <v>48</v>
      </c>
      <c r="E10" t="s">
        <v>23</v>
      </c>
      <c r="F10">
        <v>17</v>
      </c>
      <c r="G10">
        <v>28</v>
      </c>
      <c r="H10">
        <v>16</v>
      </c>
      <c r="I10">
        <v>15</v>
      </c>
      <c r="J10">
        <v>11.5</v>
      </c>
      <c r="K10">
        <v>0</v>
      </c>
      <c r="L10" t="s">
        <v>25</v>
      </c>
      <c r="M10" t="s">
        <v>7</v>
      </c>
      <c r="N10">
        <v>26.5</v>
      </c>
      <c r="O10">
        <v>11</v>
      </c>
      <c r="P10">
        <v>11.5</v>
      </c>
      <c r="Q10">
        <v>11.5</v>
      </c>
      <c r="R10">
        <v>0</v>
      </c>
      <c r="S10" t="s">
        <v>8</v>
      </c>
      <c r="T10">
        <v>24.5</v>
      </c>
      <c r="U10">
        <v>48</v>
      </c>
      <c r="V10">
        <v>30.5</v>
      </c>
      <c r="W10">
        <v>30</v>
      </c>
      <c r="X10">
        <v>25</v>
      </c>
      <c r="Y10">
        <v>0</v>
      </c>
      <c r="Z10" t="s">
        <v>9</v>
      </c>
      <c r="AA10">
        <v>24</v>
      </c>
      <c r="AB10">
        <v>19</v>
      </c>
      <c r="AC10" s="1">
        <f t="shared" si="1"/>
        <v>7</v>
      </c>
      <c r="AD10">
        <v>22</v>
      </c>
      <c r="AE10">
        <v>27</v>
      </c>
      <c r="AF10">
        <v>0</v>
      </c>
      <c r="AG10" t="s">
        <v>126</v>
      </c>
      <c r="AH10" s="1">
        <f t="shared" si="2"/>
        <v>49</v>
      </c>
      <c r="AI10" s="1">
        <f t="shared" si="3"/>
        <v>67</v>
      </c>
      <c r="AJ10" s="1">
        <f t="shared" si="4"/>
        <v>38</v>
      </c>
      <c r="AK10" s="1">
        <f t="shared" si="5"/>
        <v>52</v>
      </c>
      <c r="AL10" s="1">
        <f t="shared" si="6"/>
        <v>52</v>
      </c>
      <c r="AM10" s="1">
        <f t="shared" si="7"/>
        <v>0</v>
      </c>
      <c r="AN10" t="s">
        <v>8</v>
      </c>
      <c r="AO10" t="s">
        <v>17</v>
      </c>
      <c r="AP10" t="s">
        <v>18</v>
      </c>
      <c r="AQ10" t="s">
        <v>19</v>
      </c>
      <c r="AR10" t="s">
        <v>29</v>
      </c>
      <c r="AS10" t="s">
        <v>81</v>
      </c>
      <c r="AT10" t="s">
        <v>110</v>
      </c>
    </row>
    <row r="11" spans="1:46">
      <c r="A11">
        <v>10</v>
      </c>
      <c r="B11" t="s">
        <v>39</v>
      </c>
      <c r="C11">
        <v>14593</v>
      </c>
      <c r="D11" t="s">
        <v>49</v>
      </c>
      <c r="E11" t="s">
        <v>23</v>
      </c>
      <c r="F11">
        <v>19.5</v>
      </c>
      <c r="G11">
        <v>26.5</v>
      </c>
      <c r="H11">
        <v>20</v>
      </c>
      <c r="I11">
        <v>13</v>
      </c>
      <c r="J11">
        <v>15</v>
      </c>
      <c r="K11">
        <v>0</v>
      </c>
      <c r="L11" t="s">
        <v>25</v>
      </c>
      <c r="M11">
        <v>19.5</v>
      </c>
      <c r="N11">
        <v>20</v>
      </c>
      <c r="O11">
        <v>22.5</v>
      </c>
      <c r="P11">
        <v>20</v>
      </c>
      <c r="Q11">
        <v>19</v>
      </c>
      <c r="R11">
        <v>0</v>
      </c>
      <c r="S11" t="s">
        <v>8</v>
      </c>
      <c r="T11">
        <v>38</v>
      </c>
      <c r="U11">
        <v>49</v>
      </c>
      <c r="V11">
        <v>33</v>
      </c>
      <c r="W11">
        <v>29</v>
      </c>
      <c r="X11">
        <v>27</v>
      </c>
      <c r="Y11">
        <v>0</v>
      </c>
      <c r="Z11" t="s">
        <v>9</v>
      </c>
      <c r="AA11">
        <v>25</v>
      </c>
      <c r="AB11">
        <v>17</v>
      </c>
      <c r="AC11" s="1">
        <f t="shared" si="1"/>
        <v>11</v>
      </c>
      <c r="AD11">
        <v>27.5</v>
      </c>
      <c r="AE11">
        <v>28</v>
      </c>
      <c r="AF11">
        <v>0</v>
      </c>
      <c r="AG11" t="s">
        <v>126</v>
      </c>
      <c r="AH11" s="1">
        <f t="shared" si="2"/>
        <v>63</v>
      </c>
      <c r="AI11" s="1">
        <f t="shared" si="3"/>
        <v>66</v>
      </c>
      <c r="AJ11" s="1">
        <f t="shared" si="4"/>
        <v>44</v>
      </c>
      <c r="AK11" s="1">
        <f t="shared" si="5"/>
        <v>57</v>
      </c>
      <c r="AL11" s="1">
        <f t="shared" si="6"/>
        <v>55</v>
      </c>
      <c r="AM11" s="1">
        <f t="shared" si="7"/>
        <v>0</v>
      </c>
      <c r="AN11" t="s">
        <v>8</v>
      </c>
      <c r="AO11" t="s">
        <v>17</v>
      </c>
      <c r="AP11" t="s">
        <v>18</v>
      </c>
      <c r="AQ11" t="s">
        <v>19</v>
      </c>
      <c r="AR11" t="s">
        <v>36</v>
      </c>
      <c r="AS11" t="s">
        <v>82</v>
      </c>
      <c r="AT11" t="s">
        <v>111</v>
      </c>
    </row>
    <row r="12" spans="1:46">
      <c r="A12">
        <v>11</v>
      </c>
      <c r="B12" t="s">
        <v>39</v>
      </c>
      <c r="C12">
        <v>17291</v>
      </c>
      <c r="D12" t="s">
        <v>50</v>
      </c>
      <c r="E12" t="s">
        <v>23</v>
      </c>
      <c r="F12">
        <v>17</v>
      </c>
      <c r="G12">
        <v>28</v>
      </c>
      <c r="H12">
        <v>19.5</v>
      </c>
      <c r="I12">
        <v>17</v>
      </c>
      <c r="J12">
        <v>17</v>
      </c>
      <c r="K12">
        <v>0</v>
      </c>
      <c r="L12" t="s">
        <v>25</v>
      </c>
      <c r="M12">
        <v>18.5</v>
      </c>
      <c r="N12">
        <v>26</v>
      </c>
      <c r="O12">
        <v>13.5</v>
      </c>
      <c r="P12">
        <v>13.5</v>
      </c>
      <c r="Q12">
        <v>14</v>
      </c>
      <c r="R12">
        <v>0</v>
      </c>
      <c r="S12" t="s">
        <v>8</v>
      </c>
      <c r="T12">
        <v>41</v>
      </c>
      <c r="U12">
        <v>44.5</v>
      </c>
      <c r="V12">
        <v>32.5</v>
      </c>
      <c r="W12">
        <v>25</v>
      </c>
      <c r="X12">
        <v>41.5</v>
      </c>
      <c r="Y12">
        <v>0</v>
      </c>
      <c r="Z12" t="s">
        <v>9</v>
      </c>
      <c r="AA12">
        <v>25</v>
      </c>
      <c r="AB12">
        <v>10</v>
      </c>
      <c r="AC12" s="1">
        <f t="shared" si="1"/>
        <v>8.5</v>
      </c>
      <c r="AD12">
        <v>26</v>
      </c>
      <c r="AE12">
        <v>24</v>
      </c>
      <c r="AF12">
        <v>0</v>
      </c>
      <c r="AG12" t="s">
        <v>126</v>
      </c>
      <c r="AH12" s="1">
        <f t="shared" si="2"/>
        <v>66</v>
      </c>
      <c r="AI12" s="1">
        <f t="shared" si="3"/>
        <v>55</v>
      </c>
      <c r="AJ12" s="1">
        <f t="shared" si="4"/>
        <v>41</v>
      </c>
      <c r="AK12" s="1">
        <f t="shared" si="5"/>
        <v>51</v>
      </c>
      <c r="AL12" s="1">
        <f t="shared" si="6"/>
        <v>66</v>
      </c>
      <c r="AM12" s="1">
        <f t="shared" si="7"/>
        <v>0</v>
      </c>
      <c r="AN12" t="s">
        <v>8</v>
      </c>
      <c r="AO12" t="s">
        <v>17</v>
      </c>
      <c r="AP12" t="s">
        <v>18</v>
      </c>
      <c r="AQ12" t="s">
        <v>19</v>
      </c>
      <c r="AR12" t="s">
        <v>29</v>
      </c>
      <c r="AS12" t="s">
        <v>83</v>
      </c>
      <c r="AT12" t="s">
        <v>112</v>
      </c>
    </row>
    <row r="13" spans="1:46">
      <c r="A13">
        <v>12</v>
      </c>
      <c r="B13" t="s">
        <v>39</v>
      </c>
      <c r="C13">
        <v>18819</v>
      </c>
      <c r="D13" t="s">
        <v>51</v>
      </c>
      <c r="E13" t="s">
        <v>23</v>
      </c>
      <c r="F13">
        <v>19</v>
      </c>
      <c r="G13">
        <v>27.5</v>
      </c>
      <c r="H13">
        <v>16</v>
      </c>
      <c r="I13">
        <v>18</v>
      </c>
      <c r="J13">
        <v>23.5</v>
      </c>
      <c r="K13">
        <v>0</v>
      </c>
      <c r="L13" t="s">
        <v>25</v>
      </c>
      <c r="M13">
        <v>23</v>
      </c>
      <c r="N13">
        <v>27</v>
      </c>
      <c r="O13">
        <v>22.5</v>
      </c>
      <c r="P13">
        <v>14.5</v>
      </c>
      <c r="Q13">
        <v>22.5</v>
      </c>
      <c r="R13">
        <v>0</v>
      </c>
      <c r="S13" t="s">
        <v>8</v>
      </c>
      <c r="T13">
        <v>53.5</v>
      </c>
      <c r="U13">
        <v>53.5</v>
      </c>
      <c r="V13">
        <v>50.5</v>
      </c>
      <c r="W13">
        <v>42.5</v>
      </c>
      <c r="X13">
        <v>44</v>
      </c>
      <c r="Y13">
        <v>0</v>
      </c>
      <c r="Z13" t="s">
        <v>9</v>
      </c>
      <c r="AA13">
        <v>25</v>
      </c>
      <c r="AB13">
        <v>19</v>
      </c>
      <c r="AC13" s="1">
        <f t="shared" si="1"/>
        <v>10</v>
      </c>
      <c r="AD13">
        <v>27</v>
      </c>
      <c r="AE13">
        <v>29</v>
      </c>
      <c r="AF13">
        <v>0</v>
      </c>
      <c r="AG13" t="s">
        <v>126</v>
      </c>
      <c r="AH13" s="1">
        <f t="shared" si="2"/>
        <v>79</v>
      </c>
      <c r="AI13" s="1">
        <f t="shared" si="3"/>
        <v>73</v>
      </c>
      <c r="AJ13" s="1">
        <f t="shared" si="4"/>
        <v>61</v>
      </c>
      <c r="AK13" s="1">
        <f t="shared" si="5"/>
        <v>70</v>
      </c>
      <c r="AL13" s="1">
        <f t="shared" si="6"/>
        <v>73</v>
      </c>
      <c r="AM13" s="1">
        <f t="shared" si="7"/>
        <v>0</v>
      </c>
      <c r="AN13" t="s">
        <v>8</v>
      </c>
      <c r="AO13" t="s">
        <v>17</v>
      </c>
      <c r="AP13" t="s">
        <v>18</v>
      </c>
      <c r="AQ13" t="s">
        <v>19</v>
      </c>
      <c r="AR13" t="s">
        <v>28</v>
      </c>
      <c r="AS13" t="s">
        <v>84</v>
      </c>
      <c r="AT13" t="s">
        <v>105</v>
      </c>
    </row>
    <row r="14" spans="1:46">
      <c r="A14">
        <v>13</v>
      </c>
      <c r="B14" t="s">
        <v>39</v>
      </c>
      <c r="C14">
        <v>14708</v>
      </c>
      <c r="D14" t="s">
        <v>52</v>
      </c>
      <c r="E14" t="s">
        <v>23</v>
      </c>
      <c r="F14">
        <v>16.5</v>
      </c>
      <c r="G14">
        <v>26</v>
      </c>
      <c r="H14">
        <v>17</v>
      </c>
      <c r="I14">
        <v>14.5</v>
      </c>
      <c r="J14">
        <v>17.5</v>
      </c>
      <c r="K14">
        <v>0</v>
      </c>
      <c r="L14" t="s">
        <v>25</v>
      </c>
      <c r="M14">
        <v>17</v>
      </c>
      <c r="N14">
        <v>20</v>
      </c>
      <c r="O14" t="s">
        <v>24</v>
      </c>
      <c r="P14">
        <v>12.5</v>
      </c>
      <c r="Q14">
        <v>15.5</v>
      </c>
      <c r="R14">
        <v>0</v>
      </c>
      <c r="S14" t="s">
        <v>8</v>
      </c>
      <c r="T14">
        <v>40</v>
      </c>
      <c r="U14">
        <v>41.5</v>
      </c>
      <c r="V14">
        <v>19</v>
      </c>
      <c r="W14">
        <v>24</v>
      </c>
      <c r="X14">
        <v>26.5</v>
      </c>
      <c r="Y14">
        <v>0</v>
      </c>
      <c r="Z14" t="s">
        <v>9</v>
      </c>
      <c r="AA14">
        <v>18</v>
      </c>
      <c r="AB14">
        <v>16</v>
      </c>
      <c r="AC14" s="1">
        <f t="shared" si="1"/>
        <v>4.5</v>
      </c>
      <c r="AD14">
        <v>23</v>
      </c>
      <c r="AE14">
        <v>23</v>
      </c>
      <c r="AF14">
        <v>0</v>
      </c>
      <c r="AG14" t="s">
        <v>126</v>
      </c>
      <c r="AH14" s="1">
        <f t="shared" si="2"/>
        <v>58</v>
      </c>
      <c r="AI14" s="1">
        <f t="shared" si="3"/>
        <v>58</v>
      </c>
      <c r="AJ14" s="1">
        <f t="shared" si="4"/>
        <v>24</v>
      </c>
      <c r="AK14" s="1">
        <f t="shared" si="5"/>
        <v>47</v>
      </c>
      <c r="AL14" s="1">
        <f t="shared" si="6"/>
        <v>50</v>
      </c>
      <c r="AM14" s="1">
        <f t="shared" si="7"/>
        <v>0</v>
      </c>
      <c r="AN14" t="s">
        <v>8</v>
      </c>
      <c r="AO14" t="s">
        <v>17</v>
      </c>
      <c r="AP14" t="s">
        <v>18</v>
      </c>
      <c r="AQ14" t="s">
        <v>19</v>
      </c>
      <c r="AR14" t="s">
        <v>85</v>
      </c>
      <c r="AS14" t="s">
        <v>86</v>
      </c>
      <c r="AT14" t="s">
        <v>113</v>
      </c>
    </row>
    <row r="15" spans="1:46">
      <c r="A15">
        <v>14</v>
      </c>
      <c r="B15" t="s">
        <v>39</v>
      </c>
      <c r="C15">
        <v>14717</v>
      </c>
      <c r="D15" t="s">
        <v>53</v>
      </c>
      <c r="E15" t="s">
        <v>23</v>
      </c>
      <c r="F15">
        <v>19.5</v>
      </c>
      <c r="G15">
        <v>31.5</v>
      </c>
      <c r="H15">
        <v>22</v>
      </c>
      <c r="I15">
        <v>11.5</v>
      </c>
      <c r="J15">
        <v>16.5</v>
      </c>
      <c r="K15">
        <v>0</v>
      </c>
      <c r="L15" t="s">
        <v>25</v>
      </c>
      <c r="M15">
        <v>18</v>
      </c>
      <c r="N15">
        <v>29</v>
      </c>
      <c r="O15">
        <v>16.5</v>
      </c>
      <c r="P15">
        <v>11.5</v>
      </c>
      <c r="Q15">
        <v>18.5</v>
      </c>
      <c r="R15">
        <v>0</v>
      </c>
      <c r="S15" t="s">
        <v>8</v>
      </c>
      <c r="T15">
        <v>44.5</v>
      </c>
      <c r="U15">
        <v>59.5</v>
      </c>
      <c r="V15">
        <v>29.5</v>
      </c>
      <c r="W15">
        <v>24.5</v>
      </c>
      <c r="X15">
        <v>30.5</v>
      </c>
      <c r="Y15">
        <v>0</v>
      </c>
      <c r="Z15" t="s">
        <v>9</v>
      </c>
      <c r="AA15">
        <v>28</v>
      </c>
      <c r="AB15">
        <v>20</v>
      </c>
      <c r="AC15" s="1">
        <f t="shared" si="1"/>
        <v>10</v>
      </c>
      <c r="AD15">
        <v>27.5</v>
      </c>
      <c r="AE15">
        <v>23</v>
      </c>
      <c r="AF15">
        <v>0</v>
      </c>
      <c r="AG15" t="s">
        <v>126</v>
      </c>
      <c r="AH15" s="1">
        <f t="shared" si="2"/>
        <v>73</v>
      </c>
      <c r="AI15" s="1">
        <f t="shared" si="3"/>
        <v>80</v>
      </c>
      <c r="AJ15" s="1">
        <f t="shared" si="4"/>
        <v>40</v>
      </c>
      <c r="AK15" s="1">
        <f t="shared" si="5"/>
        <v>52</v>
      </c>
      <c r="AL15" s="1">
        <f t="shared" si="6"/>
        <v>54</v>
      </c>
      <c r="AM15" s="1">
        <f t="shared" si="7"/>
        <v>0</v>
      </c>
      <c r="AN15" t="s">
        <v>8</v>
      </c>
      <c r="AO15" t="s">
        <v>17</v>
      </c>
      <c r="AP15" t="s">
        <v>18</v>
      </c>
      <c r="AQ15" t="s">
        <v>19</v>
      </c>
      <c r="AR15" t="s">
        <v>28</v>
      </c>
      <c r="AS15" t="s">
        <v>87</v>
      </c>
      <c r="AT15" t="s">
        <v>106</v>
      </c>
    </row>
    <row r="16" spans="1:46">
      <c r="A16">
        <v>15</v>
      </c>
      <c r="B16" t="s">
        <v>39</v>
      </c>
      <c r="C16">
        <v>17651</v>
      </c>
      <c r="D16" t="s">
        <v>54</v>
      </c>
      <c r="E16" t="s">
        <v>23</v>
      </c>
      <c r="F16">
        <v>12.5</v>
      </c>
      <c r="G16">
        <v>25.5</v>
      </c>
      <c r="H16">
        <v>19</v>
      </c>
      <c r="I16">
        <v>2.5</v>
      </c>
      <c r="J16">
        <v>15</v>
      </c>
      <c r="K16">
        <v>0</v>
      </c>
      <c r="L16" t="s">
        <v>25</v>
      </c>
      <c r="M16">
        <v>14.5</v>
      </c>
      <c r="N16">
        <v>30.5</v>
      </c>
      <c r="O16">
        <v>14</v>
      </c>
      <c r="P16">
        <v>6.5</v>
      </c>
      <c r="Q16">
        <v>9.5</v>
      </c>
      <c r="R16">
        <v>0</v>
      </c>
      <c r="S16" t="s">
        <v>8</v>
      </c>
      <c r="T16">
        <v>41</v>
      </c>
      <c r="U16">
        <v>42</v>
      </c>
      <c r="V16">
        <v>25</v>
      </c>
      <c r="W16">
        <v>24</v>
      </c>
      <c r="X16">
        <v>28.5</v>
      </c>
      <c r="Y16">
        <v>0</v>
      </c>
      <c r="Z16" t="s">
        <v>9</v>
      </c>
      <c r="AA16">
        <v>21</v>
      </c>
      <c r="AB16">
        <v>17</v>
      </c>
      <c r="AC16" s="1">
        <f t="shared" si="1"/>
        <v>8.5</v>
      </c>
      <c r="AD16">
        <v>26.5</v>
      </c>
      <c r="AE16">
        <v>28</v>
      </c>
      <c r="AF16">
        <v>0</v>
      </c>
      <c r="AG16" t="s">
        <v>126</v>
      </c>
      <c r="AH16" s="1">
        <f t="shared" si="2"/>
        <v>62</v>
      </c>
      <c r="AI16" s="1">
        <f t="shared" si="3"/>
        <v>59</v>
      </c>
      <c r="AJ16" s="1">
        <f t="shared" si="4"/>
        <v>34</v>
      </c>
      <c r="AK16" s="1">
        <f t="shared" si="5"/>
        <v>51</v>
      </c>
      <c r="AL16" s="1">
        <f t="shared" si="6"/>
        <v>57</v>
      </c>
      <c r="AM16" s="1">
        <f t="shared" si="7"/>
        <v>0</v>
      </c>
      <c r="AN16" t="s">
        <v>8</v>
      </c>
      <c r="AO16" t="s">
        <v>17</v>
      </c>
      <c r="AP16" t="s">
        <v>18</v>
      </c>
      <c r="AQ16" t="s">
        <v>19</v>
      </c>
      <c r="AR16" t="s">
        <v>31</v>
      </c>
      <c r="AS16" t="s">
        <v>88</v>
      </c>
      <c r="AT16" t="s">
        <v>106</v>
      </c>
    </row>
    <row r="17" spans="1:46">
      <c r="A17">
        <v>16</v>
      </c>
      <c r="B17" t="s">
        <v>39</v>
      </c>
      <c r="C17">
        <v>14638</v>
      </c>
      <c r="D17" t="s">
        <v>55</v>
      </c>
      <c r="E17" t="s">
        <v>23</v>
      </c>
      <c r="F17">
        <v>24.5</v>
      </c>
      <c r="G17">
        <v>31.5</v>
      </c>
      <c r="H17">
        <v>28</v>
      </c>
      <c r="I17">
        <v>25.5</v>
      </c>
      <c r="J17">
        <v>24</v>
      </c>
      <c r="K17">
        <v>0</v>
      </c>
      <c r="L17" t="s">
        <v>25</v>
      </c>
      <c r="M17">
        <v>23.5</v>
      </c>
      <c r="N17">
        <v>28</v>
      </c>
      <c r="O17">
        <v>29.5</v>
      </c>
      <c r="P17">
        <v>18.5</v>
      </c>
      <c r="Q17">
        <v>25.5</v>
      </c>
      <c r="R17">
        <v>0</v>
      </c>
      <c r="S17" t="s">
        <v>8</v>
      </c>
      <c r="T17">
        <v>40.5</v>
      </c>
      <c r="U17">
        <v>53.5</v>
      </c>
      <c r="V17">
        <v>52</v>
      </c>
      <c r="W17">
        <v>50</v>
      </c>
      <c r="X17">
        <v>50.5</v>
      </c>
      <c r="Y17">
        <v>0</v>
      </c>
      <c r="Z17" t="s">
        <v>9</v>
      </c>
      <c r="AA17">
        <v>25</v>
      </c>
      <c r="AB17">
        <v>18</v>
      </c>
      <c r="AC17" s="1">
        <f t="shared" si="1"/>
        <v>14.5</v>
      </c>
      <c r="AD17">
        <v>28</v>
      </c>
      <c r="AE17">
        <v>27.5</v>
      </c>
      <c r="AF17">
        <v>0</v>
      </c>
      <c r="AG17" t="s">
        <v>126</v>
      </c>
      <c r="AH17" s="1">
        <f t="shared" si="2"/>
        <v>66</v>
      </c>
      <c r="AI17" s="1">
        <f t="shared" si="3"/>
        <v>72</v>
      </c>
      <c r="AJ17" s="1">
        <f t="shared" si="4"/>
        <v>67</v>
      </c>
      <c r="AK17" s="1">
        <f t="shared" si="5"/>
        <v>78</v>
      </c>
      <c r="AL17" s="1">
        <f t="shared" si="6"/>
        <v>78</v>
      </c>
      <c r="AM17" s="1">
        <f t="shared" si="7"/>
        <v>0</v>
      </c>
      <c r="AN17" t="s">
        <v>8</v>
      </c>
      <c r="AO17" t="s">
        <v>17</v>
      </c>
      <c r="AP17" t="s">
        <v>18</v>
      </c>
      <c r="AQ17" t="s">
        <v>19</v>
      </c>
      <c r="AR17" t="s">
        <v>34</v>
      </c>
      <c r="AS17" t="s">
        <v>89</v>
      </c>
      <c r="AT17" t="s">
        <v>105</v>
      </c>
    </row>
    <row r="18" spans="1:46">
      <c r="A18">
        <v>17</v>
      </c>
      <c r="B18" t="s">
        <v>39</v>
      </c>
      <c r="C18">
        <v>15703</v>
      </c>
      <c r="D18" t="s">
        <v>56</v>
      </c>
      <c r="E18" t="s">
        <v>23</v>
      </c>
      <c r="F18">
        <v>27.5</v>
      </c>
      <c r="G18">
        <v>29.5</v>
      </c>
      <c r="H18">
        <v>19</v>
      </c>
      <c r="I18">
        <v>14.5</v>
      </c>
      <c r="J18">
        <v>17.5</v>
      </c>
      <c r="K18">
        <v>0</v>
      </c>
      <c r="L18" t="s">
        <v>25</v>
      </c>
      <c r="M18">
        <v>29.5</v>
      </c>
      <c r="N18">
        <v>30.5</v>
      </c>
      <c r="O18">
        <v>27.5</v>
      </c>
      <c r="P18">
        <v>13</v>
      </c>
      <c r="Q18">
        <v>18.5</v>
      </c>
      <c r="R18">
        <v>0</v>
      </c>
      <c r="S18" t="s">
        <v>8</v>
      </c>
      <c r="T18">
        <v>45.5</v>
      </c>
      <c r="U18">
        <v>60.5</v>
      </c>
      <c r="V18">
        <v>47</v>
      </c>
      <c r="W18">
        <v>31</v>
      </c>
      <c r="X18">
        <v>39</v>
      </c>
      <c r="Y18">
        <v>0</v>
      </c>
      <c r="Z18" t="s">
        <v>9</v>
      </c>
      <c r="AA18">
        <v>25</v>
      </c>
      <c r="AB18">
        <v>20</v>
      </c>
      <c r="AC18" s="1">
        <f t="shared" si="1"/>
        <v>12</v>
      </c>
      <c r="AD18">
        <v>29</v>
      </c>
      <c r="AE18">
        <v>27</v>
      </c>
      <c r="AF18">
        <v>0</v>
      </c>
      <c r="AG18" t="s">
        <v>126</v>
      </c>
      <c r="AH18" s="1">
        <f t="shared" si="2"/>
        <v>71</v>
      </c>
      <c r="AI18" s="1">
        <f t="shared" si="3"/>
        <v>81</v>
      </c>
      <c r="AJ18" s="1">
        <f t="shared" si="4"/>
        <v>59</v>
      </c>
      <c r="AK18" s="1">
        <f t="shared" si="5"/>
        <v>60</v>
      </c>
      <c r="AL18" s="1">
        <f t="shared" si="6"/>
        <v>66</v>
      </c>
      <c r="AM18" s="1">
        <f t="shared" si="7"/>
        <v>0</v>
      </c>
      <c r="AN18" t="s">
        <v>8</v>
      </c>
      <c r="AO18" t="s">
        <v>17</v>
      </c>
      <c r="AP18" t="s">
        <v>18</v>
      </c>
      <c r="AQ18" t="s">
        <v>19</v>
      </c>
      <c r="AR18" t="s">
        <v>28</v>
      </c>
      <c r="AS18" t="s">
        <v>90</v>
      </c>
      <c r="AT18" t="s">
        <v>105</v>
      </c>
    </row>
    <row r="19" spans="1:46">
      <c r="A19">
        <v>18</v>
      </c>
      <c r="B19" t="s">
        <v>39</v>
      </c>
      <c r="C19">
        <v>15423</v>
      </c>
      <c r="D19" t="s">
        <v>57</v>
      </c>
      <c r="E19" t="s">
        <v>23</v>
      </c>
      <c r="F19">
        <v>32</v>
      </c>
      <c r="G19">
        <v>29.5</v>
      </c>
      <c r="H19">
        <v>37.5</v>
      </c>
      <c r="I19">
        <v>26</v>
      </c>
      <c r="J19">
        <v>31.5</v>
      </c>
      <c r="K19">
        <v>0</v>
      </c>
      <c r="L19" t="s">
        <v>25</v>
      </c>
      <c r="M19">
        <v>31.5</v>
      </c>
      <c r="N19">
        <v>32</v>
      </c>
      <c r="O19">
        <v>35</v>
      </c>
      <c r="P19">
        <v>28.5</v>
      </c>
      <c r="Q19">
        <v>34</v>
      </c>
      <c r="R19">
        <v>0</v>
      </c>
      <c r="S19" t="s">
        <v>8</v>
      </c>
      <c r="T19">
        <v>57.5</v>
      </c>
      <c r="U19">
        <v>54</v>
      </c>
      <c r="V19">
        <v>70.5</v>
      </c>
      <c r="W19">
        <v>60</v>
      </c>
      <c r="X19">
        <v>67.5</v>
      </c>
      <c r="Y19">
        <v>0</v>
      </c>
      <c r="Z19" t="s">
        <v>9</v>
      </c>
      <c r="AA19">
        <v>29</v>
      </c>
      <c r="AB19">
        <v>20</v>
      </c>
      <c r="AC19" s="1">
        <f t="shared" si="1"/>
        <v>18.5</v>
      </c>
      <c r="AD19">
        <v>29</v>
      </c>
      <c r="AE19">
        <v>30</v>
      </c>
      <c r="AF19">
        <v>0</v>
      </c>
      <c r="AG19" t="s">
        <v>126</v>
      </c>
      <c r="AH19" s="1">
        <f t="shared" si="2"/>
        <v>87</v>
      </c>
      <c r="AI19" s="1">
        <f t="shared" si="3"/>
        <v>74</v>
      </c>
      <c r="AJ19" s="1">
        <f t="shared" si="4"/>
        <v>89</v>
      </c>
      <c r="AK19" s="1">
        <f t="shared" si="5"/>
        <v>89</v>
      </c>
      <c r="AL19" s="1">
        <f t="shared" si="6"/>
        <v>98</v>
      </c>
      <c r="AM19" s="1">
        <f t="shared" si="7"/>
        <v>0</v>
      </c>
      <c r="AN19" t="s">
        <v>8</v>
      </c>
      <c r="AO19" t="s">
        <v>17</v>
      </c>
      <c r="AP19" t="s">
        <v>18</v>
      </c>
      <c r="AQ19" t="s">
        <v>19</v>
      </c>
      <c r="AR19" t="s">
        <v>26</v>
      </c>
      <c r="AS19" t="s">
        <v>91</v>
      </c>
      <c r="AT19" t="s">
        <v>114</v>
      </c>
    </row>
    <row r="20" spans="1:46">
      <c r="A20">
        <v>19</v>
      </c>
      <c r="B20" t="s">
        <v>39</v>
      </c>
      <c r="C20">
        <v>17895</v>
      </c>
      <c r="D20" t="s">
        <v>58</v>
      </c>
      <c r="E20" t="s">
        <v>23</v>
      </c>
      <c r="F20">
        <v>20</v>
      </c>
      <c r="G20">
        <v>32</v>
      </c>
      <c r="H20">
        <v>30.5</v>
      </c>
      <c r="I20">
        <v>18</v>
      </c>
      <c r="J20">
        <v>24</v>
      </c>
      <c r="K20">
        <v>0</v>
      </c>
      <c r="L20" t="s">
        <v>25</v>
      </c>
      <c r="M20">
        <v>25</v>
      </c>
      <c r="N20">
        <v>30</v>
      </c>
      <c r="O20">
        <v>22.5</v>
      </c>
      <c r="P20">
        <v>18</v>
      </c>
      <c r="Q20">
        <v>25.5</v>
      </c>
      <c r="R20">
        <v>0</v>
      </c>
      <c r="S20" t="s">
        <v>8</v>
      </c>
      <c r="T20">
        <v>54</v>
      </c>
      <c r="U20">
        <v>58.5</v>
      </c>
      <c r="V20">
        <v>40</v>
      </c>
      <c r="W20">
        <v>40</v>
      </c>
      <c r="X20">
        <v>56</v>
      </c>
      <c r="Y20">
        <v>0</v>
      </c>
      <c r="Z20" t="s">
        <v>9</v>
      </c>
      <c r="AA20">
        <v>28</v>
      </c>
      <c r="AB20">
        <v>20</v>
      </c>
      <c r="AC20" s="1">
        <f t="shared" si="1"/>
        <v>13.5</v>
      </c>
      <c r="AD20">
        <v>27</v>
      </c>
      <c r="AE20">
        <v>30</v>
      </c>
      <c r="AF20">
        <v>0</v>
      </c>
      <c r="AG20" t="s">
        <v>126</v>
      </c>
      <c r="AH20" s="1">
        <f t="shared" si="2"/>
        <v>82</v>
      </c>
      <c r="AI20" s="1">
        <f t="shared" si="3"/>
        <v>79</v>
      </c>
      <c r="AJ20" s="1">
        <f t="shared" si="4"/>
        <v>54</v>
      </c>
      <c r="AK20" s="1">
        <f t="shared" si="5"/>
        <v>67</v>
      </c>
      <c r="AL20" s="1">
        <f t="shared" si="6"/>
        <v>86</v>
      </c>
      <c r="AM20" s="1">
        <f t="shared" si="7"/>
        <v>0</v>
      </c>
      <c r="AN20" t="s">
        <v>8</v>
      </c>
      <c r="AO20" t="s">
        <v>17</v>
      </c>
      <c r="AP20" t="s">
        <v>18</v>
      </c>
      <c r="AQ20" t="s">
        <v>19</v>
      </c>
      <c r="AR20" t="s">
        <v>26</v>
      </c>
      <c r="AS20" t="s">
        <v>86</v>
      </c>
      <c r="AT20" t="s">
        <v>115</v>
      </c>
    </row>
    <row r="21" spans="1:46">
      <c r="A21">
        <v>20</v>
      </c>
      <c r="B21" t="s">
        <v>39</v>
      </c>
      <c r="C21">
        <v>14696</v>
      </c>
      <c r="D21" t="s">
        <v>59</v>
      </c>
      <c r="E21" t="s">
        <v>23</v>
      </c>
      <c r="F21">
        <v>14.5</v>
      </c>
      <c r="G21">
        <v>24</v>
      </c>
      <c r="H21">
        <v>21</v>
      </c>
      <c r="I21">
        <v>9</v>
      </c>
      <c r="J21">
        <v>8.5</v>
      </c>
      <c r="K21">
        <v>0</v>
      </c>
      <c r="L21" t="s">
        <v>25</v>
      </c>
      <c r="M21">
        <v>11.5</v>
      </c>
      <c r="N21">
        <v>23.5</v>
      </c>
      <c r="O21">
        <v>12.5</v>
      </c>
      <c r="P21">
        <v>9</v>
      </c>
      <c r="Q21">
        <v>13.5</v>
      </c>
      <c r="R21">
        <v>0</v>
      </c>
      <c r="S21" t="s">
        <v>8</v>
      </c>
      <c r="T21">
        <v>36.5</v>
      </c>
      <c r="U21">
        <v>38.5</v>
      </c>
      <c r="V21">
        <v>28.5</v>
      </c>
      <c r="W21">
        <v>23</v>
      </c>
      <c r="X21">
        <v>29.5</v>
      </c>
      <c r="Y21">
        <v>0</v>
      </c>
      <c r="Z21" t="s">
        <v>9</v>
      </c>
      <c r="AA21">
        <v>13</v>
      </c>
      <c r="AB21">
        <v>16</v>
      </c>
      <c r="AC21" s="1">
        <f t="shared" si="1"/>
        <v>8.5</v>
      </c>
      <c r="AD21">
        <v>23</v>
      </c>
      <c r="AE21">
        <v>13</v>
      </c>
      <c r="AF21">
        <v>0</v>
      </c>
      <c r="AG21" t="s">
        <v>126</v>
      </c>
      <c r="AH21" s="1">
        <f t="shared" si="2"/>
        <v>50</v>
      </c>
      <c r="AI21" s="1">
        <f t="shared" si="3"/>
        <v>55</v>
      </c>
      <c r="AJ21" s="1">
        <f t="shared" si="4"/>
        <v>37</v>
      </c>
      <c r="AK21" s="1">
        <f t="shared" si="5"/>
        <v>46</v>
      </c>
      <c r="AL21" s="1">
        <f t="shared" si="6"/>
        <v>43</v>
      </c>
      <c r="AM21" s="1">
        <f t="shared" si="7"/>
        <v>0</v>
      </c>
      <c r="AN21" t="s">
        <v>8</v>
      </c>
      <c r="AO21" t="s">
        <v>17</v>
      </c>
      <c r="AP21" t="s">
        <v>18</v>
      </c>
      <c r="AQ21" t="s">
        <v>19</v>
      </c>
      <c r="AR21" t="s">
        <v>92</v>
      </c>
      <c r="AS21" t="s">
        <v>86</v>
      </c>
      <c r="AT21" t="s">
        <v>116</v>
      </c>
    </row>
    <row r="22" spans="1:46">
      <c r="A22">
        <v>21</v>
      </c>
      <c r="B22" t="s">
        <v>39</v>
      </c>
      <c r="C22">
        <v>15417</v>
      </c>
      <c r="D22" t="s">
        <v>60</v>
      </c>
      <c r="E22" t="s">
        <v>23</v>
      </c>
      <c r="F22">
        <v>31.5</v>
      </c>
      <c r="G22">
        <v>33.5</v>
      </c>
      <c r="H22">
        <v>39</v>
      </c>
      <c r="I22">
        <v>29.5</v>
      </c>
      <c r="J22">
        <v>32</v>
      </c>
      <c r="K22">
        <v>0</v>
      </c>
      <c r="L22" t="s">
        <v>25</v>
      </c>
      <c r="M22">
        <v>32.5</v>
      </c>
      <c r="N22">
        <v>36</v>
      </c>
      <c r="O22">
        <v>37</v>
      </c>
      <c r="P22">
        <v>26</v>
      </c>
      <c r="Q22">
        <v>30</v>
      </c>
      <c r="R22">
        <v>0</v>
      </c>
      <c r="S22" t="s">
        <v>8</v>
      </c>
      <c r="T22">
        <v>64.5</v>
      </c>
      <c r="U22">
        <v>0</v>
      </c>
      <c r="V22">
        <v>0</v>
      </c>
      <c r="W22" t="s">
        <v>10</v>
      </c>
      <c r="X22">
        <v>68.5</v>
      </c>
      <c r="Y22">
        <v>0</v>
      </c>
      <c r="Z22" t="s">
        <v>9</v>
      </c>
      <c r="AA22">
        <v>24</v>
      </c>
      <c r="AB22">
        <v>20</v>
      </c>
      <c r="AC22" s="1">
        <f t="shared" si="1"/>
        <v>19</v>
      </c>
      <c r="AD22">
        <v>28</v>
      </c>
      <c r="AE22">
        <v>30</v>
      </c>
      <c r="AF22">
        <v>0</v>
      </c>
      <c r="AG22" t="s">
        <v>126</v>
      </c>
      <c r="AH22" s="1">
        <f t="shared" si="2"/>
        <v>89</v>
      </c>
      <c r="AI22" s="1">
        <f t="shared" si="3"/>
        <v>20</v>
      </c>
      <c r="AJ22" s="1">
        <f t="shared" si="4"/>
        <v>19</v>
      </c>
      <c r="AK22" s="1">
        <f t="shared" si="5"/>
        <v>28</v>
      </c>
      <c r="AL22" s="1">
        <f t="shared" si="6"/>
        <v>99</v>
      </c>
      <c r="AM22" s="1">
        <f t="shared" si="7"/>
        <v>0</v>
      </c>
      <c r="AN22" t="s">
        <v>8</v>
      </c>
      <c r="AO22" t="s">
        <v>17</v>
      </c>
      <c r="AP22" t="s">
        <v>18</v>
      </c>
      <c r="AQ22" t="s">
        <v>19</v>
      </c>
      <c r="AR22" t="s">
        <v>32</v>
      </c>
      <c r="AS22" t="s">
        <v>93</v>
      </c>
      <c r="AT22" t="s">
        <v>117</v>
      </c>
    </row>
    <row r="23" spans="1:46">
      <c r="A23">
        <v>22</v>
      </c>
      <c r="B23" t="s">
        <v>39</v>
      </c>
      <c r="C23">
        <v>18740</v>
      </c>
      <c r="D23" t="s">
        <v>61</v>
      </c>
      <c r="E23" t="s">
        <v>23</v>
      </c>
      <c r="F23">
        <v>26</v>
      </c>
      <c r="G23">
        <v>29.5</v>
      </c>
      <c r="H23">
        <v>36.5</v>
      </c>
      <c r="I23">
        <v>22.5</v>
      </c>
      <c r="J23">
        <v>24.5</v>
      </c>
      <c r="K23">
        <v>0</v>
      </c>
      <c r="L23" t="s">
        <v>25</v>
      </c>
      <c r="M23">
        <v>31.5</v>
      </c>
      <c r="N23">
        <v>26.5</v>
      </c>
      <c r="O23">
        <v>29</v>
      </c>
      <c r="P23">
        <v>22.5</v>
      </c>
      <c r="Q23">
        <v>33.5</v>
      </c>
      <c r="R23">
        <v>0</v>
      </c>
      <c r="S23" t="s">
        <v>8</v>
      </c>
      <c r="T23">
        <v>63.5</v>
      </c>
      <c r="U23">
        <v>50.5</v>
      </c>
      <c r="V23">
        <v>51</v>
      </c>
      <c r="W23">
        <v>49</v>
      </c>
      <c r="X23">
        <v>64</v>
      </c>
      <c r="Y23">
        <v>0</v>
      </c>
      <c r="Z23" t="s">
        <v>9</v>
      </c>
      <c r="AA23">
        <v>23</v>
      </c>
      <c r="AB23">
        <v>19</v>
      </c>
      <c r="AC23" s="1">
        <f t="shared" si="1"/>
        <v>16.5</v>
      </c>
      <c r="AD23">
        <v>28.5</v>
      </c>
      <c r="AE23">
        <v>26</v>
      </c>
      <c r="AF23">
        <v>0</v>
      </c>
      <c r="AG23" t="s">
        <v>126</v>
      </c>
      <c r="AH23" s="1">
        <f t="shared" si="2"/>
        <v>87</v>
      </c>
      <c r="AI23" s="1">
        <f t="shared" si="3"/>
        <v>70</v>
      </c>
      <c r="AJ23" s="1">
        <f t="shared" si="4"/>
        <v>68</v>
      </c>
      <c r="AK23" s="1">
        <f t="shared" si="5"/>
        <v>78</v>
      </c>
      <c r="AL23" s="1">
        <f t="shared" si="6"/>
        <v>90</v>
      </c>
      <c r="AM23" s="1">
        <f t="shared" si="7"/>
        <v>0</v>
      </c>
      <c r="AN23" t="s">
        <v>8</v>
      </c>
      <c r="AO23" t="s">
        <v>17</v>
      </c>
      <c r="AP23" t="s">
        <v>18</v>
      </c>
      <c r="AQ23" t="s">
        <v>19</v>
      </c>
      <c r="AR23" t="s">
        <v>36</v>
      </c>
      <c r="AS23" t="s">
        <v>86</v>
      </c>
      <c r="AT23" t="s">
        <v>118</v>
      </c>
    </row>
    <row r="24" spans="1:46">
      <c r="A24">
        <v>23</v>
      </c>
      <c r="B24" t="s">
        <v>39</v>
      </c>
      <c r="C24">
        <v>15493</v>
      </c>
      <c r="D24" t="s">
        <v>62</v>
      </c>
      <c r="E24" t="s">
        <v>23</v>
      </c>
      <c r="F24">
        <v>24</v>
      </c>
      <c r="G24">
        <v>31</v>
      </c>
      <c r="H24">
        <v>18</v>
      </c>
      <c r="I24">
        <v>22.5</v>
      </c>
      <c r="J24">
        <v>25.5</v>
      </c>
      <c r="K24">
        <v>0</v>
      </c>
      <c r="L24" t="s">
        <v>25</v>
      </c>
      <c r="M24">
        <v>27.5</v>
      </c>
      <c r="N24">
        <v>34.5</v>
      </c>
      <c r="O24">
        <v>13</v>
      </c>
      <c r="P24">
        <v>19.5</v>
      </c>
      <c r="Q24">
        <v>20.5</v>
      </c>
      <c r="R24">
        <v>0</v>
      </c>
      <c r="S24" t="s">
        <v>8</v>
      </c>
      <c r="T24">
        <v>56</v>
      </c>
      <c r="U24">
        <v>65</v>
      </c>
      <c r="V24">
        <v>46</v>
      </c>
      <c r="W24">
        <v>48</v>
      </c>
      <c r="X24">
        <v>39.5</v>
      </c>
      <c r="Y24">
        <v>0</v>
      </c>
      <c r="Z24" t="s">
        <v>9</v>
      </c>
      <c r="AA24">
        <v>30</v>
      </c>
      <c r="AB24">
        <v>20</v>
      </c>
      <c r="AC24" s="1">
        <f t="shared" si="1"/>
        <v>8</v>
      </c>
      <c r="AD24">
        <v>28.5</v>
      </c>
      <c r="AE24">
        <v>30</v>
      </c>
      <c r="AF24">
        <v>0</v>
      </c>
      <c r="AG24" t="s">
        <v>126</v>
      </c>
      <c r="AH24" s="1">
        <f t="shared" si="2"/>
        <v>86</v>
      </c>
      <c r="AI24" s="1">
        <f t="shared" si="3"/>
        <v>85</v>
      </c>
      <c r="AJ24" s="1">
        <f t="shared" si="4"/>
        <v>54</v>
      </c>
      <c r="AK24" s="1">
        <f t="shared" si="5"/>
        <v>77</v>
      </c>
      <c r="AL24" s="1">
        <f t="shared" si="6"/>
        <v>70</v>
      </c>
      <c r="AM24" s="1">
        <f t="shared" si="7"/>
        <v>0</v>
      </c>
      <c r="AN24" t="s">
        <v>8</v>
      </c>
      <c r="AO24" t="s">
        <v>17</v>
      </c>
      <c r="AP24" t="s">
        <v>18</v>
      </c>
      <c r="AQ24" t="s">
        <v>19</v>
      </c>
      <c r="AR24" t="s">
        <v>26</v>
      </c>
      <c r="AS24" t="s">
        <v>94</v>
      </c>
      <c r="AT24" t="s">
        <v>119</v>
      </c>
    </row>
    <row r="25" spans="1:46">
      <c r="A25">
        <v>24</v>
      </c>
      <c r="B25" t="s">
        <v>39</v>
      </c>
      <c r="C25">
        <v>14924</v>
      </c>
      <c r="D25" t="s">
        <v>63</v>
      </c>
      <c r="E25" t="s">
        <v>23</v>
      </c>
      <c r="F25" t="s">
        <v>7</v>
      </c>
      <c r="G25">
        <v>28.5</v>
      </c>
      <c r="H25">
        <v>17</v>
      </c>
      <c r="I25">
        <v>11.5</v>
      </c>
      <c r="J25" t="s">
        <v>64</v>
      </c>
      <c r="K25">
        <v>0</v>
      </c>
      <c r="L25" t="s">
        <v>25</v>
      </c>
      <c r="M25">
        <v>14</v>
      </c>
      <c r="N25">
        <v>24.5</v>
      </c>
      <c r="O25">
        <v>7.5</v>
      </c>
      <c r="P25">
        <v>8.5</v>
      </c>
      <c r="Q25">
        <v>12.5</v>
      </c>
      <c r="R25">
        <v>0</v>
      </c>
      <c r="S25" t="s">
        <v>8</v>
      </c>
      <c r="T25">
        <v>38</v>
      </c>
      <c r="U25">
        <v>34.5</v>
      </c>
      <c r="V25">
        <v>37.5</v>
      </c>
      <c r="W25">
        <v>32</v>
      </c>
      <c r="X25">
        <v>26</v>
      </c>
      <c r="Y25">
        <v>0</v>
      </c>
      <c r="Z25" t="s">
        <v>9</v>
      </c>
      <c r="AA25">
        <v>19</v>
      </c>
      <c r="AB25">
        <v>17</v>
      </c>
      <c r="AC25" s="1">
        <f t="shared" si="1"/>
        <v>6.5</v>
      </c>
      <c r="AD25">
        <v>25.5</v>
      </c>
      <c r="AE25">
        <v>20</v>
      </c>
      <c r="AF25">
        <v>0</v>
      </c>
      <c r="AG25" t="s">
        <v>126</v>
      </c>
      <c r="AH25" s="1">
        <f t="shared" si="2"/>
        <v>57</v>
      </c>
      <c r="AI25" s="1">
        <f t="shared" si="3"/>
        <v>52</v>
      </c>
      <c r="AJ25" s="1">
        <f t="shared" si="4"/>
        <v>44</v>
      </c>
      <c r="AK25" s="1">
        <f t="shared" si="5"/>
        <v>58</v>
      </c>
      <c r="AL25" s="1">
        <f t="shared" si="6"/>
        <v>46</v>
      </c>
      <c r="AM25" s="1">
        <f t="shared" si="7"/>
        <v>0</v>
      </c>
      <c r="AN25" t="s">
        <v>8</v>
      </c>
      <c r="AO25" t="s">
        <v>17</v>
      </c>
      <c r="AP25" t="s">
        <v>18</v>
      </c>
      <c r="AQ25" t="s">
        <v>19</v>
      </c>
      <c r="AR25" t="s">
        <v>95</v>
      </c>
      <c r="AS25" t="s">
        <v>96</v>
      </c>
      <c r="AT25" t="s">
        <v>115</v>
      </c>
    </row>
    <row r="26" spans="1:46">
      <c r="A26">
        <v>25</v>
      </c>
      <c r="B26" t="s">
        <v>39</v>
      </c>
      <c r="C26">
        <v>14691</v>
      </c>
      <c r="D26" t="s">
        <v>65</v>
      </c>
      <c r="E26" t="s">
        <v>23</v>
      </c>
      <c r="F26" t="s">
        <v>7</v>
      </c>
      <c r="G26">
        <v>28.5</v>
      </c>
      <c r="H26">
        <v>23</v>
      </c>
      <c r="I26">
        <v>13.5</v>
      </c>
      <c r="J26">
        <v>21</v>
      </c>
      <c r="K26">
        <v>0</v>
      </c>
      <c r="L26" t="s">
        <v>25</v>
      </c>
      <c r="M26">
        <v>16.5</v>
      </c>
      <c r="N26">
        <v>25.5</v>
      </c>
      <c r="O26">
        <v>18</v>
      </c>
      <c r="P26">
        <v>16.5</v>
      </c>
      <c r="Q26">
        <v>14</v>
      </c>
      <c r="R26">
        <v>0</v>
      </c>
      <c r="S26" t="s">
        <v>8</v>
      </c>
      <c r="T26">
        <v>47</v>
      </c>
      <c r="U26">
        <v>52</v>
      </c>
      <c r="V26">
        <v>44.5</v>
      </c>
      <c r="W26">
        <v>30.5</v>
      </c>
      <c r="X26">
        <v>43</v>
      </c>
      <c r="Y26">
        <v>0</v>
      </c>
      <c r="Z26" t="s">
        <v>9</v>
      </c>
      <c r="AA26">
        <v>28</v>
      </c>
      <c r="AB26">
        <v>19</v>
      </c>
      <c r="AC26" s="1">
        <f t="shared" si="1"/>
        <v>10.5</v>
      </c>
      <c r="AD26">
        <v>27.5</v>
      </c>
      <c r="AE26">
        <v>25</v>
      </c>
      <c r="AF26">
        <v>0</v>
      </c>
      <c r="AG26" t="s">
        <v>126</v>
      </c>
      <c r="AH26" s="1">
        <f t="shared" si="2"/>
        <v>75</v>
      </c>
      <c r="AI26" s="1">
        <f t="shared" si="3"/>
        <v>71</v>
      </c>
      <c r="AJ26" s="1">
        <f t="shared" si="4"/>
        <v>55</v>
      </c>
      <c r="AK26" s="1">
        <f t="shared" si="5"/>
        <v>58</v>
      </c>
      <c r="AL26" s="1">
        <f t="shared" si="6"/>
        <v>68</v>
      </c>
      <c r="AM26" s="1">
        <f t="shared" si="7"/>
        <v>0</v>
      </c>
      <c r="AN26" t="s">
        <v>8</v>
      </c>
      <c r="AO26" t="s">
        <v>17</v>
      </c>
      <c r="AP26" t="s">
        <v>18</v>
      </c>
      <c r="AQ26" t="s">
        <v>19</v>
      </c>
      <c r="AR26" t="s">
        <v>35</v>
      </c>
      <c r="AS26" t="s">
        <v>97</v>
      </c>
      <c r="AT26" t="s">
        <v>120</v>
      </c>
    </row>
    <row r="27" spans="1:46">
      <c r="A27">
        <v>26</v>
      </c>
      <c r="B27" t="s">
        <v>39</v>
      </c>
      <c r="C27">
        <v>15438</v>
      </c>
      <c r="D27" t="s">
        <v>66</v>
      </c>
      <c r="E27" t="s">
        <v>23</v>
      </c>
      <c r="F27">
        <v>3.5</v>
      </c>
      <c r="G27">
        <v>26</v>
      </c>
      <c r="H27">
        <v>0</v>
      </c>
      <c r="I27">
        <v>6</v>
      </c>
      <c r="J27">
        <v>15</v>
      </c>
      <c r="K27">
        <v>16</v>
      </c>
      <c r="L27" t="s">
        <v>25</v>
      </c>
      <c r="M27">
        <v>6.5</v>
      </c>
      <c r="N27">
        <v>23</v>
      </c>
      <c r="O27">
        <v>0</v>
      </c>
      <c r="P27">
        <v>9.5</v>
      </c>
      <c r="Q27" t="s">
        <v>64</v>
      </c>
      <c r="R27">
        <v>12</v>
      </c>
      <c r="S27" t="s">
        <v>8</v>
      </c>
      <c r="T27">
        <v>27.5</v>
      </c>
      <c r="U27">
        <v>44.5</v>
      </c>
      <c r="V27">
        <v>0</v>
      </c>
      <c r="W27">
        <v>20</v>
      </c>
      <c r="X27">
        <v>34</v>
      </c>
      <c r="Y27">
        <v>28</v>
      </c>
      <c r="Z27" t="s">
        <v>9</v>
      </c>
      <c r="AA27">
        <v>11</v>
      </c>
      <c r="AB27">
        <v>17</v>
      </c>
      <c r="AC27" s="1">
        <f t="shared" si="1"/>
        <v>0</v>
      </c>
      <c r="AD27">
        <v>21.5</v>
      </c>
      <c r="AE27">
        <v>3</v>
      </c>
      <c r="AF27">
        <v>12</v>
      </c>
      <c r="AG27" t="s">
        <v>126</v>
      </c>
      <c r="AH27" s="1">
        <f t="shared" si="2"/>
        <v>39</v>
      </c>
      <c r="AI27" s="1">
        <f t="shared" si="3"/>
        <v>62</v>
      </c>
      <c r="AJ27" s="1">
        <f t="shared" si="4"/>
        <v>0</v>
      </c>
      <c r="AK27" s="1">
        <f t="shared" si="5"/>
        <v>42</v>
      </c>
      <c r="AL27" s="1">
        <f t="shared" si="6"/>
        <v>37</v>
      </c>
      <c r="AM27" s="1">
        <f t="shared" si="7"/>
        <v>40</v>
      </c>
      <c r="AN27" t="s">
        <v>8</v>
      </c>
      <c r="AO27" t="s">
        <v>17</v>
      </c>
      <c r="AP27" t="s">
        <v>18</v>
      </c>
      <c r="AQ27" t="s">
        <v>19</v>
      </c>
      <c r="AR27" t="s">
        <v>27</v>
      </c>
      <c r="AS27" t="s">
        <v>98</v>
      </c>
      <c r="AT27" t="s">
        <v>121</v>
      </c>
    </row>
    <row r="28" spans="1:46">
      <c r="A28">
        <v>27</v>
      </c>
      <c r="B28" t="s">
        <v>39</v>
      </c>
      <c r="C28">
        <v>14689</v>
      </c>
      <c r="D28" t="s">
        <v>67</v>
      </c>
      <c r="E28" t="s">
        <v>23</v>
      </c>
      <c r="F28">
        <v>30.5</v>
      </c>
      <c r="G28" t="s">
        <v>6</v>
      </c>
      <c r="H28">
        <v>36.5</v>
      </c>
      <c r="I28">
        <v>25</v>
      </c>
      <c r="J28">
        <v>34</v>
      </c>
      <c r="K28">
        <v>0</v>
      </c>
      <c r="L28" t="s">
        <v>25</v>
      </c>
      <c r="M28">
        <v>32</v>
      </c>
      <c r="N28">
        <v>28</v>
      </c>
      <c r="O28">
        <v>28.5</v>
      </c>
      <c r="P28">
        <v>20</v>
      </c>
      <c r="Q28">
        <v>34</v>
      </c>
      <c r="R28">
        <v>0</v>
      </c>
      <c r="S28" t="s">
        <v>8</v>
      </c>
      <c r="T28">
        <v>66</v>
      </c>
      <c r="U28">
        <v>62.5</v>
      </c>
      <c r="V28">
        <v>60.5</v>
      </c>
      <c r="W28">
        <v>54.5</v>
      </c>
      <c r="X28">
        <v>64.5</v>
      </c>
      <c r="Y28">
        <v>0</v>
      </c>
      <c r="Z28" t="s">
        <v>9</v>
      </c>
      <c r="AA28">
        <v>28</v>
      </c>
      <c r="AB28">
        <v>19</v>
      </c>
      <c r="AC28" s="1">
        <f t="shared" si="1"/>
        <v>16.5</v>
      </c>
      <c r="AD28">
        <v>27.5</v>
      </c>
      <c r="AE28">
        <v>28</v>
      </c>
      <c r="AF28">
        <v>0</v>
      </c>
      <c r="AG28" t="s">
        <v>126</v>
      </c>
      <c r="AH28" s="1">
        <f t="shared" si="2"/>
        <v>94</v>
      </c>
      <c r="AI28" s="1">
        <f t="shared" si="3"/>
        <v>82</v>
      </c>
      <c r="AJ28" s="1">
        <f t="shared" si="4"/>
        <v>77</v>
      </c>
      <c r="AK28" s="1">
        <f t="shared" si="5"/>
        <v>82</v>
      </c>
      <c r="AL28" s="1">
        <f t="shared" si="6"/>
        <v>93</v>
      </c>
      <c r="AM28" s="1">
        <f t="shared" si="7"/>
        <v>0</v>
      </c>
      <c r="AN28" t="s">
        <v>8</v>
      </c>
      <c r="AO28" t="s">
        <v>17</v>
      </c>
      <c r="AP28" t="s">
        <v>18</v>
      </c>
      <c r="AQ28" t="s">
        <v>19</v>
      </c>
      <c r="AR28" t="s">
        <v>99</v>
      </c>
      <c r="AS28" t="s">
        <v>100</v>
      </c>
      <c r="AT28" t="s">
        <v>106</v>
      </c>
    </row>
    <row r="29" spans="1:46">
      <c r="A29">
        <v>28</v>
      </c>
      <c r="B29" t="s">
        <v>39</v>
      </c>
      <c r="C29">
        <v>17999</v>
      </c>
      <c r="D29" t="s">
        <v>68</v>
      </c>
      <c r="E29" t="s">
        <v>23</v>
      </c>
      <c r="F29">
        <v>27</v>
      </c>
      <c r="G29">
        <v>25</v>
      </c>
      <c r="H29">
        <v>33</v>
      </c>
      <c r="I29">
        <v>22</v>
      </c>
      <c r="J29">
        <v>24</v>
      </c>
      <c r="K29">
        <v>0</v>
      </c>
      <c r="L29" t="s">
        <v>25</v>
      </c>
      <c r="M29">
        <v>21.5</v>
      </c>
      <c r="N29">
        <v>31.5</v>
      </c>
      <c r="O29">
        <v>27</v>
      </c>
      <c r="P29">
        <v>17</v>
      </c>
      <c r="Q29">
        <v>14.5</v>
      </c>
      <c r="R29">
        <v>0</v>
      </c>
      <c r="S29" t="s">
        <v>8</v>
      </c>
      <c r="T29">
        <v>46</v>
      </c>
      <c r="U29">
        <v>55.5</v>
      </c>
      <c r="V29">
        <v>30</v>
      </c>
      <c r="W29">
        <v>42</v>
      </c>
      <c r="X29">
        <v>47</v>
      </c>
      <c r="Y29">
        <v>0</v>
      </c>
      <c r="Z29" t="s">
        <v>9</v>
      </c>
      <c r="AA29">
        <v>26</v>
      </c>
      <c r="AB29">
        <v>20</v>
      </c>
      <c r="AC29" s="1">
        <f t="shared" si="1"/>
        <v>15</v>
      </c>
      <c r="AD29">
        <v>28</v>
      </c>
      <c r="AE29">
        <v>27</v>
      </c>
      <c r="AF29">
        <v>0</v>
      </c>
      <c r="AG29" t="s">
        <v>126</v>
      </c>
      <c r="AH29" s="1">
        <f t="shared" si="2"/>
        <v>72</v>
      </c>
      <c r="AI29" s="1">
        <f t="shared" si="3"/>
        <v>76</v>
      </c>
      <c r="AJ29" s="1">
        <f t="shared" si="4"/>
        <v>45</v>
      </c>
      <c r="AK29" s="1">
        <f t="shared" si="5"/>
        <v>70</v>
      </c>
      <c r="AL29" s="1">
        <f t="shared" si="6"/>
        <v>74</v>
      </c>
      <c r="AM29" s="1">
        <f t="shared" si="7"/>
        <v>0</v>
      </c>
      <c r="AN29" t="s">
        <v>8</v>
      </c>
      <c r="AO29" t="s">
        <v>17</v>
      </c>
      <c r="AP29" t="s">
        <v>18</v>
      </c>
      <c r="AQ29" t="s">
        <v>19</v>
      </c>
      <c r="AR29" t="s">
        <v>27</v>
      </c>
      <c r="AS29" t="s">
        <v>96</v>
      </c>
      <c r="AT29" t="s">
        <v>122</v>
      </c>
    </row>
    <row r="30" spans="1:46">
      <c r="A30">
        <v>29</v>
      </c>
      <c r="B30" t="s">
        <v>39</v>
      </c>
      <c r="C30">
        <v>14661</v>
      </c>
      <c r="D30" t="s">
        <v>69</v>
      </c>
      <c r="E30" t="s">
        <v>23</v>
      </c>
      <c r="F30">
        <v>18.5</v>
      </c>
      <c r="G30">
        <v>22.5</v>
      </c>
      <c r="H30">
        <v>19</v>
      </c>
      <c r="I30">
        <v>12.5</v>
      </c>
      <c r="J30">
        <v>19</v>
      </c>
      <c r="K30">
        <v>0</v>
      </c>
      <c r="L30" t="s">
        <v>25</v>
      </c>
      <c r="M30">
        <v>20</v>
      </c>
      <c r="N30">
        <v>27.5</v>
      </c>
      <c r="O30">
        <v>17</v>
      </c>
      <c r="P30">
        <v>13</v>
      </c>
      <c r="Q30">
        <v>22.5</v>
      </c>
      <c r="R30">
        <v>0</v>
      </c>
      <c r="S30" t="s">
        <v>8</v>
      </c>
      <c r="T30">
        <v>33</v>
      </c>
      <c r="U30">
        <v>0</v>
      </c>
      <c r="V30">
        <v>0</v>
      </c>
      <c r="W30">
        <v>30</v>
      </c>
      <c r="X30">
        <v>34.5</v>
      </c>
      <c r="Y30">
        <v>0</v>
      </c>
      <c r="Z30" t="s">
        <v>9</v>
      </c>
      <c r="AA30">
        <v>26</v>
      </c>
      <c r="AB30">
        <v>19</v>
      </c>
      <c r="AC30" s="1">
        <f t="shared" si="1"/>
        <v>9</v>
      </c>
      <c r="AD30">
        <v>27</v>
      </c>
      <c r="AE30">
        <v>23</v>
      </c>
      <c r="AF30">
        <v>0</v>
      </c>
      <c r="AG30" t="s">
        <v>126</v>
      </c>
      <c r="AH30" s="1">
        <f t="shared" si="2"/>
        <v>59</v>
      </c>
      <c r="AI30" s="1">
        <f t="shared" si="3"/>
        <v>19</v>
      </c>
      <c r="AJ30" s="1">
        <f t="shared" si="4"/>
        <v>9</v>
      </c>
      <c r="AK30" s="1">
        <f t="shared" si="5"/>
        <v>57</v>
      </c>
      <c r="AL30" s="1">
        <f t="shared" si="6"/>
        <v>58</v>
      </c>
      <c r="AM30" s="1">
        <f t="shared" si="7"/>
        <v>0</v>
      </c>
      <c r="AN30" t="s">
        <v>8</v>
      </c>
      <c r="AO30" t="s">
        <v>17</v>
      </c>
      <c r="AP30" t="s">
        <v>18</v>
      </c>
      <c r="AQ30" t="s">
        <v>19</v>
      </c>
      <c r="AR30" t="s">
        <v>28</v>
      </c>
      <c r="AS30" t="s">
        <v>101</v>
      </c>
      <c r="AT30" t="s">
        <v>123</v>
      </c>
    </row>
    <row r="31" spans="1:46">
      <c r="A31">
        <v>30</v>
      </c>
      <c r="B31" t="s">
        <v>39</v>
      </c>
      <c r="C31">
        <v>14669</v>
      </c>
      <c r="D31" t="s">
        <v>70</v>
      </c>
      <c r="E31" t="s">
        <v>23</v>
      </c>
      <c r="F31">
        <v>13.5</v>
      </c>
      <c r="G31">
        <v>26.5</v>
      </c>
      <c r="H31">
        <v>15</v>
      </c>
      <c r="I31">
        <v>16</v>
      </c>
      <c r="J31">
        <v>12.5</v>
      </c>
      <c r="K31">
        <v>0</v>
      </c>
      <c r="L31" t="s">
        <v>25</v>
      </c>
      <c r="M31">
        <v>17.5</v>
      </c>
      <c r="N31">
        <v>32</v>
      </c>
      <c r="O31">
        <v>26.5</v>
      </c>
      <c r="P31">
        <v>13</v>
      </c>
      <c r="Q31">
        <v>14.5</v>
      </c>
      <c r="R31">
        <v>0</v>
      </c>
      <c r="S31" t="s">
        <v>8</v>
      </c>
      <c r="T31">
        <v>32.5</v>
      </c>
      <c r="U31">
        <v>47</v>
      </c>
      <c r="V31">
        <v>29.5</v>
      </c>
      <c r="W31">
        <v>37</v>
      </c>
      <c r="X31">
        <v>26</v>
      </c>
      <c r="Y31">
        <v>0</v>
      </c>
      <c r="Z31" t="s">
        <v>9</v>
      </c>
      <c r="AA31">
        <v>25</v>
      </c>
      <c r="AB31">
        <v>20</v>
      </c>
      <c r="AC31" s="1">
        <f t="shared" si="1"/>
        <v>10.5</v>
      </c>
      <c r="AD31">
        <v>27</v>
      </c>
      <c r="AE31">
        <v>24</v>
      </c>
      <c r="AF31">
        <v>0</v>
      </c>
      <c r="AG31" t="s">
        <v>126</v>
      </c>
      <c r="AH31" s="1">
        <f t="shared" si="2"/>
        <v>58</v>
      </c>
      <c r="AI31" s="1">
        <f t="shared" si="3"/>
        <v>67</v>
      </c>
      <c r="AJ31" s="1">
        <f t="shared" si="4"/>
        <v>40</v>
      </c>
      <c r="AK31" s="1">
        <f t="shared" si="5"/>
        <v>64</v>
      </c>
      <c r="AL31" s="1">
        <f t="shared" si="6"/>
        <v>50</v>
      </c>
      <c r="AM31" s="1">
        <f t="shared" si="7"/>
        <v>0</v>
      </c>
      <c r="AN31" t="s">
        <v>8</v>
      </c>
      <c r="AO31" t="s">
        <v>17</v>
      </c>
      <c r="AP31" t="s">
        <v>18</v>
      </c>
      <c r="AQ31" t="s">
        <v>19</v>
      </c>
      <c r="AR31" t="s">
        <v>33</v>
      </c>
      <c r="AS31" t="s">
        <v>102</v>
      </c>
      <c r="AT31" t="s">
        <v>105</v>
      </c>
    </row>
    <row r="32" spans="1:46">
      <c r="A32">
        <v>31</v>
      </c>
      <c r="B32" t="s">
        <v>39</v>
      </c>
      <c r="C32">
        <v>18752</v>
      </c>
      <c r="D32" t="s">
        <v>71</v>
      </c>
      <c r="E32" t="s">
        <v>23</v>
      </c>
      <c r="F32">
        <v>25.5</v>
      </c>
      <c r="G32">
        <v>31.5</v>
      </c>
      <c r="H32">
        <v>29</v>
      </c>
      <c r="I32">
        <v>15</v>
      </c>
      <c r="J32">
        <v>23</v>
      </c>
      <c r="K32">
        <v>0</v>
      </c>
      <c r="L32" t="s">
        <v>25</v>
      </c>
      <c r="M32">
        <v>27.5</v>
      </c>
      <c r="N32">
        <v>30.5</v>
      </c>
      <c r="O32">
        <v>23</v>
      </c>
      <c r="P32">
        <v>11.5</v>
      </c>
      <c r="Q32">
        <v>22</v>
      </c>
      <c r="R32">
        <v>0</v>
      </c>
      <c r="S32" t="s">
        <v>8</v>
      </c>
      <c r="T32">
        <v>52.5</v>
      </c>
      <c r="U32">
        <v>58</v>
      </c>
      <c r="V32">
        <v>46</v>
      </c>
      <c r="W32">
        <v>37</v>
      </c>
      <c r="X32">
        <v>51</v>
      </c>
      <c r="Y32">
        <v>0</v>
      </c>
      <c r="Z32" t="s">
        <v>9</v>
      </c>
      <c r="AA32">
        <v>30</v>
      </c>
      <c r="AB32">
        <v>10</v>
      </c>
      <c r="AC32" s="1">
        <f t="shared" si="1"/>
        <v>13</v>
      </c>
      <c r="AD32">
        <v>28</v>
      </c>
      <c r="AE32">
        <v>27</v>
      </c>
      <c r="AF32">
        <v>0</v>
      </c>
      <c r="AG32" t="s">
        <v>126</v>
      </c>
      <c r="AH32" s="1">
        <f t="shared" si="2"/>
        <v>83</v>
      </c>
      <c r="AI32" s="1">
        <f t="shared" si="3"/>
        <v>68</v>
      </c>
      <c r="AJ32" s="1">
        <f t="shared" si="4"/>
        <v>59</v>
      </c>
      <c r="AK32" s="1">
        <f t="shared" si="5"/>
        <v>65</v>
      </c>
      <c r="AL32" s="1">
        <f t="shared" si="6"/>
        <v>78</v>
      </c>
      <c r="AM32" s="1">
        <f t="shared" si="7"/>
        <v>0</v>
      </c>
      <c r="AN32" t="s">
        <v>8</v>
      </c>
      <c r="AO32" t="s">
        <v>17</v>
      </c>
      <c r="AP32" t="s">
        <v>18</v>
      </c>
      <c r="AQ32" t="s">
        <v>19</v>
      </c>
      <c r="AR32" t="s">
        <v>28</v>
      </c>
      <c r="AS32" t="s">
        <v>103</v>
      </c>
      <c r="AT32" t="s">
        <v>124</v>
      </c>
    </row>
    <row r="33" spans="1:46">
      <c r="A33">
        <v>32</v>
      </c>
      <c r="B33" t="s">
        <v>39</v>
      </c>
      <c r="C33">
        <v>18706</v>
      </c>
      <c r="D33" t="s">
        <v>72</v>
      </c>
      <c r="E33" t="s">
        <v>23</v>
      </c>
      <c r="F33">
        <v>29</v>
      </c>
      <c r="G33">
        <v>32</v>
      </c>
      <c r="H33">
        <v>29</v>
      </c>
      <c r="I33">
        <v>21.5</v>
      </c>
      <c r="J33">
        <v>27</v>
      </c>
      <c r="K33">
        <v>0</v>
      </c>
      <c r="L33" t="s">
        <v>25</v>
      </c>
      <c r="M33">
        <v>33</v>
      </c>
      <c r="N33">
        <v>34.5</v>
      </c>
      <c r="O33">
        <v>31.5</v>
      </c>
      <c r="P33">
        <v>21</v>
      </c>
      <c r="Q33">
        <v>30</v>
      </c>
      <c r="R33">
        <v>0</v>
      </c>
      <c r="S33" t="s">
        <v>8</v>
      </c>
      <c r="T33">
        <v>54</v>
      </c>
      <c r="U33">
        <v>59</v>
      </c>
      <c r="V33">
        <v>63</v>
      </c>
      <c r="W33">
        <v>37</v>
      </c>
      <c r="X33">
        <v>60</v>
      </c>
      <c r="Y33">
        <v>0</v>
      </c>
      <c r="Z33" t="s">
        <v>9</v>
      </c>
      <c r="AA33">
        <v>28</v>
      </c>
      <c r="AB33">
        <v>20</v>
      </c>
      <c r="AC33" s="1">
        <f t="shared" si="1"/>
        <v>15.5</v>
      </c>
      <c r="AD33">
        <v>28</v>
      </c>
      <c r="AE33">
        <v>30</v>
      </c>
      <c r="AF33">
        <v>0</v>
      </c>
      <c r="AG33" t="s">
        <v>126</v>
      </c>
      <c r="AH33" s="1">
        <f t="shared" si="2"/>
        <v>82</v>
      </c>
      <c r="AI33" s="1">
        <f t="shared" si="3"/>
        <v>79</v>
      </c>
      <c r="AJ33" s="1">
        <f t="shared" si="4"/>
        <v>79</v>
      </c>
      <c r="AK33" s="1">
        <f t="shared" si="5"/>
        <v>65</v>
      </c>
      <c r="AL33" s="1">
        <f t="shared" si="6"/>
        <v>90</v>
      </c>
      <c r="AM33" s="1">
        <f t="shared" si="7"/>
        <v>0</v>
      </c>
      <c r="AN33" t="s">
        <v>8</v>
      </c>
      <c r="AO33" t="s">
        <v>17</v>
      </c>
      <c r="AP33" t="s">
        <v>18</v>
      </c>
      <c r="AQ33" t="s">
        <v>19</v>
      </c>
      <c r="AR33" t="s">
        <v>28</v>
      </c>
      <c r="AS33" t="s">
        <v>104</v>
      </c>
      <c r="AT33" t="s">
        <v>125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User</cp:lastModifiedBy>
  <dcterms:created xsi:type="dcterms:W3CDTF">2024-10-08T12:53:51Z</dcterms:created>
  <dcterms:modified xsi:type="dcterms:W3CDTF">2024-10-10T13:33:14Z</dcterms:modified>
</cp:coreProperties>
</file>