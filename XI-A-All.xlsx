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bookViews>
  <sheets>
    <sheet name="XII-OVERALL" sheetId="1" r:id="rId1"/>
  </sheet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 i="1" l="1"/>
  <c r="AF3" i="1"/>
  <c r="AG3" i="1"/>
  <c r="AH3" i="1"/>
  <c r="AE4" i="1"/>
  <c r="AF4" i="1"/>
  <c r="AG4" i="1"/>
  <c r="AH4" i="1"/>
  <c r="AE5" i="1"/>
  <c r="AF5" i="1"/>
  <c r="AG5" i="1"/>
  <c r="AH5" i="1"/>
  <c r="AE6" i="1"/>
  <c r="AF6" i="1"/>
  <c r="AG6" i="1"/>
  <c r="AH6" i="1"/>
  <c r="AE7" i="1"/>
  <c r="AF7" i="1"/>
  <c r="AG7" i="1"/>
  <c r="AH7" i="1"/>
  <c r="AE8" i="1"/>
  <c r="AF8" i="1"/>
  <c r="AG8" i="1"/>
  <c r="AH8" i="1"/>
  <c r="AE9" i="1"/>
  <c r="AF9" i="1"/>
  <c r="AG9" i="1"/>
  <c r="AH9" i="1"/>
  <c r="AE10" i="1"/>
  <c r="AF10" i="1"/>
  <c r="AG10" i="1"/>
  <c r="AH10" i="1"/>
  <c r="AE11" i="1"/>
  <c r="AF11" i="1"/>
  <c r="AG11" i="1"/>
  <c r="AH11" i="1"/>
  <c r="AE12" i="1"/>
  <c r="AF12" i="1"/>
  <c r="AG12" i="1"/>
  <c r="AH12" i="1"/>
  <c r="AE13" i="1"/>
  <c r="AF13" i="1"/>
  <c r="AG13" i="1"/>
  <c r="AH13" i="1"/>
  <c r="AE14" i="1"/>
  <c r="AF14" i="1"/>
  <c r="AG14" i="1"/>
  <c r="AH14" i="1"/>
  <c r="AE15" i="1"/>
  <c r="AF15" i="1"/>
  <c r="AG15" i="1"/>
  <c r="AH15" i="1"/>
  <c r="AE16" i="1"/>
  <c r="AF16" i="1"/>
  <c r="AG16" i="1"/>
  <c r="AH16" i="1"/>
  <c r="AE17" i="1"/>
  <c r="AF17" i="1"/>
  <c r="AG17" i="1"/>
  <c r="AH17" i="1"/>
  <c r="AE18" i="1"/>
  <c r="AF18" i="1"/>
  <c r="AG18" i="1"/>
  <c r="AH18" i="1"/>
  <c r="AE19" i="1"/>
  <c r="AF19" i="1"/>
  <c r="AG19" i="1"/>
  <c r="AH19" i="1"/>
  <c r="AE20" i="1"/>
  <c r="AF20" i="1"/>
  <c r="AG20" i="1"/>
  <c r="AH20" i="1"/>
  <c r="AE21" i="1"/>
  <c r="AF21" i="1"/>
  <c r="AG21" i="1"/>
  <c r="AH21" i="1"/>
  <c r="AE22" i="1"/>
  <c r="AF22" i="1"/>
  <c r="AG22" i="1"/>
  <c r="AH22" i="1"/>
  <c r="AE23" i="1"/>
  <c r="AF23" i="1"/>
  <c r="AG23" i="1"/>
  <c r="AH23" i="1"/>
  <c r="AE24" i="1"/>
  <c r="AF24" i="1"/>
  <c r="AG24" i="1"/>
  <c r="AH24" i="1"/>
  <c r="AE25" i="1"/>
  <c r="AF25" i="1"/>
  <c r="AG25" i="1"/>
  <c r="AH25" i="1"/>
  <c r="AE26" i="1"/>
  <c r="AF26" i="1"/>
  <c r="AG26" i="1"/>
  <c r="AH26" i="1"/>
  <c r="AE27" i="1"/>
  <c r="AF27" i="1"/>
  <c r="AG27" i="1"/>
  <c r="AH27" i="1"/>
  <c r="AE28" i="1"/>
  <c r="AF28" i="1"/>
  <c r="AG28" i="1"/>
  <c r="AH28" i="1"/>
  <c r="AE29" i="1"/>
  <c r="AF29" i="1"/>
  <c r="AG29" i="1"/>
  <c r="AH29" i="1"/>
  <c r="AE30" i="1"/>
  <c r="AF30" i="1"/>
  <c r="AG30" i="1"/>
  <c r="AH30" i="1"/>
  <c r="AE31" i="1"/>
  <c r="AF31" i="1"/>
  <c r="AG31" i="1"/>
  <c r="AH31" i="1"/>
  <c r="AE32" i="1"/>
  <c r="AF32" i="1"/>
  <c r="AG32" i="1"/>
  <c r="AH32" i="1"/>
  <c r="AE33" i="1"/>
  <c r="AF33" i="1"/>
  <c r="AG33" i="1"/>
  <c r="AH33" i="1"/>
  <c r="AE34" i="1"/>
  <c r="AF34" i="1"/>
  <c r="AG34" i="1"/>
  <c r="AH34" i="1"/>
  <c r="AE35" i="1"/>
  <c r="AF35" i="1"/>
  <c r="AG35" i="1"/>
  <c r="AH35" i="1"/>
  <c r="AE36" i="1"/>
  <c r="AF36" i="1"/>
  <c r="AG36" i="1"/>
  <c r="AH36" i="1"/>
  <c r="AE37" i="1"/>
  <c r="AF37" i="1"/>
  <c r="AG37" i="1"/>
  <c r="AH37" i="1"/>
  <c r="AE38" i="1"/>
  <c r="AF38" i="1"/>
  <c r="AG38" i="1"/>
  <c r="AH38" i="1"/>
  <c r="AE39" i="1"/>
  <c r="AF39" i="1"/>
  <c r="AG39" i="1"/>
  <c r="AH39" i="1"/>
  <c r="AE40" i="1"/>
  <c r="AF40" i="1"/>
  <c r="AG40" i="1"/>
  <c r="AH40" i="1"/>
  <c r="AE41" i="1"/>
  <c r="AF41" i="1"/>
  <c r="AG41" i="1"/>
  <c r="AH41" i="1"/>
  <c r="AE42" i="1"/>
  <c r="AF42" i="1"/>
  <c r="AG42" i="1"/>
  <c r="AH42" i="1"/>
  <c r="AE43" i="1"/>
  <c r="AF43" i="1"/>
  <c r="AG43" i="1"/>
  <c r="AH43" i="1"/>
  <c r="AH2" i="1"/>
  <c r="AG2" i="1"/>
  <c r="AF2" i="1"/>
  <c r="AE2" i="1"/>
  <c r="AD24" i="1"/>
  <c r="AD25" i="1"/>
  <c r="AD26" i="1"/>
  <c r="AD27" i="1"/>
  <c r="AD37" i="1"/>
  <c r="X3" i="1"/>
  <c r="AD3" i="1" s="1"/>
  <c r="X4" i="1"/>
  <c r="AD4" i="1" s="1"/>
  <c r="X5" i="1"/>
  <c r="AD5" i="1" s="1"/>
  <c r="X6" i="1"/>
  <c r="AD6" i="1" s="1"/>
  <c r="X7" i="1"/>
  <c r="AD7" i="1" s="1"/>
  <c r="X8" i="1"/>
  <c r="AD8" i="1" s="1"/>
  <c r="X9" i="1"/>
  <c r="AD9" i="1" s="1"/>
  <c r="X10" i="1"/>
  <c r="AD10" i="1" s="1"/>
  <c r="X11" i="1"/>
  <c r="AD11" i="1" s="1"/>
  <c r="X12" i="1"/>
  <c r="AD12" i="1" s="1"/>
  <c r="X13" i="1"/>
  <c r="AD13" i="1" s="1"/>
  <c r="X14" i="1"/>
  <c r="AD14" i="1" s="1"/>
  <c r="X15" i="1"/>
  <c r="AD15" i="1" s="1"/>
  <c r="X16" i="1"/>
  <c r="AD16" i="1" s="1"/>
  <c r="X17" i="1"/>
  <c r="AD17" i="1" s="1"/>
  <c r="X18" i="1"/>
  <c r="AD18" i="1" s="1"/>
  <c r="X19" i="1"/>
  <c r="AD19" i="1" s="1"/>
  <c r="X20" i="1"/>
  <c r="AD20" i="1" s="1"/>
  <c r="X21" i="1"/>
  <c r="AD21" i="1" s="1"/>
  <c r="X22" i="1"/>
  <c r="AD22" i="1" s="1"/>
  <c r="X23" i="1"/>
  <c r="AD23" i="1" s="1"/>
  <c r="X24" i="1"/>
  <c r="X25" i="1"/>
  <c r="X26" i="1"/>
  <c r="X27" i="1"/>
  <c r="X28" i="1"/>
  <c r="AD28" i="1" s="1"/>
  <c r="X29" i="1"/>
  <c r="AD29" i="1" s="1"/>
  <c r="X30" i="1"/>
  <c r="AD30" i="1" s="1"/>
  <c r="X31" i="1"/>
  <c r="AD31" i="1" s="1"/>
  <c r="X32" i="1"/>
  <c r="AD32" i="1" s="1"/>
  <c r="X33" i="1"/>
  <c r="AD33" i="1" s="1"/>
  <c r="X34" i="1"/>
  <c r="AD34" i="1" s="1"/>
  <c r="X35" i="1"/>
  <c r="AD35" i="1" s="1"/>
  <c r="X36" i="1"/>
  <c r="AD36" i="1" s="1"/>
  <c r="X37" i="1"/>
  <c r="X38" i="1"/>
  <c r="AD38" i="1" s="1"/>
  <c r="X39" i="1"/>
  <c r="AD39" i="1" s="1"/>
  <c r="X40" i="1"/>
  <c r="AD40" i="1" s="1"/>
  <c r="X41" i="1"/>
  <c r="AD41" i="1" s="1"/>
  <c r="X42" i="1"/>
  <c r="AD42" i="1" s="1"/>
  <c r="X43" i="1"/>
  <c r="AD43" i="1" s="1"/>
  <c r="X2" i="1"/>
  <c r="AD2" i="1" s="1"/>
</calcChain>
</file>

<file path=xl/sharedStrings.xml><?xml version="1.0" encoding="utf-8"?>
<sst xmlns="http://schemas.openxmlformats.org/spreadsheetml/2006/main" count="651" uniqueCount="147">
  <si>
    <t>Roll_No</t>
  </si>
  <si>
    <t>CLASSSEC</t>
  </si>
  <si>
    <t>Adno</t>
  </si>
  <si>
    <t>name</t>
  </si>
  <si>
    <t>Exam</t>
  </si>
  <si>
    <t>English</t>
  </si>
  <si>
    <t>AB</t>
  </si>
  <si>
    <t>ab</t>
  </si>
  <si>
    <t>Quarterly</t>
  </si>
  <si>
    <t>Quarterly- IA / Practicals</t>
  </si>
  <si>
    <t>OD</t>
  </si>
  <si>
    <t>T1</t>
  </si>
  <si>
    <t>T2</t>
  </si>
  <si>
    <t>T3</t>
  </si>
  <si>
    <t>Att</t>
  </si>
  <si>
    <t>Scholastic</t>
  </si>
  <si>
    <t>Sports</t>
  </si>
  <si>
    <t>Yes</t>
  </si>
  <si>
    <t>Good</t>
  </si>
  <si>
    <t>Regular</t>
  </si>
  <si>
    <t>Chemistry</t>
  </si>
  <si>
    <t>Physics</t>
  </si>
  <si>
    <t>Maths</t>
  </si>
  <si>
    <t>Ab</t>
  </si>
  <si>
    <t xml:space="preserve">NA      </t>
  </si>
  <si>
    <t>Computer__Science</t>
  </si>
  <si>
    <t>XI-A</t>
  </si>
  <si>
    <t>ABHINAV ASHWIN VARMA</t>
  </si>
  <si>
    <t>Unit Test- I</t>
  </si>
  <si>
    <t>A</t>
  </si>
  <si>
    <t>ABHINAV SARAN K V</t>
  </si>
  <si>
    <t>ADITHYA SARATHY M</t>
  </si>
  <si>
    <t>AJEETH KUMAR J</t>
  </si>
  <si>
    <t>AKASH ELANGO M</t>
  </si>
  <si>
    <t>AKSHAYA PRIYA R</t>
  </si>
  <si>
    <t>AMARTYA SRINIVASAN</t>
  </si>
  <si>
    <t>ANANTHA KISHORE P</t>
  </si>
  <si>
    <t>ANISHWAR BALAJI</t>
  </si>
  <si>
    <t>ANUSH LAKSHMANAN V</t>
  </si>
  <si>
    <t>ARUL KRISH R</t>
  </si>
  <si>
    <t>J DHWANI</t>
  </si>
  <si>
    <t>S GANAPATHIKRISHNAN</t>
  </si>
  <si>
    <t>GURU PRASAD T</t>
  </si>
  <si>
    <t>HARI KESHAV S</t>
  </si>
  <si>
    <t>HAYAVADH S SRINIVASAN</t>
  </si>
  <si>
    <t>HIRANMAYI S</t>
  </si>
  <si>
    <t>KALAAPHURNAA V</t>
  </si>
  <si>
    <t>KAUSHIK JAISANKAR</t>
  </si>
  <si>
    <t>S V KRIISH</t>
  </si>
  <si>
    <t>KRITHIKA G</t>
  </si>
  <si>
    <t>LAYA SUBRAMANIAN</t>
  </si>
  <si>
    <t>S NIKHITAA</t>
  </si>
  <si>
    <t>NITEESH KARVENDHAN</t>
  </si>
  <si>
    <t>NITIN RAM J</t>
  </si>
  <si>
    <t>S PADMA MALINI</t>
  </si>
  <si>
    <t>S PRAMODHINI GANESH</t>
  </si>
  <si>
    <t>M R PRANAV VIJAY</t>
  </si>
  <si>
    <t>PRASHANTH MANOKAR</t>
  </si>
  <si>
    <t>RISHIKUMAR S</t>
  </si>
  <si>
    <t>C SAHITYA</t>
  </si>
  <si>
    <t>SHAMBAVI BALACHANDRASEKAR</t>
  </si>
  <si>
    <t>SHASHANK SIVARAMAN</t>
  </si>
  <si>
    <t>SHIV JAYARAM V</t>
  </si>
  <si>
    <t>SHREYA NARASIMHAN</t>
  </si>
  <si>
    <t>SHRIRAM KARTHICK V P</t>
  </si>
  <si>
    <t>K SHRIVATHSAN</t>
  </si>
  <si>
    <t>SRI SAI CHARAN P</t>
  </si>
  <si>
    <t>C S SRI VALLABH</t>
  </si>
  <si>
    <t>P SRICHARAN</t>
  </si>
  <si>
    <t>M SUBHASHREE</t>
  </si>
  <si>
    <t>R VIDHYUTHRAM</t>
  </si>
  <si>
    <t>Unit Test-II</t>
  </si>
  <si>
    <t>75/76</t>
  </si>
  <si>
    <t>First prize in English endowment speech - PS Educational Society - Second Prize: English oratorical competition</t>
  </si>
  <si>
    <t xml:space="preserve">Nil      </t>
  </si>
  <si>
    <t>70.5/76</t>
  </si>
  <si>
    <t>PSMUN'24 - Conference Manager</t>
  </si>
  <si>
    <t xml:space="preserve"> Rhetoric'24 - Core Operations (Organizing Committee)  CPSMUN 24 - Chairperson  SANMUN 24 - High Commendation (Represented School)  Annual Day 2024 - Participant  Scintillations'24 - Volunteer Photography  Kalpakosha'24 - Participant  Kalanjali'24 - Participant</t>
  </si>
  <si>
    <t>71/76</t>
  </si>
  <si>
    <t>Volunteered in the School Annual Day Programme</t>
  </si>
  <si>
    <t xml:space="preserve">Inter School Chess competition ( Certificate of Appreciation )      </t>
  </si>
  <si>
    <t>66/76</t>
  </si>
  <si>
    <t>Volunteered in the School Annual Day Programme.</t>
  </si>
  <si>
    <t>72/76</t>
  </si>
  <si>
    <t>Head of PS Senior Delegation for the year 2024-'25/Head of Organising Committee PSMUN'24/Various MUN Awards/Various Cultural Awards</t>
  </si>
  <si>
    <t>69/76</t>
  </si>
  <si>
    <t>Participation in IOQM and AMTI - Exam</t>
  </si>
  <si>
    <t>Reverberations 2024</t>
  </si>
  <si>
    <t xml:space="preserve"> TamilNadu Robotics League 2024 High Jump  Long jump ( Participated)    </t>
  </si>
  <si>
    <t>73.5/76</t>
  </si>
  <si>
    <t>Tamil Nadu robotics league and Reverberation culturals in treasure hunt event</t>
  </si>
  <si>
    <t>74/76</t>
  </si>
  <si>
    <t>CVMUN 2024 - Special Mention</t>
  </si>
  <si>
    <t xml:space="preserve"> SANMUN 2024 - Verbal Mention  Nil    </t>
  </si>
  <si>
    <t>Tamil Elocution</t>
  </si>
  <si>
    <t xml:space="preserve">Foot Ball      </t>
  </si>
  <si>
    <t>63.5/76</t>
  </si>
  <si>
    <t>Unicus Math Olympiad Merit holder</t>
  </si>
  <si>
    <t xml:space="preserve"> Crest Mental Math Olympiad Merit Level-2 achiever  Ramanujan National Math competition by AICTSD distinction  Attended RAM TP 2024 and Math.Biz 2024 Camps in mathematics  Zifo Open quiz School level winner  PS Matriculation first prize in oratorical competition  School programs: Literary fest 2nd prize in tamizh debate  Annual day play participant</t>
  </si>
  <si>
    <t>TRL</t>
  </si>
  <si>
    <t xml:space="preserve">School Sports day- 200m ( Track event ) long jump high jump      </t>
  </si>
  <si>
    <t>67/76</t>
  </si>
  <si>
    <t>Music</t>
  </si>
  <si>
    <t>73/76</t>
  </si>
  <si>
    <t>Rhetoric volunteer</t>
  </si>
  <si>
    <t xml:space="preserve"> Smaraneyam culturals  Reverberation culturals Nil    </t>
  </si>
  <si>
    <t>Volunteered in the School Annual Day programme</t>
  </si>
  <si>
    <t>68/76</t>
  </si>
  <si>
    <t xml:space="preserve">TCS quiz </t>
  </si>
  <si>
    <t xml:space="preserve">volunteering  summer programs for data analytics Volley ball ( Runner up) Participated in Shot Put and Javelin Throw in YMCA - Bucks Meet    </t>
  </si>
  <si>
    <t>67.5/76</t>
  </si>
  <si>
    <t>Shankara School Culturals</t>
  </si>
  <si>
    <t>Volunteered in the School Annual Day Progaramme</t>
  </si>
  <si>
    <t>Exposition of epics 2nd prize in annual day</t>
  </si>
  <si>
    <t xml:space="preserve"> CSMUNS 24  EDMUN 24  vanguard mun 24(honourable mention prize) Smaraneeyam  and kalpakosha participant. Discuss throw 2nd prize in school sports day(also javeline and shotput finalist )pedha's sports meet- javeline throw semifinalist </t>
  </si>
  <si>
    <t>1. VintageMUN - High Commendation</t>
  </si>
  <si>
    <t xml:space="preserve"> 2. DLSMUN - Special Mention  3. SANMUN - Best Reporter  4. Maithri'24 - Participation  5. Bhavan's Rajaji Oratorical competition - Participation  6. English Endowment - 3rd prize  7. Participation in Annual Day - English Play Nil</t>
  </si>
  <si>
    <t>TCS Quiz</t>
  </si>
  <si>
    <t>Drawing</t>
  </si>
  <si>
    <t xml:space="preserve"> story creation Chess and Foot Ball     </t>
  </si>
  <si>
    <t>70/76</t>
  </si>
  <si>
    <t>69.5/76</t>
  </si>
  <si>
    <t xml:space="preserve">Intramurals - Table Tennis (2nd place)      </t>
  </si>
  <si>
    <t>62/76</t>
  </si>
  <si>
    <t>Completed MA in hindi</t>
  </si>
  <si>
    <t xml:space="preserve">Badminton 1st place U15 Singles intra academy      </t>
  </si>
  <si>
    <t>71.5/76</t>
  </si>
  <si>
    <t>Smaraniyaam culturals</t>
  </si>
  <si>
    <t xml:space="preserve"> tamil nadu robotics competition Nil     </t>
  </si>
  <si>
    <t>Kalpakosha</t>
  </si>
  <si>
    <t xml:space="preserve"> Kalanjali  Reverberations  Maithri  Smaraneeyam Foot Ball ( participation )  </t>
  </si>
  <si>
    <t>English Speech Competition</t>
  </si>
  <si>
    <t xml:space="preserve"> Sanskrit Essay Writing  MCTM International School- Debate  TCS Quiz  PS Jubilee Oratorical Competition Nil  </t>
  </si>
  <si>
    <t>1st place winner in the event poster making in Reflections '24</t>
  </si>
  <si>
    <t xml:space="preserve"> participated in maithri '24  smaraneeyam '24  kalanjali '24  reverberations '24 in the event poster making. participated in kalpakosha '24 in the event fireless cooking Nil  </t>
  </si>
  <si>
    <t xml:space="preserve">tamilnadu robotics league </t>
  </si>
  <si>
    <t xml:space="preserve"> sankara culturals participated in 200m running long and high jump     </t>
  </si>
  <si>
    <t>English Endowment - III Prize ; Rhetoric4.0 - Volunteer ; Kalanjali24 - Participated in Quiz ; Maithri24 - Participated in Stun news ; CVMUN24 - Verbal Mention ; SANMUN24 - Participation</t>
  </si>
  <si>
    <t>76/76</t>
  </si>
  <si>
    <t>64/76</t>
  </si>
  <si>
    <t>63/76</t>
  </si>
  <si>
    <t>2nd - Place in stand up comedy - ( Reverberation - 24 ) 3rd - place in Group music - ( Reflections - 24 ) Participated in Maithri -24 ; Smaraneeyam - 24 and Kalanjali - 24</t>
  </si>
  <si>
    <t>54.5/76</t>
  </si>
  <si>
    <t>Volunteered in the School annual day event</t>
  </si>
  <si>
    <t>Volunteered in the School Annual Day Event</t>
  </si>
  <si>
    <t>volunteered in the School Annual Day Programme</t>
  </si>
  <si>
    <t>TERM1-100</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</si>
</sst>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0" xfId="0" applyFill="1"/>
    <xf numFmtId="0" fontId="8" fillId="4" borderId="0" xfId="8"/>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3"/>
  <sheetViews>
    <sheetView tabSelected="1" topLeftCell="A13" workbookViewId="0">
      <selection activeCell="A44" sqref="A44:XFD44"/>
    </sheetView>
  </sheetViews>
  <sheetFormatPr defaultColWidth="11.7109375" defaultRowHeight="15" x14ac:dyDescent="0.25"/>
  <cols>
    <col min="2" max="2" width="6.140625" customWidth="1"/>
    <col min="3" max="3" width="5.85546875" customWidth="1"/>
    <col min="6" max="6" width="6.28515625" customWidth="1"/>
    <col min="7" max="7" width="5.140625" customWidth="1"/>
    <col min="8" max="8" width="5.85546875" customWidth="1"/>
    <col min="9" max="9" width="5" customWidth="1"/>
    <col min="10" max="10" width="5.5703125" customWidth="1"/>
    <col min="12" max="12" width="5" customWidth="1"/>
    <col min="13" max="13" width="5.140625" customWidth="1"/>
    <col min="14" max="14" width="6.5703125" customWidth="1"/>
    <col min="15" max="15" width="5.42578125" customWidth="1"/>
    <col min="16" max="16" width="5.28515625" customWidth="1"/>
    <col min="17" max="17" width="8.85546875"/>
    <col min="18" max="18" width="6.42578125" style="2" customWidth="1"/>
    <col min="19" max="19" width="6.28515625" style="2" customWidth="1"/>
    <col min="20" max="20" width="7.140625" style="2" customWidth="1"/>
    <col min="21" max="21" width="6.7109375" style="2" customWidth="1"/>
    <col min="22" max="22" width="18.85546875" style="2" bestFit="1" customWidth="1"/>
    <col min="23" max="23" width="22.85546875" bestFit="1" customWidth="1"/>
    <col min="25" max="28" width="8.85546875"/>
    <col min="29" max="34" width="11.7109375" style="1"/>
    <col min="35" max="40" width="8.85546875"/>
    <col min="41" max="41" width="255.7109375" bestFit="1" customWidth="1"/>
    <col min="42" max="43" width="8.85546875"/>
    <col min="44" max="44" width="8.7109375" bestFit="1" customWidth="1"/>
    <col min="45" max="45" width="3.7109375" bestFit="1" customWidth="1"/>
    <col min="46" max="46" width="8.28515625" bestFit="1" customWidth="1"/>
    <col min="47" max="47" width="7.140625" bestFit="1" customWidth="1"/>
    <col min="48" max="48" width="10.28515625" bestFit="1" customWidth="1"/>
    <col min="49" max="50" width="255.7109375" bestFit="1" customWidth="1"/>
    <col min="51" max="55" width="8.85546875"/>
  </cols>
  <sheetData>
    <row r="1" spans="1:41" x14ac:dyDescent="0.25">
      <c r="A1" t="s">
        <v>0</v>
      </c>
      <c r="B1" t="s">
        <v>1</v>
      </c>
      <c r="C1" t="s">
        <v>2</v>
      </c>
      <c r="D1" t="s">
        <v>3</v>
      </c>
      <c r="E1" t="s">
        <v>4</v>
      </c>
      <c r="F1" t="s">
        <v>22</v>
      </c>
      <c r="G1" t="s">
        <v>20</v>
      </c>
      <c r="H1" t="s">
        <v>5</v>
      </c>
      <c r="I1" t="s">
        <v>21</v>
      </c>
      <c r="J1" t="s">
        <v>25</v>
      </c>
      <c r="K1" t="s">
        <v>4</v>
      </c>
      <c r="L1" t="s">
        <v>22</v>
      </c>
      <c r="M1" t="s">
        <v>20</v>
      </c>
      <c r="N1" t="s">
        <v>5</v>
      </c>
      <c r="O1" t="s">
        <v>21</v>
      </c>
      <c r="P1" t="s">
        <v>25</v>
      </c>
      <c r="Q1" t="s">
        <v>4</v>
      </c>
      <c r="R1" s="2" t="s">
        <v>22</v>
      </c>
      <c r="S1" s="2" t="s">
        <v>20</v>
      </c>
      <c r="T1" s="2" t="s">
        <v>5</v>
      </c>
      <c r="U1" s="2" t="s">
        <v>21</v>
      </c>
      <c r="V1" s="2" t="s">
        <v>25</v>
      </c>
      <c r="W1" t="s">
        <v>4</v>
      </c>
      <c r="X1" t="s">
        <v>22</v>
      </c>
      <c r="Y1" t="s">
        <v>20</v>
      </c>
      <c r="Z1" t="s">
        <v>5</v>
      </c>
      <c r="AA1" t="s">
        <v>21</v>
      </c>
      <c r="AB1" t="s">
        <v>25</v>
      </c>
      <c r="AC1" s="1" t="s">
        <v>146</v>
      </c>
      <c r="AD1" s="1" t="s">
        <v>22</v>
      </c>
      <c r="AE1" s="1" t="s">
        <v>20</v>
      </c>
      <c r="AF1" s="1" t="s">
        <v>5</v>
      </c>
      <c r="AG1" s="1" t="s">
        <v>21</v>
      </c>
      <c r="AH1" s="1" t="s">
        <v>25</v>
      </c>
      <c r="AI1" t="s">
        <v>4</v>
      </c>
      <c r="AJ1" t="s">
        <v>11</v>
      </c>
      <c r="AK1" t="s">
        <v>12</v>
      </c>
      <c r="AL1" t="s">
        <v>13</v>
      </c>
      <c r="AM1" t="s">
        <v>14</v>
      </c>
      <c r="AN1" t="s">
        <v>15</v>
      </c>
      <c r="AO1" t="s">
        <v>16</v>
      </c>
    </row>
    <row r="2" spans="1:41" x14ac:dyDescent="0.25">
      <c r="A2">
        <v>1</v>
      </c>
      <c r="B2" t="s">
        <v>26</v>
      </c>
      <c r="C2">
        <v>16005</v>
      </c>
      <c r="D2" t="s">
        <v>27</v>
      </c>
      <c r="E2" t="s">
        <v>28</v>
      </c>
      <c r="F2">
        <v>29</v>
      </c>
      <c r="G2">
        <v>32</v>
      </c>
      <c r="H2" t="s">
        <v>29</v>
      </c>
      <c r="I2" t="s">
        <v>6</v>
      </c>
      <c r="J2">
        <v>31</v>
      </c>
      <c r="K2" t="s">
        <v>71</v>
      </c>
      <c r="L2">
        <v>31</v>
      </c>
      <c r="M2">
        <v>25</v>
      </c>
      <c r="N2">
        <v>36.5</v>
      </c>
      <c r="O2">
        <v>29</v>
      </c>
      <c r="P2">
        <v>33</v>
      </c>
      <c r="Q2" t="s">
        <v>8</v>
      </c>
      <c r="R2" s="2">
        <v>73</v>
      </c>
      <c r="S2" s="2">
        <v>61</v>
      </c>
      <c r="T2" s="2">
        <v>73</v>
      </c>
      <c r="U2" s="2">
        <v>60</v>
      </c>
      <c r="V2" s="2">
        <v>69.5</v>
      </c>
      <c r="W2" t="s">
        <v>9</v>
      </c>
      <c r="X2">
        <f t="shared" ref="X2:X43" si="0">CEILING((N(F2)+N(L2))/80*20,0.5)</f>
        <v>15</v>
      </c>
      <c r="Y2">
        <v>20</v>
      </c>
      <c r="Z2">
        <v>20</v>
      </c>
      <c r="AA2">
        <v>27.5</v>
      </c>
      <c r="AB2">
        <v>30</v>
      </c>
      <c r="AC2" s="1" t="s">
        <v>146</v>
      </c>
      <c r="AD2" s="1">
        <f>ROUND(X2+N(R2),0)</f>
        <v>88</v>
      </c>
      <c r="AE2" s="1">
        <f t="shared" ref="AE2:AH2" si="1">ROUND(Y2+N(S2),0)</f>
        <v>81</v>
      </c>
      <c r="AF2" s="1">
        <f t="shared" si="1"/>
        <v>93</v>
      </c>
      <c r="AG2" s="1">
        <f t="shared" si="1"/>
        <v>88</v>
      </c>
      <c r="AH2" s="1">
        <f t="shared" si="1"/>
        <v>100</v>
      </c>
      <c r="AI2" t="s">
        <v>8</v>
      </c>
      <c r="AJ2" t="s">
        <v>17</v>
      </c>
      <c r="AK2" t="s">
        <v>18</v>
      </c>
      <c r="AL2" t="s">
        <v>19</v>
      </c>
      <c r="AM2" t="s">
        <v>72</v>
      </c>
      <c r="AN2" t="s">
        <v>73</v>
      </c>
      <c r="AO2" t="s">
        <v>74</v>
      </c>
    </row>
    <row r="3" spans="1:41" x14ac:dyDescent="0.25">
      <c r="A3">
        <v>2</v>
      </c>
      <c r="B3" t="s">
        <v>26</v>
      </c>
      <c r="C3">
        <v>17708</v>
      </c>
      <c r="D3" t="s">
        <v>30</v>
      </c>
      <c r="E3" t="s">
        <v>28</v>
      </c>
      <c r="F3">
        <v>33.5</v>
      </c>
      <c r="G3" t="s">
        <v>23</v>
      </c>
      <c r="H3">
        <v>32.5</v>
      </c>
      <c r="I3">
        <v>22.5</v>
      </c>
      <c r="J3">
        <v>30</v>
      </c>
      <c r="K3" t="s">
        <v>71</v>
      </c>
      <c r="L3">
        <v>28</v>
      </c>
      <c r="M3">
        <v>21</v>
      </c>
      <c r="N3">
        <v>33.5</v>
      </c>
      <c r="O3">
        <v>15</v>
      </c>
      <c r="P3">
        <v>25</v>
      </c>
      <c r="Q3" t="s">
        <v>8</v>
      </c>
      <c r="R3" s="2">
        <v>56.5</v>
      </c>
      <c r="S3" s="2">
        <v>43</v>
      </c>
      <c r="T3" s="2">
        <v>67</v>
      </c>
      <c r="U3" s="2">
        <v>43</v>
      </c>
      <c r="V3" s="2">
        <v>54.5</v>
      </c>
      <c r="W3" t="s">
        <v>9</v>
      </c>
      <c r="X3">
        <f t="shared" si="0"/>
        <v>15.5</v>
      </c>
      <c r="Y3">
        <v>24</v>
      </c>
      <c r="Z3">
        <v>19</v>
      </c>
      <c r="AA3">
        <v>29</v>
      </c>
      <c r="AB3">
        <v>18</v>
      </c>
      <c r="AC3" s="1" t="s">
        <v>146</v>
      </c>
      <c r="AD3" s="1">
        <f t="shared" ref="AD3:AD43" si="2">ROUND(X3+N(R3),0)</f>
        <v>72</v>
      </c>
      <c r="AE3" s="1">
        <f t="shared" ref="AE3:AE43" si="3">ROUND(Y3+N(S3),0)</f>
        <v>67</v>
      </c>
      <c r="AF3" s="1">
        <f t="shared" ref="AF3:AF43" si="4">ROUND(Z3+N(T3),0)</f>
        <v>86</v>
      </c>
      <c r="AG3" s="1">
        <f t="shared" ref="AG3:AG43" si="5">ROUND(AA3+N(U3),0)</f>
        <v>72</v>
      </c>
      <c r="AH3" s="1">
        <f t="shared" ref="AH3:AH43" si="6">ROUND(AB3+N(V3),0)</f>
        <v>73</v>
      </c>
      <c r="AI3" t="s">
        <v>8</v>
      </c>
      <c r="AJ3" t="s">
        <v>17</v>
      </c>
      <c r="AK3" t="s">
        <v>18</v>
      </c>
      <c r="AL3" t="s">
        <v>19</v>
      </c>
      <c r="AM3" t="s">
        <v>75</v>
      </c>
      <c r="AN3" t="s">
        <v>76</v>
      </c>
      <c r="AO3" t="s">
        <v>77</v>
      </c>
    </row>
    <row r="4" spans="1:41" x14ac:dyDescent="0.25">
      <c r="A4">
        <v>3</v>
      </c>
      <c r="B4" t="s">
        <v>26</v>
      </c>
      <c r="C4">
        <v>16365</v>
      </c>
      <c r="D4" t="s">
        <v>31</v>
      </c>
      <c r="E4" t="s">
        <v>28</v>
      </c>
      <c r="F4">
        <v>26</v>
      </c>
      <c r="G4">
        <v>26</v>
      </c>
      <c r="H4">
        <v>27</v>
      </c>
      <c r="I4">
        <v>20.5</v>
      </c>
      <c r="J4">
        <v>18.5</v>
      </c>
      <c r="K4" t="s">
        <v>71</v>
      </c>
      <c r="L4">
        <v>26</v>
      </c>
      <c r="M4">
        <v>23.5</v>
      </c>
      <c r="N4">
        <v>20.5</v>
      </c>
      <c r="O4">
        <v>21.5</v>
      </c>
      <c r="P4">
        <v>15</v>
      </c>
      <c r="Q4" t="s">
        <v>8</v>
      </c>
      <c r="R4" s="2">
        <v>62.5</v>
      </c>
      <c r="S4" s="2">
        <v>40</v>
      </c>
      <c r="T4" s="2" t="s">
        <v>10</v>
      </c>
      <c r="U4" s="2" t="s">
        <v>10</v>
      </c>
      <c r="V4" s="2">
        <v>39.5</v>
      </c>
      <c r="W4" t="s">
        <v>9</v>
      </c>
      <c r="X4">
        <f t="shared" si="0"/>
        <v>13</v>
      </c>
      <c r="Y4">
        <v>17</v>
      </c>
      <c r="Z4">
        <v>16</v>
      </c>
      <c r="AA4">
        <v>26.5</v>
      </c>
      <c r="AB4">
        <v>14</v>
      </c>
      <c r="AC4" s="1" t="s">
        <v>146</v>
      </c>
      <c r="AD4" s="1">
        <f t="shared" si="2"/>
        <v>76</v>
      </c>
      <c r="AE4" s="1">
        <f t="shared" si="3"/>
        <v>57</v>
      </c>
      <c r="AF4" s="1">
        <f t="shared" si="4"/>
        <v>16</v>
      </c>
      <c r="AG4" s="1">
        <f t="shared" si="5"/>
        <v>27</v>
      </c>
      <c r="AH4" s="1">
        <f t="shared" si="6"/>
        <v>54</v>
      </c>
      <c r="AI4" t="s">
        <v>8</v>
      </c>
      <c r="AJ4" t="s">
        <v>17</v>
      </c>
      <c r="AK4" t="s">
        <v>18</v>
      </c>
      <c r="AL4" t="s">
        <v>19</v>
      </c>
      <c r="AM4" t="s">
        <v>78</v>
      </c>
      <c r="AN4" t="s">
        <v>79</v>
      </c>
      <c r="AO4" t="s">
        <v>80</v>
      </c>
    </row>
    <row r="5" spans="1:41" x14ac:dyDescent="0.25">
      <c r="A5">
        <v>4</v>
      </c>
      <c r="B5" t="s">
        <v>26</v>
      </c>
      <c r="C5">
        <v>14705</v>
      </c>
      <c r="D5" t="s">
        <v>32</v>
      </c>
      <c r="E5" t="s">
        <v>28</v>
      </c>
      <c r="F5">
        <v>32</v>
      </c>
      <c r="G5">
        <v>25.5</v>
      </c>
      <c r="H5">
        <v>30.5</v>
      </c>
      <c r="I5">
        <v>24.5</v>
      </c>
      <c r="J5">
        <v>27</v>
      </c>
      <c r="K5" t="s">
        <v>71</v>
      </c>
      <c r="L5">
        <v>31.5</v>
      </c>
      <c r="M5">
        <v>27.5</v>
      </c>
      <c r="N5">
        <v>33.5</v>
      </c>
      <c r="O5">
        <v>26</v>
      </c>
      <c r="P5">
        <v>27</v>
      </c>
      <c r="Q5" t="s">
        <v>8</v>
      </c>
      <c r="R5" s="2">
        <v>66</v>
      </c>
      <c r="S5" s="2">
        <v>60.5</v>
      </c>
      <c r="T5" s="2">
        <v>58</v>
      </c>
      <c r="U5" s="2">
        <v>53</v>
      </c>
      <c r="V5" s="2">
        <v>56</v>
      </c>
      <c r="W5" t="s">
        <v>9</v>
      </c>
      <c r="X5">
        <f t="shared" si="0"/>
        <v>16</v>
      </c>
      <c r="Y5">
        <v>27.5</v>
      </c>
      <c r="Z5">
        <v>16</v>
      </c>
      <c r="AA5">
        <v>26.5</v>
      </c>
      <c r="AB5">
        <v>25</v>
      </c>
      <c r="AC5" s="1" t="s">
        <v>146</v>
      </c>
      <c r="AD5" s="1">
        <f t="shared" si="2"/>
        <v>82</v>
      </c>
      <c r="AE5" s="1">
        <f t="shared" si="3"/>
        <v>88</v>
      </c>
      <c r="AF5" s="1">
        <f t="shared" si="4"/>
        <v>74</v>
      </c>
      <c r="AG5" s="1">
        <f t="shared" si="5"/>
        <v>80</v>
      </c>
      <c r="AH5" s="1">
        <f t="shared" si="6"/>
        <v>81</v>
      </c>
      <c r="AI5" t="s">
        <v>8</v>
      </c>
      <c r="AJ5" t="s">
        <v>17</v>
      </c>
      <c r="AK5" t="s">
        <v>18</v>
      </c>
      <c r="AL5" t="s">
        <v>19</v>
      </c>
      <c r="AM5" t="s">
        <v>81</v>
      </c>
      <c r="AN5" t="s">
        <v>82</v>
      </c>
      <c r="AO5" t="s">
        <v>74</v>
      </c>
    </row>
    <row r="6" spans="1:41" x14ac:dyDescent="0.25">
      <c r="A6">
        <v>5</v>
      </c>
      <c r="B6" t="s">
        <v>26</v>
      </c>
      <c r="C6">
        <v>14587</v>
      </c>
      <c r="D6" t="s">
        <v>33</v>
      </c>
      <c r="E6" t="s">
        <v>28</v>
      </c>
      <c r="F6">
        <v>29</v>
      </c>
      <c r="G6">
        <v>29.5</v>
      </c>
      <c r="H6">
        <v>32.5</v>
      </c>
      <c r="I6">
        <v>17.5</v>
      </c>
      <c r="J6">
        <v>31</v>
      </c>
      <c r="K6" t="s">
        <v>71</v>
      </c>
      <c r="L6">
        <v>26</v>
      </c>
      <c r="M6">
        <v>31</v>
      </c>
      <c r="N6">
        <v>34</v>
      </c>
      <c r="O6">
        <v>18.5</v>
      </c>
      <c r="P6">
        <v>30.5</v>
      </c>
      <c r="Q6" t="s">
        <v>8</v>
      </c>
      <c r="R6" s="2">
        <v>53.5</v>
      </c>
      <c r="S6" s="2">
        <v>43.5</v>
      </c>
      <c r="T6" s="2">
        <v>63</v>
      </c>
      <c r="U6" s="2">
        <v>42</v>
      </c>
      <c r="V6" s="2">
        <v>63</v>
      </c>
      <c r="W6" t="s">
        <v>9</v>
      </c>
      <c r="X6">
        <f t="shared" si="0"/>
        <v>14</v>
      </c>
      <c r="Y6">
        <v>26.5</v>
      </c>
      <c r="Z6">
        <v>9</v>
      </c>
      <c r="AA6">
        <v>26</v>
      </c>
      <c r="AB6">
        <v>29</v>
      </c>
      <c r="AC6" s="1" t="s">
        <v>146</v>
      </c>
      <c r="AD6" s="1">
        <f t="shared" si="2"/>
        <v>68</v>
      </c>
      <c r="AE6" s="1">
        <f t="shared" si="3"/>
        <v>70</v>
      </c>
      <c r="AF6" s="1">
        <f t="shared" si="4"/>
        <v>72</v>
      </c>
      <c r="AG6" s="1">
        <f t="shared" si="5"/>
        <v>68</v>
      </c>
      <c r="AH6" s="1">
        <f t="shared" si="6"/>
        <v>92</v>
      </c>
      <c r="AI6" t="s">
        <v>8</v>
      </c>
      <c r="AJ6" t="s">
        <v>17</v>
      </c>
      <c r="AK6" t="s">
        <v>18</v>
      </c>
      <c r="AL6" t="s">
        <v>19</v>
      </c>
      <c r="AM6" t="s">
        <v>83</v>
      </c>
      <c r="AN6" t="s">
        <v>84</v>
      </c>
      <c r="AO6" t="s">
        <v>74</v>
      </c>
    </row>
    <row r="7" spans="1:41" x14ac:dyDescent="0.25">
      <c r="A7">
        <v>6</v>
      </c>
      <c r="B7" t="s">
        <v>26</v>
      </c>
      <c r="C7">
        <v>14564</v>
      </c>
      <c r="D7" t="s">
        <v>34</v>
      </c>
      <c r="E7" t="s">
        <v>28</v>
      </c>
      <c r="F7">
        <v>25</v>
      </c>
      <c r="G7">
        <v>24.5</v>
      </c>
      <c r="H7">
        <v>33.5</v>
      </c>
      <c r="I7">
        <v>22</v>
      </c>
      <c r="J7">
        <v>25.5</v>
      </c>
      <c r="K7" t="s">
        <v>71</v>
      </c>
      <c r="L7">
        <v>29</v>
      </c>
      <c r="M7">
        <v>24.5</v>
      </c>
      <c r="N7">
        <v>33.5</v>
      </c>
      <c r="O7">
        <v>19.5</v>
      </c>
      <c r="P7">
        <v>21</v>
      </c>
      <c r="Q7" t="s">
        <v>8</v>
      </c>
      <c r="R7" s="2">
        <v>44</v>
      </c>
      <c r="S7" s="2">
        <v>52</v>
      </c>
      <c r="T7" s="2">
        <v>60.5</v>
      </c>
      <c r="U7" s="2">
        <v>41</v>
      </c>
      <c r="V7" s="2">
        <v>45</v>
      </c>
      <c r="W7" t="s">
        <v>9</v>
      </c>
      <c r="X7">
        <f t="shared" si="0"/>
        <v>13.5</v>
      </c>
      <c r="Y7">
        <v>27</v>
      </c>
      <c r="Z7">
        <v>18</v>
      </c>
      <c r="AA7">
        <v>24</v>
      </c>
      <c r="AB7">
        <v>23</v>
      </c>
      <c r="AC7" s="1" t="s">
        <v>146</v>
      </c>
      <c r="AD7" s="1">
        <f t="shared" si="2"/>
        <v>58</v>
      </c>
      <c r="AE7" s="1">
        <f t="shared" si="3"/>
        <v>79</v>
      </c>
      <c r="AF7" s="1">
        <f t="shared" si="4"/>
        <v>79</v>
      </c>
      <c r="AG7" s="1">
        <f t="shared" si="5"/>
        <v>65</v>
      </c>
      <c r="AH7" s="1">
        <f t="shared" si="6"/>
        <v>68</v>
      </c>
      <c r="AI7" t="s">
        <v>8</v>
      </c>
      <c r="AJ7" t="s">
        <v>17</v>
      </c>
      <c r="AK7" t="s">
        <v>18</v>
      </c>
      <c r="AL7" t="s">
        <v>19</v>
      </c>
      <c r="AM7" t="s">
        <v>85</v>
      </c>
      <c r="AN7" t="s">
        <v>86</v>
      </c>
      <c r="AO7" t="s">
        <v>74</v>
      </c>
    </row>
    <row r="8" spans="1:41" x14ac:dyDescent="0.25">
      <c r="A8">
        <v>7</v>
      </c>
      <c r="B8" t="s">
        <v>26</v>
      </c>
      <c r="C8">
        <v>15718</v>
      </c>
      <c r="D8" t="s">
        <v>35</v>
      </c>
      <c r="E8" t="s">
        <v>28</v>
      </c>
      <c r="F8">
        <v>32</v>
      </c>
      <c r="G8">
        <v>27</v>
      </c>
      <c r="H8">
        <v>33.5</v>
      </c>
      <c r="I8">
        <v>17.5</v>
      </c>
      <c r="J8">
        <v>26.5</v>
      </c>
      <c r="K8" t="s">
        <v>71</v>
      </c>
      <c r="L8">
        <v>27</v>
      </c>
      <c r="M8">
        <v>30</v>
      </c>
      <c r="N8">
        <v>33.5</v>
      </c>
      <c r="O8">
        <v>19</v>
      </c>
      <c r="P8">
        <v>30.5</v>
      </c>
      <c r="Q8" t="s">
        <v>8</v>
      </c>
      <c r="R8" s="2">
        <v>58</v>
      </c>
      <c r="S8" s="2">
        <v>45.5</v>
      </c>
      <c r="T8" s="2">
        <v>63</v>
      </c>
      <c r="U8" s="2">
        <v>50</v>
      </c>
      <c r="V8" s="2">
        <v>56.5</v>
      </c>
      <c r="W8" t="s">
        <v>9</v>
      </c>
      <c r="X8">
        <f t="shared" si="0"/>
        <v>15</v>
      </c>
      <c r="Y8">
        <v>25</v>
      </c>
      <c r="Z8">
        <v>20</v>
      </c>
      <c r="AA8">
        <v>25</v>
      </c>
      <c r="AB8">
        <v>30</v>
      </c>
      <c r="AC8" s="1" t="s">
        <v>146</v>
      </c>
      <c r="AD8" s="1">
        <f t="shared" si="2"/>
        <v>73</v>
      </c>
      <c r="AE8" s="1">
        <f t="shared" si="3"/>
        <v>71</v>
      </c>
      <c r="AF8" s="1">
        <f t="shared" si="4"/>
        <v>83</v>
      </c>
      <c r="AG8" s="1">
        <f t="shared" si="5"/>
        <v>75</v>
      </c>
      <c r="AH8" s="1">
        <f t="shared" si="6"/>
        <v>87</v>
      </c>
      <c r="AI8" t="s">
        <v>8</v>
      </c>
      <c r="AJ8" t="s">
        <v>17</v>
      </c>
      <c r="AK8" t="s">
        <v>18</v>
      </c>
      <c r="AL8" t="s">
        <v>19</v>
      </c>
      <c r="AM8" t="s">
        <v>72</v>
      </c>
      <c r="AN8" t="s">
        <v>87</v>
      </c>
      <c r="AO8" t="s">
        <v>88</v>
      </c>
    </row>
    <row r="9" spans="1:41" x14ac:dyDescent="0.25">
      <c r="A9">
        <v>8</v>
      </c>
      <c r="B9" t="s">
        <v>26</v>
      </c>
      <c r="C9">
        <v>15420</v>
      </c>
      <c r="D9" t="s">
        <v>36</v>
      </c>
      <c r="E9" t="s">
        <v>28</v>
      </c>
      <c r="F9">
        <v>35</v>
      </c>
      <c r="G9">
        <v>32</v>
      </c>
      <c r="H9">
        <v>29.5</v>
      </c>
      <c r="I9">
        <v>23</v>
      </c>
      <c r="J9" t="s">
        <v>6</v>
      </c>
      <c r="K9" t="s">
        <v>71</v>
      </c>
      <c r="L9">
        <v>34.5</v>
      </c>
      <c r="M9">
        <v>32</v>
      </c>
      <c r="N9">
        <v>27.5</v>
      </c>
      <c r="O9">
        <v>24</v>
      </c>
      <c r="P9">
        <v>28.5</v>
      </c>
      <c r="Q9" t="s">
        <v>8</v>
      </c>
      <c r="R9" s="2">
        <v>70.5</v>
      </c>
      <c r="S9" s="2">
        <v>66.5</v>
      </c>
      <c r="T9" s="2">
        <v>56</v>
      </c>
      <c r="U9" s="2">
        <v>56</v>
      </c>
      <c r="V9" s="2">
        <v>47.5</v>
      </c>
      <c r="W9" t="s">
        <v>9</v>
      </c>
      <c r="X9">
        <f t="shared" si="0"/>
        <v>17.5</v>
      </c>
      <c r="Y9">
        <v>27</v>
      </c>
      <c r="Z9">
        <v>18</v>
      </c>
      <c r="AA9">
        <v>25</v>
      </c>
      <c r="AB9">
        <v>30</v>
      </c>
      <c r="AC9" s="1" t="s">
        <v>146</v>
      </c>
      <c r="AD9" s="1">
        <f t="shared" si="2"/>
        <v>88</v>
      </c>
      <c r="AE9" s="1">
        <f t="shared" si="3"/>
        <v>94</v>
      </c>
      <c r="AF9" s="1">
        <f t="shared" si="4"/>
        <v>74</v>
      </c>
      <c r="AG9" s="1">
        <f t="shared" si="5"/>
        <v>81</v>
      </c>
      <c r="AH9" s="1">
        <f t="shared" si="6"/>
        <v>78</v>
      </c>
      <c r="AI9" t="s">
        <v>8</v>
      </c>
      <c r="AJ9" t="s">
        <v>17</v>
      </c>
      <c r="AK9" t="s">
        <v>18</v>
      </c>
      <c r="AL9" t="s">
        <v>19</v>
      </c>
      <c r="AM9" t="s">
        <v>89</v>
      </c>
      <c r="AN9" t="s">
        <v>90</v>
      </c>
      <c r="AO9" t="s">
        <v>74</v>
      </c>
    </row>
    <row r="10" spans="1:41" x14ac:dyDescent="0.25">
      <c r="A10">
        <v>9</v>
      </c>
      <c r="B10" t="s">
        <v>26</v>
      </c>
      <c r="C10">
        <v>15719</v>
      </c>
      <c r="D10" t="s">
        <v>37</v>
      </c>
      <c r="E10" t="s">
        <v>28</v>
      </c>
      <c r="F10">
        <v>32</v>
      </c>
      <c r="G10">
        <v>25</v>
      </c>
      <c r="H10">
        <v>36</v>
      </c>
      <c r="I10">
        <v>26.5</v>
      </c>
      <c r="J10">
        <v>30.5</v>
      </c>
      <c r="K10" t="s">
        <v>71</v>
      </c>
      <c r="L10">
        <v>25.5</v>
      </c>
      <c r="M10">
        <v>30</v>
      </c>
      <c r="N10">
        <v>34.5</v>
      </c>
      <c r="O10">
        <v>24.5</v>
      </c>
      <c r="P10">
        <v>34</v>
      </c>
      <c r="Q10" t="s">
        <v>8</v>
      </c>
      <c r="R10" s="2">
        <v>57.5</v>
      </c>
      <c r="S10" s="2">
        <v>58</v>
      </c>
      <c r="T10" s="2">
        <v>74</v>
      </c>
      <c r="U10" s="2">
        <v>55</v>
      </c>
      <c r="V10" s="2">
        <v>63</v>
      </c>
      <c r="W10" t="s">
        <v>9</v>
      </c>
      <c r="X10">
        <f t="shared" si="0"/>
        <v>14.5</v>
      </c>
      <c r="Y10">
        <v>29</v>
      </c>
      <c r="Z10">
        <v>19</v>
      </c>
      <c r="AA10">
        <v>26</v>
      </c>
      <c r="AB10">
        <v>30</v>
      </c>
      <c r="AC10" s="1" t="s">
        <v>146</v>
      </c>
      <c r="AD10" s="1">
        <f t="shared" si="2"/>
        <v>72</v>
      </c>
      <c r="AE10" s="1">
        <f t="shared" si="3"/>
        <v>87</v>
      </c>
      <c r="AF10" s="1">
        <f t="shared" si="4"/>
        <v>93</v>
      </c>
      <c r="AG10" s="1">
        <f t="shared" si="5"/>
        <v>81</v>
      </c>
      <c r="AH10" s="1">
        <f t="shared" si="6"/>
        <v>93</v>
      </c>
      <c r="AI10" t="s">
        <v>8</v>
      </c>
      <c r="AJ10" t="s">
        <v>17</v>
      </c>
      <c r="AK10" t="s">
        <v>18</v>
      </c>
      <c r="AL10" t="s">
        <v>19</v>
      </c>
      <c r="AM10" t="s">
        <v>91</v>
      </c>
      <c r="AN10" t="s">
        <v>92</v>
      </c>
      <c r="AO10" t="s">
        <v>93</v>
      </c>
    </row>
    <row r="11" spans="1:41" x14ac:dyDescent="0.25">
      <c r="A11">
        <v>10</v>
      </c>
      <c r="B11" t="s">
        <v>26</v>
      </c>
      <c r="C11">
        <v>14635</v>
      </c>
      <c r="D11" t="s">
        <v>38</v>
      </c>
      <c r="E11" t="s">
        <v>28</v>
      </c>
      <c r="F11">
        <v>29</v>
      </c>
      <c r="G11">
        <v>16.5</v>
      </c>
      <c r="H11">
        <v>34</v>
      </c>
      <c r="I11">
        <v>16</v>
      </c>
      <c r="J11">
        <v>23.5</v>
      </c>
      <c r="K11" t="s">
        <v>71</v>
      </c>
      <c r="L11">
        <v>22.5</v>
      </c>
      <c r="M11">
        <v>23.5</v>
      </c>
      <c r="N11">
        <v>28.5</v>
      </c>
      <c r="O11">
        <v>17</v>
      </c>
      <c r="P11">
        <v>21</v>
      </c>
      <c r="Q11" t="s">
        <v>8</v>
      </c>
      <c r="R11" s="2">
        <v>40</v>
      </c>
      <c r="S11" s="2">
        <v>51.5</v>
      </c>
      <c r="T11" s="2">
        <v>62</v>
      </c>
      <c r="U11" s="2">
        <v>31</v>
      </c>
      <c r="V11" s="2">
        <v>43.5</v>
      </c>
      <c r="W11" t="s">
        <v>9</v>
      </c>
      <c r="X11">
        <f t="shared" si="0"/>
        <v>13</v>
      </c>
      <c r="Y11">
        <v>28.5</v>
      </c>
      <c r="Z11">
        <v>8</v>
      </c>
      <c r="AA11">
        <v>27</v>
      </c>
      <c r="AB11">
        <v>18</v>
      </c>
      <c r="AC11" s="1" t="s">
        <v>146</v>
      </c>
      <c r="AD11" s="1">
        <f t="shared" si="2"/>
        <v>53</v>
      </c>
      <c r="AE11" s="1">
        <f t="shared" si="3"/>
        <v>80</v>
      </c>
      <c r="AF11" s="1">
        <f t="shared" si="4"/>
        <v>70</v>
      </c>
      <c r="AG11" s="1">
        <f t="shared" si="5"/>
        <v>58</v>
      </c>
      <c r="AH11" s="1">
        <f t="shared" si="6"/>
        <v>62</v>
      </c>
      <c r="AI11" t="s">
        <v>8</v>
      </c>
      <c r="AJ11" t="s">
        <v>17</v>
      </c>
      <c r="AK11" t="s">
        <v>18</v>
      </c>
      <c r="AL11" t="s">
        <v>19</v>
      </c>
      <c r="AM11" t="s">
        <v>78</v>
      </c>
      <c r="AN11" t="s">
        <v>94</v>
      </c>
      <c r="AO11" t="s">
        <v>74</v>
      </c>
    </row>
    <row r="12" spans="1:41" x14ac:dyDescent="0.25">
      <c r="A12">
        <v>11</v>
      </c>
      <c r="B12" t="s">
        <v>26</v>
      </c>
      <c r="C12">
        <v>14573</v>
      </c>
      <c r="D12" t="s">
        <v>39</v>
      </c>
      <c r="E12" t="s">
        <v>28</v>
      </c>
      <c r="F12">
        <v>38</v>
      </c>
      <c r="G12">
        <v>30.5</v>
      </c>
      <c r="H12">
        <v>32.5</v>
      </c>
      <c r="I12">
        <v>24.5</v>
      </c>
      <c r="J12">
        <v>26.5</v>
      </c>
      <c r="K12" t="s">
        <v>71</v>
      </c>
      <c r="L12">
        <v>31.5</v>
      </c>
      <c r="M12">
        <v>33</v>
      </c>
      <c r="N12">
        <v>32</v>
      </c>
      <c r="O12">
        <v>28.5</v>
      </c>
      <c r="P12">
        <v>30</v>
      </c>
      <c r="Q12" t="s">
        <v>8</v>
      </c>
      <c r="R12" s="2">
        <v>71</v>
      </c>
      <c r="S12" s="2">
        <v>65.5</v>
      </c>
      <c r="T12" s="2" t="s">
        <v>10</v>
      </c>
      <c r="U12" s="2" t="s">
        <v>10</v>
      </c>
      <c r="V12" s="2">
        <v>64.5</v>
      </c>
      <c r="W12" t="s">
        <v>9</v>
      </c>
      <c r="X12">
        <f t="shared" si="0"/>
        <v>17.5</v>
      </c>
      <c r="Y12">
        <v>18.5</v>
      </c>
      <c r="Z12">
        <v>19</v>
      </c>
      <c r="AA12">
        <v>25</v>
      </c>
      <c r="AB12">
        <v>28</v>
      </c>
      <c r="AC12" s="1" t="s">
        <v>146</v>
      </c>
      <c r="AD12" s="1">
        <f t="shared" si="2"/>
        <v>89</v>
      </c>
      <c r="AE12" s="1">
        <f t="shared" si="3"/>
        <v>84</v>
      </c>
      <c r="AF12" s="1">
        <f t="shared" si="4"/>
        <v>19</v>
      </c>
      <c r="AG12" s="1">
        <f t="shared" si="5"/>
        <v>25</v>
      </c>
      <c r="AH12" s="1">
        <f t="shared" si="6"/>
        <v>93</v>
      </c>
      <c r="AI12" t="s">
        <v>8</v>
      </c>
      <c r="AJ12" t="s">
        <v>17</v>
      </c>
      <c r="AK12" t="s">
        <v>18</v>
      </c>
      <c r="AL12" t="s">
        <v>19</v>
      </c>
      <c r="AM12" t="s">
        <v>83</v>
      </c>
      <c r="AN12" t="s">
        <v>79</v>
      </c>
      <c r="AO12" t="s">
        <v>95</v>
      </c>
    </row>
    <row r="13" spans="1:41" x14ac:dyDescent="0.25">
      <c r="A13">
        <v>12</v>
      </c>
      <c r="B13" t="s">
        <v>26</v>
      </c>
      <c r="C13">
        <v>14581</v>
      </c>
      <c r="D13" t="s">
        <v>40</v>
      </c>
      <c r="E13" t="s">
        <v>28</v>
      </c>
      <c r="F13">
        <v>36</v>
      </c>
      <c r="G13">
        <v>29</v>
      </c>
      <c r="H13">
        <v>32.5</v>
      </c>
      <c r="I13">
        <v>23</v>
      </c>
      <c r="J13">
        <v>22</v>
      </c>
      <c r="K13" t="s">
        <v>71</v>
      </c>
      <c r="L13">
        <v>31</v>
      </c>
      <c r="M13">
        <v>27</v>
      </c>
      <c r="N13">
        <v>33</v>
      </c>
      <c r="O13">
        <v>26</v>
      </c>
      <c r="P13">
        <v>25.5</v>
      </c>
      <c r="Q13" t="s">
        <v>8</v>
      </c>
      <c r="R13" s="2">
        <v>76.5</v>
      </c>
      <c r="S13" s="2">
        <v>65</v>
      </c>
      <c r="T13" s="2">
        <v>70</v>
      </c>
      <c r="U13" s="2">
        <v>58</v>
      </c>
      <c r="V13" s="2">
        <v>59</v>
      </c>
      <c r="W13" t="s">
        <v>9</v>
      </c>
      <c r="X13">
        <f t="shared" si="0"/>
        <v>17</v>
      </c>
      <c r="Y13">
        <v>19.5</v>
      </c>
      <c r="Z13">
        <v>20</v>
      </c>
      <c r="AA13">
        <v>25</v>
      </c>
      <c r="AB13">
        <v>30</v>
      </c>
      <c r="AC13" s="1" t="s">
        <v>146</v>
      </c>
      <c r="AD13" s="1">
        <f t="shared" si="2"/>
        <v>94</v>
      </c>
      <c r="AE13" s="1">
        <f t="shared" si="3"/>
        <v>85</v>
      </c>
      <c r="AF13" s="1">
        <f t="shared" si="4"/>
        <v>90</v>
      </c>
      <c r="AG13" s="1">
        <f t="shared" si="5"/>
        <v>83</v>
      </c>
      <c r="AH13" s="1">
        <f t="shared" si="6"/>
        <v>89</v>
      </c>
      <c r="AI13" t="s">
        <v>8</v>
      </c>
      <c r="AJ13" t="s">
        <v>17</v>
      </c>
      <c r="AK13" t="s">
        <v>18</v>
      </c>
      <c r="AL13" t="s">
        <v>19</v>
      </c>
      <c r="AM13" t="s">
        <v>96</v>
      </c>
      <c r="AN13" t="s">
        <v>97</v>
      </c>
      <c r="AO13" t="s">
        <v>98</v>
      </c>
    </row>
    <row r="14" spans="1:41" x14ac:dyDescent="0.25">
      <c r="A14">
        <v>13</v>
      </c>
      <c r="B14" t="s">
        <v>26</v>
      </c>
      <c r="C14">
        <v>17637</v>
      </c>
      <c r="D14" t="s">
        <v>41</v>
      </c>
      <c r="E14" t="s">
        <v>28</v>
      </c>
      <c r="F14">
        <v>31</v>
      </c>
      <c r="G14">
        <v>22</v>
      </c>
      <c r="H14">
        <v>33</v>
      </c>
      <c r="I14">
        <v>13</v>
      </c>
      <c r="J14">
        <v>19.5</v>
      </c>
      <c r="K14" t="s">
        <v>71</v>
      </c>
      <c r="L14">
        <v>21.5</v>
      </c>
      <c r="M14">
        <v>25</v>
      </c>
      <c r="N14">
        <v>37</v>
      </c>
      <c r="O14">
        <v>8</v>
      </c>
      <c r="P14">
        <v>24</v>
      </c>
      <c r="Q14" t="s">
        <v>8</v>
      </c>
      <c r="R14" s="2">
        <v>47</v>
      </c>
      <c r="S14" s="2">
        <v>44.5</v>
      </c>
      <c r="T14" s="2">
        <v>61.5</v>
      </c>
      <c r="U14" s="2">
        <v>32</v>
      </c>
      <c r="V14" s="2">
        <v>51.5</v>
      </c>
      <c r="W14" t="s">
        <v>9</v>
      </c>
      <c r="X14">
        <f t="shared" si="0"/>
        <v>13.5</v>
      </c>
      <c r="Y14">
        <v>23.5</v>
      </c>
      <c r="Z14">
        <v>18</v>
      </c>
      <c r="AA14">
        <v>27.5</v>
      </c>
      <c r="AB14">
        <v>19</v>
      </c>
      <c r="AC14" s="1" t="s">
        <v>146</v>
      </c>
      <c r="AD14" s="1">
        <f t="shared" si="2"/>
        <v>61</v>
      </c>
      <c r="AE14" s="1">
        <f t="shared" si="3"/>
        <v>68</v>
      </c>
      <c r="AF14" s="1">
        <f t="shared" si="4"/>
        <v>80</v>
      </c>
      <c r="AG14" s="1">
        <f t="shared" si="5"/>
        <v>60</v>
      </c>
      <c r="AH14" s="1">
        <f t="shared" si="6"/>
        <v>71</v>
      </c>
      <c r="AI14" t="s">
        <v>8</v>
      </c>
      <c r="AJ14" t="s">
        <v>17</v>
      </c>
      <c r="AK14" t="s">
        <v>18</v>
      </c>
      <c r="AL14" t="s">
        <v>19</v>
      </c>
      <c r="AM14" t="s">
        <v>72</v>
      </c>
      <c r="AN14" t="s">
        <v>99</v>
      </c>
      <c r="AO14" t="s">
        <v>100</v>
      </c>
    </row>
    <row r="15" spans="1:41" x14ac:dyDescent="0.25">
      <c r="A15">
        <v>14</v>
      </c>
      <c r="B15" t="s">
        <v>26</v>
      </c>
      <c r="C15">
        <v>14588</v>
      </c>
      <c r="D15" t="s">
        <v>42</v>
      </c>
      <c r="E15" t="s">
        <v>28</v>
      </c>
      <c r="F15">
        <v>33</v>
      </c>
      <c r="G15">
        <v>26</v>
      </c>
      <c r="H15">
        <v>28</v>
      </c>
      <c r="I15">
        <v>18.5</v>
      </c>
      <c r="J15">
        <v>15.5</v>
      </c>
      <c r="K15" t="s">
        <v>71</v>
      </c>
      <c r="L15">
        <v>34.5</v>
      </c>
      <c r="M15">
        <v>26.5</v>
      </c>
      <c r="N15">
        <v>25</v>
      </c>
      <c r="O15">
        <v>22.5</v>
      </c>
      <c r="P15">
        <v>26.5</v>
      </c>
      <c r="Q15" t="s">
        <v>8</v>
      </c>
      <c r="R15" s="2">
        <v>54</v>
      </c>
      <c r="S15" s="2">
        <v>46</v>
      </c>
      <c r="T15" s="2" t="s">
        <v>10</v>
      </c>
      <c r="U15" s="2" t="s">
        <v>10</v>
      </c>
      <c r="V15" s="2">
        <v>47.5</v>
      </c>
      <c r="W15" t="s">
        <v>9</v>
      </c>
      <c r="X15">
        <f t="shared" si="0"/>
        <v>17</v>
      </c>
      <c r="Y15">
        <v>24</v>
      </c>
      <c r="Z15">
        <v>18</v>
      </c>
      <c r="AA15">
        <v>25.5</v>
      </c>
      <c r="AB15">
        <v>25</v>
      </c>
      <c r="AC15" s="1" t="s">
        <v>146</v>
      </c>
      <c r="AD15" s="1">
        <f t="shared" si="2"/>
        <v>71</v>
      </c>
      <c r="AE15" s="1">
        <f t="shared" si="3"/>
        <v>70</v>
      </c>
      <c r="AF15" s="1">
        <f t="shared" si="4"/>
        <v>18</v>
      </c>
      <c r="AG15" s="1">
        <f t="shared" si="5"/>
        <v>26</v>
      </c>
      <c r="AH15" s="1">
        <f t="shared" si="6"/>
        <v>73</v>
      </c>
      <c r="AI15" t="s">
        <v>8</v>
      </c>
      <c r="AJ15" t="s">
        <v>17</v>
      </c>
      <c r="AK15" t="s">
        <v>18</v>
      </c>
      <c r="AL15" t="s">
        <v>19</v>
      </c>
      <c r="AM15" t="s">
        <v>101</v>
      </c>
      <c r="AN15" t="s">
        <v>102</v>
      </c>
      <c r="AO15" t="s">
        <v>95</v>
      </c>
    </row>
    <row r="16" spans="1:41" x14ac:dyDescent="0.25">
      <c r="A16">
        <v>15</v>
      </c>
      <c r="B16" t="s">
        <v>26</v>
      </c>
      <c r="C16">
        <v>14591</v>
      </c>
      <c r="D16" t="s">
        <v>43</v>
      </c>
      <c r="E16" t="s">
        <v>28</v>
      </c>
      <c r="F16">
        <v>20</v>
      </c>
      <c r="G16">
        <v>15</v>
      </c>
      <c r="H16">
        <v>31</v>
      </c>
      <c r="I16">
        <v>6.5</v>
      </c>
      <c r="J16">
        <v>22</v>
      </c>
      <c r="K16" t="s">
        <v>71</v>
      </c>
      <c r="L16">
        <v>13.5</v>
      </c>
      <c r="M16">
        <v>9.5</v>
      </c>
      <c r="N16">
        <v>29</v>
      </c>
      <c r="O16">
        <v>12</v>
      </c>
      <c r="P16">
        <v>22</v>
      </c>
      <c r="Q16" t="s">
        <v>8</v>
      </c>
      <c r="R16" s="2">
        <v>29</v>
      </c>
      <c r="S16" s="2">
        <v>28.5</v>
      </c>
      <c r="T16" s="2">
        <v>59.5</v>
      </c>
      <c r="U16" s="2">
        <v>39</v>
      </c>
      <c r="V16" s="2">
        <v>53.5</v>
      </c>
      <c r="W16" t="s">
        <v>9</v>
      </c>
      <c r="X16">
        <f t="shared" si="0"/>
        <v>8.5</v>
      </c>
      <c r="Y16">
        <v>20.5</v>
      </c>
      <c r="Z16">
        <v>17</v>
      </c>
      <c r="AA16">
        <v>22.5</v>
      </c>
      <c r="AB16">
        <v>22</v>
      </c>
      <c r="AC16" s="1" t="s">
        <v>146</v>
      </c>
      <c r="AD16" s="1">
        <f t="shared" si="2"/>
        <v>38</v>
      </c>
      <c r="AE16" s="1">
        <f t="shared" si="3"/>
        <v>49</v>
      </c>
      <c r="AF16" s="1">
        <f t="shared" si="4"/>
        <v>77</v>
      </c>
      <c r="AG16" s="1">
        <f t="shared" si="5"/>
        <v>62</v>
      </c>
      <c r="AH16" s="1">
        <f t="shared" si="6"/>
        <v>76</v>
      </c>
      <c r="AI16" t="s">
        <v>8</v>
      </c>
      <c r="AJ16" t="s">
        <v>17</v>
      </c>
      <c r="AK16" t="s">
        <v>18</v>
      </c>
      <c r="AL16" t="s">
        <v>19</v>
      </c>
      <c r="AM16" t="s">
        <v>103</v>
      </c>
      <c r="AN16" t="s">
        <v>104</v>
      </c>
      <c r="AO16" t="s">
        <v>105</v>
      </c>
    </row>
    <row r="17" spans="1:41" x14ac:dyDescent="0.25">
      <c r="A17">
        <v>16</v>
      </c>
      <c r="B17" t="s">
        <v>26</v>
      </c>
      <c r="C17">
        <v>17862</v>
      </c>
      <c r="D17" t="s">
        <v>44</v>
      </c>
      <c r="E17" t="s">
        <v>28</v>
      </c>
      <c r="F17">
        <v>32</v>
      </c>
      <c r="G17">
        <v>29</v>
      </c>
      <c r="H17">
        <v>35</v>
      </c>
      <c r="I17">
        <v>22.5</v>
      </c>
      <c r="J17">
        <v>25</v>
      </c>
      <c r="K17" t="s">
        <v>71</v>
      </c>
      <c r="L17">
        <v>35.5</v>
      </c>
      <c r="M17">
        <v>29</v>
      </c>
      <c r="N17">
        <v>27.5</v>
      </c>
      <c r="O17">
        <v>23.5</v>
      </c>
      <c r="P17">
        <v>31.5</v>
      </c>
      <c r="Q17" t="s">
        <v>8</v>
      </c>
      <c r="R17" s="2">
        <v>56.5</v>
      </c>
      <c r="S17" s="2">
        <v>57.5</v>
      </c>
      <c r="T17" s="2">
        <v>60</v>
      </c>
      <c r="U17" s="2">
        <v>47</v>
      </c>
      <c r="V17" s="2">
        <v>54</v>
      </c>
      <c r="W17" t="s">
        <v>9</v>
      </c>
      <c r="X17">
        <f t="shared" si="0"/>
        <v>17</v>
      </c>
      <c r="Y17">
        <v>22</v>
      </c>
      <c r="Z17">
        <v>20</v>
      </c>
      <c r="AA17">
        <v>26.5</v>
      </c>
      <c r="AB17">
        <v>25</v>
      </c>
      <c r="AC17" s="1" t="s">
        <v>146</v>
      </c>
      <c r="AD17" s="1">
        <f t="shared" si="2"/>
        <v>74</v>
      </c>
      <c r="AE17" s="1">
        <f t="shared" si="3"/>
        <v>80</v>
      </c>
      <c r="AF17" s="1">
        <f t="shared" si="4"/>
        <v>80</v>
      </c>
      <c r="AG17" s="1">
        <f t="shared" si="5"/>
        <v>74</v>
      </c>
      <c r="AH17" s="1">
        <f t="shared" si="6"/>
        <v>79</v>
      </c>
      <c r="AI17" t="s">
        <v>8</v>
      </c>
      <c r="AJ17" t="s">
        <v>17</v>
      </c>
      <c r="AK17" t="s">
        <v>18</v>
      </c>
      <c r="AL17" t="s">
        <v>19</v>
      </c>
      <c r="AM17" t="s">
        <v>78</v>
      </c>
      <c r="AN17" t="s">
        <v>106</v>
      </c>
      <c r="AO17" t="s">
        <v>74</v>
      </c>
    </row>
    <row r="18" spans="1:41" x14ac:dyDescent="0.25">
      <c r="A18">
        <v>17</v>
      </c>
      <c r="B18" t="s">
        <v>26</v>
      </c>
      <c r="C18">
        <v>14782</v>
      </c>
      <c r="D18" t="s">
        <v>45</v>
      </c>
      <c r="E18" t="s">
        <v>28</v>
      </c>
      <c r="F18">
        <v>27</v>
      </c>
      <c r="G18">
        <v>26.5</v>
      </c>
      <c r="H18">
        <v>35.5</v>
      </c>
      <c r="I18">
        <v>20</v>
      </c>
      <c r="J18">
        <v>26</v>
      </c>
      <c r="K18" t="s">
        <v>71</v>
      </c>
      <c r="L18">
        <v>8.5</v>
      </c>
      <c r="M18">
        <v>22.5</v>
      </c>
      <c r="N18">
        <v>29</v>
      </c>
      <c r="O18">
        <v>13.5</v>
      </c>
      <c r="P18">
        <v>19</v>
      </c>
      <c r="Q18" t="s">
        <v>8</v>
      </c>
      <c r="R18" s="2">
        <v>32</v>
      </c>
      <c r="S18" s="2">
        <v>48.5</v>
      </c>
      <c r="T18" s="2">
        <v>59.5</v>
      </c>
      <c r="U18" s="2">
        <v>27</v>
      </c>
      <c r="V18" s="2">
        <v>36</v>
      </c>
      <c r="W18" t="s">
        <v>9</v>
      </c>
      <c r="X18">
        <f t="shared" si="0"/>
        <v>9</v>
      </c>
      <c r="Y18">
        <v>26</v>
      </c>
      <c r="Z18">
        <v>19</v>
      </c>
      <c r="AA18">
        <v>25</v>
      </c>
      <c r="AB18">
        <v>14</v>
      </c>
      <c r="AC18" s="1" t="s">
        <v>146</v>
      </c>
      <c r="AD18" s="1">
        <f t="shared" si="2"/>
        <v>41</v>
      </c>
      <c r="AE18" s="1">
        <f t="shared" si="3"/>
        <v>75</v>
      </c>
      <c r="AF18" s="1">
        <f t="shared" si="4"/>
        <v>79</v>
      </c>
      <c r="AG18" s="1">
        <f t="shared" si="5"/>
        <v>52</v>
      </c>
      <c r="AH18" s="1">
        <f t="shared" si="6"/>
        <v>50</v>
      </c>
      <c r="AI18" t="s">
        <v>8</v>
      </c>
      <c r="AJ18" t="s">
        <v>17</v>
      </c>
      <c r="AK18" t="s">
        <v>18</v>
      </c>
      <c r="AL18" t="s">
        <v>19</v>
      </c>
      <c r="AM18" t="s">
        <v>107</v>
      </c>
      <c r="AN18" t="s">
        <v>108</v>
      </c>
      <c r="AO18" t="s">
        <v>109</v>
      </c>
    </row>
    <row r="19" spans="1:41" x14ac:dyDescent="0.25">
      <c r="A19">
        <v>18</v>
      </c>
      <c r="B19" t="s">
        <v>26</v>
      </c>
      <c r="C19">
        <v>16729</v>
      </c>
      <c r="D19" t="s">
        <v>46</v>
      </c>
      <c r="E19" t="s">
        <v>28</v>
      </c>
      <c r="F19">
        <v>37</v>
      </c>
      <c r="G19">
        <v>30.5</v>
      </c>
      <c r="H19">
        <v>32.5</v>
      </c>
      <c r="I19">
        <v>28</v>
      </c>
      <c r="J19">
        <v>25</v>
      </c>
      <c r="K19" t="s">
        <v>71</v>
      </c>
      <c r="L19">
        <v>37</v>
      </c>
      <c r="M19">
        <v>28.5</v>
      </c>
      <c r="N19">
        <v>37</v>
      </c>
      <c r="O19">
        <v>22.5</v>
      </c>
      <c r="P19">
        <v>30.5</v>
      </c>
      <c r="Q19" t="s">
        <v>8</v>
      </c>
      <c r="R19" s="2">
        <v>74.5</v>
      </c>
      <c r="S19" s="2">
        <v>61.5</v>
      </c>
      <c r="T19" s="2">
        <v>68.5</v>
      </c>
      <c r="U19" s="2">
        <v>57</v>
      </c>
      <c r="V19" s="2">
        <v>63.5</v>
      </c>
      <c r="W19" t="s">
        <v>9</v>
      </c>
      <c r="X19">
        <f t="shared" si="0"/>
        <v>18.5</v>
      </c>
      <c r="Y19">
        <v>23.5</v>
      </c>
      <c r="Z19">
        <v>18</v>
      </c>
      <c r="AA19">
        <v>27</v>
      </c>
      <c r="AB19">
        <v>19</v>
      </c>
      <c r="AC19" s="1" t="s">
        <v>146</v>
      </c>
      <c r="AD19" s="1">
        <f t="shared" si="2"/>
        <v>93</v>
      </c>
      <c r="AE19" s="1">
        <f t="shared" si="3"/>
        <v>85</v>
      </c>
      <c r="AF19" s="1">
        <f t="shared" si="4"/>
        <v>87</v>
      </c>
      <c r="AG19" s="1">
        <f t="shared" si="5"/>
        <v>84</v>
      </c>
      <c r="AH19" s="1">
        <f t="shared" si="6"/>
        <v>83</v>
      </c>
      <c r="AI19" t="s">
        <v>8</v>
      </c>
      <c r="AJ19" t="s">
        <v>17</v>
      </c>
      <c r="AK19" t="s">
        <v>18</v>
      </c>
      <c r="AL19" t="s">
        <v>19</v>
      </c>
      <c r="AM19" t="s">
        <v>110</v>
      </c>
      <c r="AN19" t="s">
        <v>111</v>
      </c>
      <c r="AO19" t="s">
        <v>24</v>
      </c>
    </row>
    <row r="20" spans="1:41" x14ac:dyDescent="0.25">
      <c r="A20">
        <v>19</v>
      </c>
      <c r="B20" t="s">
        <v>26</v>
      </c>
      <c r="C20">
        <v>15684</v>
      </c>
      <c r="D20" t="s">
        <v>47</v>
      </c>
      <c r="E20" t="s">
        <v>28</v>
      </c>
      <c r="F20">
        <v>34</v>
      </c>
      <c r="G20">
        <v>15.5</v>
      </c>
      <c r="H20">
        <v>29.5</v>
      </c>
      <c r="I20">
        <v>19.5</v>
      </c>
      <c r="J20">
        <v>22</v>
      </c>
      <c r="K20" t="s">
        <v>71</v>
      </c>
      <c r="L20">
        <v>20.5</v>
      </c>
      <c r="M20">
        <v>17</v>
      </c>
      <c r="N20">
        <v>28.5</v>
      </c>
      <c r="O20">
        <v>14.5</v>
      </c>
      <c r="P20">
        <v>21.5</v>
      </c>
      <c r="Q20" t="s">
        <v>8</v>
      </c>
      <c r="R20" s="2">
        <v>49</v>
      </c>
      <c r="S20" s="2">
        <v>38.5</v>
      </c>
      <c r="T20" s="2">
        <v>59.5</v>
      </c>
      <c r="U20" s="2">
        <v>42</v>
      </c>
      <c r="V20" s="2">
        <v>42.5</v>
      </c>
      <c r="W20" t="s">
        <v>9</v>
      </c>
      <c r="X20">
        <f t="shared" si="0"/>
        <v>14</v>
      </c>
      <c r="Y20">
        <v>19</v>
      </c>
      <c r="Z20">
        <v>17</v>
      </c>
      <c r="AA20">
        <v>22</v>
      </c>
      <c r="AB20">
        <v>20</v>
      </c>
      <c r="AC20" s="1" t="s">
        <v>146</v>
      </c>
      <c r="AD20" s="1">
        <f t="shared" si="2"/>
        <v>63</v>
      </c>
      <c r="AE20" s="1">
        <f t="shared" si="3"/>
        <v>58</v>
      </c>
      <c r="AF20" s="1">
        <f t="shared" si="4"/>
        <v>77</v>
      </c>
      <c r="AG20" s="1">
        <f t="shared" si="5"/>
        <v>64</v>
      </c>
      <c r="AH20" s="1">
        <f t="shared" si="6"/>
        <v>63</v>
      </c>
      <c r="AI20" t="s">
        <v>8</v>
      </c>
      <c r="AJ20" t="s">
        <v>17</v>
      </c>
      <c r="AK20" t="s">
        <v>18</v>
      </c>
      <c r="AL20" t="s">
        <v>19</v>
      </c>
      <c r="AM20" t="s">
        <v>83</v>
      </c>
      <c r="AN20" t="s">
        <v>79</v>
      </c>
      <c r="AO20" t="s">
        <v>74</v>
      </c>
    </row>
    <row r="21" spans="1:41" x14ac:dyDescent="0.25">
      <c r="A21">
        <v>20</v>
      </c>
      <c r="B21" t="s">
        <v>26</v>
      </c>
      <c r="C21">
        <v>18716</v>
      </c>
      <c r="D21" t="s">
        <v>48</v>
      </c>
      <c r="E21" t="s">
        <v>28</v>
      </c>
      <c r="F21">
        <v>35</v>
      </c>
      <c r="G21">
        <v>32.5</v>
      </c>
      <c r="H21">
        <v>32</v>
      </c>
      <c r="I21">
        <v>25.5</v>
      </c>
      <c r="J21">
        <v>28</v>
      </c>
      <c r="K21" t="s">
        <v>71</v>
      </c>
      <c r="L21">
        <v>34</v>
      </c>
      <c r="M21">
        <v>30.5</v>
      </c>
      <c r="N21">
        <v>36.5</v>
      </c>
      <c r="O21">
        <v>23</v>
      </c>
      <c r="P21">
        <v>28</v>
      </c>
      <c r="Q21" t="s">
        <v>8</v>
      </c>
      <c r="R21" s="2">
        <v>76</v>
      </c>
      <c r="S21" s="2">
        <v>66</v>
      </c>
      <c r="T21" s="2">
        <v>60.5</v>
      </c>
      <c r="U21" s="2">
        <v>57</v>
      </c>
      <c r="V21" s="2">
        <v>63.5</v>
      </c>
      <c r="W21" t="s">
        <v>9</v>
      </c>
      <c r="X21">
        <f t="shared" si="0"/>
        <v>17.5</v>
      </c>
      <c r="Y21">
        <v>28</v>
      </c>
      <c r="Z21">
        <v>18</v>
      </c>
      <c r="AA21">
        <v>27</v>
      </c>
      <c r="AB21">
        <v>30</v>
      </c>
      <c r="AC21" s="1" t="s">
        <v>146</v>
      </c>
      <c r="AD21" s="1">
        <f t="shared" si="2"/>
        <v>94</v>
      </c>
      <c r="AE21" s="1">
        <f t="shared" si="3"/>
        <v>94</v>
      </c>
      <c r="AF21" s="1">
        <f t="shared" si="4"/>
        <v>79</v>
      </c>
      <c r="AG21" s="1">
        <f t="shared" si="5"/>
        <v>84</v>
      </c>
      <c r="AH21" s="1">
        <f t="shared" si="6"/>
        <v>94</v>
      </c>
      <c r="AI21" t="s">
        <v>8</v>
      </c>
      <c r="AJ21" t="s">
        <v>17</v>
      </c>
      <c r="AK21" t="s">
        <v>18</v>
      </c>
      <c r="AL21" t="s">
        <v>19</v>
      </c>
      <c r="AM21" t="s">
        <v>101</v>
      </c>
      <c r="AN21" t="s">
        <v>112</v>
      </c>
      <c r="AO21" t="s">
        <v>74</v>
      </c>
    </row>
    <row r="22" spans="1:41" x14ac:dyDescent="0.25">
      <c r="A22">
        <v>21</v>
      </c>
      <c r="B22" t="s">
        <v>26</v>
      </c>
      <c r="C22">
        <v>14641</v>
      </c>
      <c r="D22" t="s">
        <v>49</v>
      </c>
      <c r="E22" t="s">
        <v>28</v>
      </c>
      <c r="F22">
        <v>16</v>
      </c>
      <c r="G22">
        <v>20</v>
      </c>
      <c r="H22">
        <v>35.5</v>
      </c>
      <c r="I22">
        <v>17.5</v>
      </c>
      <c r="J22">
        <v>24.5</v>
      </c>
      <c r="K22" t="s">
        <v>71</v>
      </c>
      <c r="L22">
        <v>21.5</v>
      </c>
      <c r="M22">
        <v>27.5</v>
      </c>
      <c r="N22">
        <v>35</v>
      </c>
      <c r="O22">
        <v>19</v>
      </c>
      <c r="P22">
        <v>24</v>
      </c>
      <c r="Q22" t="s">
        <v>8</v>
      </c>
      <c r="R22" s="2">
        <v>48.5</v>
      </c>
      <c r="S22" s="2">
        <v>45.5</v>
      </c>
      <c r="T22" s="2">
        <v>56.5</v>
      </c>
      <c r="U22" s="2">
        <v>31</v>
      </c>
      <c r="V22" s="2">
        <v>51.5</v>
      </c>
      <c r="W22" t="s">
        <v>9</v>
      </c>
      <c r="X22">
        <f t="shared" si="0"/>
        <v>9.5</v>
      </c>
      <c r="Y22">
        <v>22</v>
      </c>
      <c r="Z22">
        <v>18</v>
      </c>
      <c r="AA22">
        <v>24</v>
      </c>
      <c r="AB22">
        <v>19</v>
      </c>
      <c r="AC22" s="1" t="s">
        <v>146</v>
      </c>
      <c r="AD22" s="1">
        <f t="shared" si="2"/>
        <v>58</v>
      </c>
      <c r="AE22" s="1">
        <f t="shared" si="3"/>
        <v>68</v>
      </c>
      <c r="AF22" s="1">
        <f t="shared" si="4"/>
        <v>75</v>
      </c>
      <c r="AG22" s="1">
        <f t="shared" si="5"/>
        <v>55</v>
      </c>
      <c r="AH22" s="1">
        <f t="shared" si="6"/>
        <v>71</v>
      </c>
      <c r="AI22" t="s">
        <v>8</v>
      </c>
      <c r="AJ22" t="s">
        <v>17</v>
      </c>
      <c r="AK22" t="s">
        <v>18</v>
      </c>
      <c r="AL22" t="s">
        <v>19</v>
      </c>
      <c r="AM22" t="s">
        <v>91</v>
      </c>
      <c r="AN22" t="s">
        <v>113</v>
      </c>
      <c r="AO22" t="s">
        <v>114</v>
      </c>
    </row>
    <row r="23" spans="1:41" x14ac:dyDescent="0.25">
      <c r="A23">
        <v>22</v>
      </c>
      <c r="B23" t="s">
        <v>26</v>
      </c>
      <c r="C23">
        <v>14601</v>
      </c>
      <c r="D23" t="s">
        <v>50</v>
      </c>
      <c r="E23" t="s">
        <v>28</v>
      </c>
      <c r="F23">
        <v>30</v>
      </c>
      <c r="G23">
        <v>19</v>
      </c>
      <c r="H23">
        <v>37</v>
      </c>
      <c r="I23">
        <v>14.5</v>
      </c>
      <c r="J23">
        <v>28</v>
      </c>
      <c r="K23" t="s">
        <v>71</v>
      </c>
      <c r="L23">
        <v>20</v>
      </c>
      <c r="M23">
        <v>21</v>
      </c>
      <c r="N23">
        <v>33.5</v>
      </c>
      <c r="O23">
        <v>16</v>
      </c>
      <c r="P23">
        <v>20.5</v>
      </c>
      <c r="Q23" t="s">
        <v>8</v>
      </c>
      <c r="R23" s="2">
        <v>52</v>
      </c>
      <c r="S23" s="2">
        <v>43</v>
      </c>
      <c r="T23" s="2">
        <v>71</v>
      </c>
      <c r="U23" s="2">
        <v>35</v>
      </c>
      <c r="V23" s="2">
        <v>50</v>
      </c>
      <c r="W23" t="s">
        <v>9</v>
      </c>
      <c r="X23">
        <f t="shared" si="0"/>
        <v>12.5</v>
      </c>
      <c r="Y23">
        <v>27</v>
      </c>
      <c r="Z23">
        <v>20</v>
      </c>
      <c r="AA23">
        <v>23</v>
      </c>
      <c r="AB23">
        <v>25</v>
      </c>
      <c r="AC23" s="1" t="s">
        <v>146</v>
      </c>
      <c r="AD23" s="1">
        <f t="shared" si="2"/>
        <v>65</v>
      </c>
      <c r="AE23" s="1">
        <f t="shared" si="3"/>
        <v>70</v>
      </c>
      <c r="AF23" s="1">
        <f t="shared" si="4"/>
        <v>91</v>
      </c>
      <c r="AG23" s="1">
        <f t="shared" si="5"/>
        <v>58</v>
      </c>
      <c r="AH23" s="1">
        <f t="shared" si="6"/>
        <v>75</v>
      </c>
      <c r="AI23" t="s">
        <v>8</v>
      </c>
      <c r="AJ23" t="s">
        <v>17</v>
      </c>
      <c r="AK23" t="s">
        <v>18</v>
      </c>
      <c r="AL23" t="s">
        <v>19</v>
      </c>
      <c r="AM23" t="s">
        <v>78</v>
      </c>
      <c r="AN23" t="s">
        <v>115</v>
      </c>
      <c r="AO23" t="s">
        <v>116</v>
      </c>
    </row>
    <row r="24" spans="1:41" x14ac:dyDescent="0.25">
      <c r="A24">
        <v>23</v>
      </c>
      <c r="B24" t="s">
        <v>26</v>
      </c>
      <c r="C24">
        <v>15731</v>
      </c>
      <c r="D24" t="s">
        <v>51</v>
      </c>
      <c r="E24" t="s">
        <v>28</v>
      </c>
      <c r="F24">
        <v>29</v>
      </c>
      <c r="G24">
        <v>16.5</v>
      </c>
      <c r="H24">
        <v>33.5</v>
      </c>
      <c r="I24">
        <v>21</v>
      </c>
      <c r="J24" t="s">
        <v>6</v>
      </c>
      <c r="K24" t="s">
        <v>71</v>
      </c>
      <c r="L24">
        <v>24.5</v>
      </c>
      <c r="M24">
        <v>20.5</v>
      </c>
      <c r="N24">
        <v>31.5</v>
      </c>
      <c r="O24">
        <v>20</v>
      </c>
      <c r="P24">
        <v>8</v>
      </c>
      <c r="Q24" t="s">
        <v>8</v>
      </c>
      <c r="R24" s="2">
        <v>46.5</v>
      </c>
      <c r="S24" s="2">
        <v>47</v>
      </c>
      <c r="T24" s="2">
        <v>62</v>
      </c>
      <c r="U24" s="2">
        <v>37</v>
      </c>
      <c r="V24" s="2">
        <v>35</v>
      </c>
      <c r="W24" t="s">
        <v>9</v>
      </c>
      <c r="X24">
        <f t="shared" si="0"/>
        <v>13.5</v>
      </c>
      <c r="Y24">
        <v>25.5</v>
      </c>
      <c r="Z24">
        <v>17</v>
      </c>
      <c r="AA24">
        <v>25</v>
      </c>
      <c r="AB24">
        <v>12</v>
      </c>
      <c r="AC24" s="1" t="s">
        <v>146</v>
      </c>
      <c r="AD24" s="1">
        <f t="shared" si="2"/>
        <v>60</v>
      </c>
      <c r="AE24" s="1">
        <f t="shared" si="3"/>
        <v>73</v>
      </c>
      <c r="AF24" s="1">
        <f t="shared" si="4"/>
        <v>79</v>
      </c>
      <c r="AG24" s="1">
        <f t="shared" si="5"/>
        <v>62</v>
      </c>
      <c r="AH24" s="1">
        <f t="shared" si="6"/>
        <v>47</v>
      </c>
      <c r="AI24" t="s">
        <v>8</v>
      </c>
      <c r="AJ24" t="s">
        <v>17</v>
      </c>
      <c r="AK24" t="s">
        <v>18</v>
      </c>
      <c r="AL24" t="s">
        <v>19</v>
      </c>
      <c r="AM24" t="s">
        <v>78</v>
      </c>
      <c r="AN24" t="s">
        <v>117</v>
      </c>
      <c r="AO24" t="s">
        <v>74</v>
      </c>
    </row>
    <row r="25" spans="1:41" x14ac:dyDescent="0.25">
      <c r="A25">
        <v>24</v>
      </c>
      <c r="B25" t="s">
        <v>26</v>
      </c>
      <c r="C25">
        <v>18696</v>
      </c>
      <c r="D25" t="s">
        <v>52</v>
      </c>
      <c r="E25" t="s">
        <v>28</v>
      </c>
      <c r="F25">
        <v>29</v>
      </c>
      <c r="G25">
        <v>21.5</v>
      </c>
      <c r="H25">
        <v>30.5</v>
      </c>
      <c r="I25">
        <v>18</v>
      </c>
      <c r="J25">
        <v>21.5</v>
      </c>
      <c r="K25" t="s">
        <v>71</v>
      </c>
      <c r="L25">
        <v>25.5</v>
      </c>
      <c r="M25">
        <v>25</v>
      </c>
      <c r="N25">
        <v>31</v>
      </c>
      <c r="O25">
        <v>18</v>
      </c>
      <c r="P25">
        <v>12</v>
      </c>
      <c r="Q25" t="s">
        <v>8</v>
      </c>
      <c r="R25" s="2">
        <v>65.5</v>
      </c>
      <c r="S25" s="2">
        <v>45.5</v>
      </c>
      <c r="T25" s="2">
        <v>51</v>
      </c>
      <c r="U25" s="2">
        <v>36</v>
      </c>
      <c r="V25" s="2">
        <v>47.5</v>
      </c>
      <c r="W25" t="s">
        <v>9</v>
      </c>
      <c r="X25">
        <f t="shared" si="0"/>
        <v>14</v>
      </c>
      <c r="Y25">
        <v>22</v>
      </c>
      <c r="Z25">
        <v>19</v>
      </c>
      <c r="AA25">
        <v>24</v>
      </c>
      <c r="AB25">
        <v>25</v>
      </c>
      <c r="AC25" s="1" t="s">
        <v>146</v>
      </c>
      <c r="AD25" s="1">
        <f t="shared" si="2"/>
        <v>80</v>
      </c>
      <c r="AE25" s="1">
        <f t="shared" si="3"/>
        <v>68</v>
      </c>
      <c r="AF25" s="1">
        <f t="shared" si="4"/>
        <v>70</v>
      </c>
      <c r="AG25" s="1">
        <f t="shared" si="5"/>
        <v>60</v>
      </c>
      <c r="AH25" s="1">
        <f t="shared" si="6"/>
        <v>73</v>
      </c>
      <c r="AI25" t="s">
        <v>8</v>
      </c>
      <c r="AJ25" t="s">
        <v>17</v>
      </c>
      <c r="AK25" t="s">
        <v>18</v>
      </c>
      <c r="AL25" t="s">
        <v>19</v>
      </c>
      <c r="AM25" t="s">
        <v>72</v>
      </c>
      <c r="AN25" t="s">
        <v>118</v>
      </c>
      <c r="AO25" t="s">
        <v>119</v>
      </c>
    </row>
    <row r="26" spans="1:41" x14ac:dyDescent="0.25">
      <c r="A26">
        <v>25</v>
      </c>
      <c r="B26" t="s">
        <v>26</v>
      </c>
      <c r="C26">
        <v>16315</v>
      </c>
      <c r="D26" t="s">
        <v>53</v>
      </c>
      <c r="E26" t="s">
        <v>28</v>
      </c>
      <c r="F26">
        <v>23</v>
      </c>
      <c r="G26">
        <v>20.5</v>
      </c>
      <c r="H26">
        <v>32.5</v>
      </c>
      <c r="I26">
        <v>19</v>
      </c>
      <c r="J26">
        <v>14</v>
      </c>
      <c r="K26" t="s">
        <v>71</v>
      </c>
      <c r="L26">
        <v>14.5</v>
      </c>
      <c r="M26">
        <v>21</v>
      </c>
      <c r="N26" t="s">
        <v>6</v>
      </c>
      <c r="O26" t="s">
        <v>6</v>
      </c>
      <c r="P26">
        <v>14</v>
      </c>
      <c r="Q26" t="s">
        <v>8</v>
      </c>
      <c r="R26" s="2">
        <v>34.5</v>
      </c>
      <c r="S26" s="2">
        <v>28.5</v>
      </c>
      <c r="T26" s="2">
        <v>52</v>
      </c>
      <c r="U26" s="2">
        <v>17</v>
      </c>
      <c r="V26" s="2">
        <v>41.5</v>
      </c>
      <c r="W26" t="s">
        <v>9</v>
      </c>
      <c r="X26">
        <f>CEILING((N(F26)+N(L26))/80*20,0.5)</f>
        <v>9.5</v>
      </c>
      <c r="Y26">
        <v>27</v>
      </c>
      <c r="Z26">
        <v>18</v>
      </c>
      <c r="AA26">
        <v>25</v>
      </c>
      <c r="AB26">
        <v>22</v>
      </c>
      <c r="AC26" s="1" t="s">
        <v>146</v>
      </c>
      <c r="AD26" s="1">
        <f>ROUND(X26+N(R26),0)</f>
        <v>44</v>
      </c>
      <c r="AE26" s="1">
        <f>ROUND(Y26+N(S26),0)</f>
        <v>56</v>
      </c>
      <c r="AF26" s="1">
        <f>ROUND(Z26+N(T26),0)</f>
        <v>70</v>
      </c>
      <c r="AG26" s="1">
        <f>ROUND(AA26+N(U26),0)</f>
        <v>42</v>
      </c>
      <c r="AH26" s="1">
        <f>ROUND(AB26+N(V26),0)</f>
        <v>64</v>
      </c>
      <c r="AI26" t="s">
        <v>8</v>
      </c>
      <c r="AJ26" t="s">
        <v>17</v>
      </c>
      <c r="AK26" t="s">
        <v>18</v>
      </c>
      <c r="AL26" t="s">
        <v>19</v>
      </c>
      <c r="AM26" t="s">
        <v>120</v>
      </c>
      <c r="AN26" t="s">
        <v>79</v>
      </c>
      <c r="AO26" t="s">
        <v>74</v>
      </c>
    </row>
    <row r="27" spans="1:41" x14ac:dyDescent="0.25">
      <c r="A27">
        <v>26</v>
      </c>
      <c r="B27" t="s">
        <v>26</v>
      </c>
      <c r="C27">
        <v>14604</v>
      </c>
      <c r="D27" t="s">
        <v>54</v>
      </c>
      <c r="E27" t="s">
        <v>28</v>
      </c>
      <c r="F27">
        <v>31</v>
      </c>
      <c r="G27">
        <v>33</v>
      </c>
      <c r="H27">
        <v>34.5</v>
      </c>
      <c r="I27">
        <v>27</v>
      </c>
      <c r="J27">
        <v>30.5</v>
      </c>
      <c r="K27" t="s">
        <v>71</v>
      </c>
      <c r="L27">
        <v>39</v>
      </c>
      <c r="M27">
        <v>31.5</v>
      </c>
      <c r="N27">
        <v>36</v>
      </c>
      <c r="O27">
        <v>27.5</v>
      </c>
      <c r="P27">
        <v>31</v>
      </c>
      <c r="Q27" t="s">
        <v>8</v>
      </c>
      <c r="R27" s="2">
        <v>64</v>
      </c>
      <c r="S27" s="2">
        <v>60</v>
      </c>
      <c r="T27" s="2">
        <v>66.5</v>
      </c>
      <c r="U27" s="2">
        <v>52</v>
      </c>
      <c r="V27" s="2">
        <v>62</v>
      </c>
      <c r="W27" t="s">
        <v>9</v>
      </c>
      <c r="X27">
        <f t="shared" si="0"/>
        <v>17.5</v>
      </c>
      <c r="Y27">
        <v>30</v>
      </c>
      <c r="Z27">
        <v>18</v>
      </c>
      <c r="AA27">
        <v>28</v>
      </c>
      <c r="AB27">
        <v>29</v>
      </c>
      <c r="AC27" s="1" t="s">
        <v>146</v>
      </c>
      <c r="AD27" s="1">
        <f t="shared" si="2"/>
        <v>82</v>
      </c>
      <c r="AE27" s="1">
        <f t="shared" si="3"/>
        <v>90</v>
      </c>
      <c r="AF27" s="1">
        <f t="shared" si="4"/>
        <v>85</v>
      </c>
      <c r="AG27" s="1">
        <f t="shared" si="5"/>
        <v>80</v>
      </c>
      <c r="AH27" s="1">
        <f t="shared" si="6"/>
        <v>91</v>
      </c>
      <c r="AI27" t="s">
        <v>8</v>
      </c>
      <c r="AJ27" t="s">
        <v>17</v>
      </c>
      <c r="AK27" t="s">
        <v>18</v>
      </c>
      <c r="AL27" t="s">
        <v>19</v>
      </c>
      <c r="AM27" t="s">
        <v>121</v>
      </c>
      <c r="AN27" t="s">
        <v>79</v>
      </c>
      <c r="AO27" t="s">
        <v>122</v>
      </c>
    </row>
    <row r="28" spans="1:41" x14ac:dyDescent="0.25">
      <c r="A28">
        <v>27</v>
      </c>
      <c r="B28" t="s">
        <v>26</v>
      </c>
      <c r="C28">
        <v>18847</v>
      </c>
      <c r="D28" t="s">
        <v>55</v>
      </c>
      <c r="E28" t="s">
        <v>28</v>
      </c>
      <c r="F28">
        <v>24</v>
      </c>
      <c r="G28">
        <v>18</v>
      </c>
      <c r="H28">
        <v>29</v>
      </c>
      <c r="I28">
        <v>17.5</v>
      </c>
      <c r="J28">
        <v>16</v>
      </c>
      <c r="K28" t="s">
        <v>71</v>
      </c>
      <c r="L28">
        <v>29</v>
      </c>
      <c r="M28">
        <v>17</v>
      </c>
      <c r="N28">
        <v>23</v>
      </c>
      <c r="O28">
        <v>14</v>
      </c>
      <c r="P28">
        <v>8.5</v>
      </c>
      <c r="Q28" t="s">
        <v>8</v>
      </c>
      <c r="R28" s="2">
        <v>43</v>
      </c>
      <c r="S28" s="2">
        <v>34.5</v>
      </c>
      <c r="T28" s="2">
        <v>54</v>
      </c>
      <c r="U28" s="2">
        <v>29</v>
      </c>
      <c r="V28" s="2">
        <v>39</v>
      </c>
      <c r="W28" t="s">
        <v>9</v>
      </c>
      <c r="X28">
        <f t="shared" si="0"/>
        <v>13.5</v>
      </c>
      <c r="Y28">
        <v>28.5</v>
      </c>
      <c r="Z28">
        <v>14</v>
      </c>
      <c r="AA28">
        <v>22</v>
      </c>
      <c r="AB28">
        <v>19</v>
      </c>
      <c r="AC28" s="1" t="s">
        <v>146</v>
      </c>
      <c r="AD28" s="1">
        <f t="shared" si="2"/>
        <v>57</v>
      </c>
      <c r="AE28" s="1">
        <f t="shared" si="3"/>
        <v>63</v>
      </c>
      <c r="AF28" s="1">
        <f t="shared" si="4"/>
        <v>68</v>
      </c>
      <c r="AG28" s="1">
        <f t="shared" si="5"/>
        <v>51</v>
      </c>
      <c r="AH28" s="1">
        <f t="shared" si="6"/>
        <v>58</v>
      </c>
      <c r="AI28" t="s">
        <v>8</v>
      </c>
      <c r="AJ28" t="s">
        <v>17</v>
      </c>
      <c r="AK28" t="s">
        <v>18</v>
      </c>
      <c r="AL28" t="s">
        <v>19</v>
      </c>
      <c r="AM28" t="s">
        <v>123</v>
      </c>
      <c r="AN28" t="s">
        <v>124</v>
      </c>
      <c r="AO28" t="s">
        <v>125</v>
      </c>
    </row>
    <row r="29" spans="1:41" x14ac:dyDescent="0.25">
      <c r="A29">
        <v>28</v>
      </c>
      <c r="B29" t="s">
        <v>26</v>
      </c>
      <c r="C29">
        <v>16294</v>
      </c>
      <c r="D29" t="s">
        <v>56</v>
      </c>
      <c r="E29" t="s">
        <v>28</v>
      </c>
      <c r="F29">
        <v>33.5</v>
      </c>
      <c r="G29">
        <v>27</v>
      </c>
      <c r="H29">
        <v>34.5</v>
      </c>
      <c r="I29">
        <v>22.5</v>
      </c>
      <c r="J29">
        <v>25</v>
      </c>
      <c r="K29" t="s">
        <v>71</v>
      </c>
      <c r="L29">
        <v>31</v>
      </c>
      <c r="M29">
        <v>25.5</v>
      </c>
      <c r="N29">
        <v>32.5</v>
      </c>
      <c r="O29">
        <v>27.5</v>
      </c>
      <c r="P29">
        <v>33</v>
      </c>
      <c r="Q29" t="s">
        <v>8</v>
      </c>
      <c r="R29" s="2">
        <v>72</v>
      </c>
      <c r="S29" s="2">
        <v>64.5</v>
      </c>
      <c r="T29" s="2">
        <v>70</v>
      </c>
      <c r="U29" s="2">
        <v>56</v>
      </c>
      <c r="V29" s="2">
        <v>56.5</v>
      </c>
      <c r="W29" t="s">
        <v>9</v>
      </c>
      <c r="X29">
        <f t="shared" si="0"/>
        <v>16.5</v>
      </c>
      <c r="Y29">
        <v>29.5</v>
      </c>
      <c r="Z29">
        <v>19</v>
      </c>
      <c r="AA29">
        <v>28</v>
      </c>
      <c r="AB29">
        <v>26</v>
      </c>
      <c r="AC29" s="1" t="s">
        <v>146</v>
      </c>
      <c r="AD29" s="1">
        <f t="shared" si="2"/>
        <v>89</v>
      </c>
      <c r="AE29" s="1">
        <f t="shared" si="3"/>
        <v>94</v>
      </c>
      <c r="AF29" s="1">
        <f t="shared" si="4"/>
        <v>89</v>
      </c>
      <c r="AG29" s="1">
        <f t="shared" si="5"/>
        <v>84</v>
      </c>
      <c r="AH29" s="1">
        <f t="shared" si="6"/>
        <v>83</v>
      </c>
      <c r="AI29" t="s">
        <v>8</v>
      </c>
      <c r="AJ29" t="s">
        <v>17</v>
      </c>
      <c r="AK29" t="s">
        <v>18</v>
      </c>
      <c r="AL29" t="s">
        <v>19</v>
      </c>
      <c r="AM29" t="s">
        <v>126</v>
      </c>
      <c r="AN29" t="s">
        <v>127</v>
      </c>
      <c r="AO29" t="s">
        <v>128</v>
      </c>
    </row>
    <row r="30" spans="1:41" x14ac:dyDescent="0.25">
      <c r="A30">
        <v>29</v>
      </c>
      <c r="B30" t="s">
        <v>26</v>
      </c>
      <c r="C30">
        <v>14630</v>
      </c>
      <c r="D30" t="s">
        <v>57</v>
      </c>
      <c r="E30" t="s">
        <v>28</v>
      </c>
      <c r="F30">
        <v>28</v>
      </c>
      <c r="G30">
        <v>27</v>
      </c>
      <c r="H30">
        <v>28.5</v>
      </c>
      <c r="I30">
        <v>17.5</v>
      </c>
      <c r="J30">
        <v>20.5</v>
      </c>
      <c r="K30" t="s">
        <v>71</v>
      </c>
      <c r="L30">
        <v>27</v>
      </c>
      <c r="M30">
        <v>27</v>
      </c>
      <c r="N30">
        <v>33.5</v>
      </c>
      <c r="O30">
        <v>13</v>
      </c>
      <c r="P30">
        <v>15.5</v>
      </c>
      <c r="Q30" t="s">
        <v>8</v>
      </c>
      <c r="R30" s="2">
        <v>51.5</v>
      </c>
      <c r="S30" s="2">
        <v>43.5</v>
      </c>
      <c r="T30" s="2">
        <v>55</v>
      </c>
      <c r="U30" s="2">
        <v>35</v>
      </c>
      <c r="V30" s="2">
        <v>50</v>
      </c>
      <c r="W30" t="s">
        <v>9</v>
      </c>
      <c r="X30">
        <f t="shared" si="0"/>
        <v>14</v>
      </c>
      <c r="Y30">
        <v>20</v>
      </c>
      <c r="Z30">
        <v>17</v>
      </c>
      <c r="AA30">
        <v>23</v>
      </c>
      <c r="AB30">
        <v>17</v>
      </c>
      <c r="AC30" s="1" t="s">
        <v>146</v>
      </c>
      <c r="AD30" s="1">
        <f t="shared" si="2"/>
        <v>66</v>
      </c>
      <c r="AE30" s="1">
        <f t="shared" si="3"/>
        <v>64</v>
      </c>
      <c r="AF30" s="1">
        <f t="shared" si="4"/>
        <v>72</v>
      </c>
      <c r="AG30" s="1">
        <f t="shared" si="5"/>
        <v>58</v>
      </c>
      <c r="AH30" s="1">
        <f t="shared" si="6"/>
        <v>67</v>
      </c>
      <c r="AI30" t="s">
        <v>8</v>
      </c>
      <c r="AJ30" t="s">
        <v>17</v>
      </c>
      <c r="AK30" t="s">
        <v>18</v>
      </c>
      <c r="AL30" t="s">
        <v>19</v>
      </c>
      <c r="AM30" t="s">
        <v>107</v>
      </c>
      <c r="AN30" t="s">
        <v>79</v>
      </c>
      <c r="AO30" t="s">
        <v>74</v>
      </c>
    </row>
    <row r="31" spans="1:41" x14ac:dyDescent="0.25">
      <c r="A31">
        <v>30</v>
      </c>
      <c r="B31" t="s">
        <v>26</v>
      </c>
      <c r="C31">
        <v>14922</v>
      </c>
      <c r="D31" t="s">
        <v>58</v>
      </c>
      <c r="E31" t="s">
        <v>28</v>
      </c>
      <c r="F31">
        <v>34</v>
      </c>
      <c r="G31">
        <v>24.5</v>
      </c>
      <c r="H31">
        <v>32</v>
      </c>
      <c r="I31">
        <v>22.5</v>
      </c>
      <c r="J31" t="s">
        <v>6</v>
      </c>
      <c r="K31" t="s">
        <v>71</v>
      </c>
      <c r="L31">
        <v>30</v>
      </c>
      <c r="M31">
        <v>28.5</v>
      </c>
      <c r="N31">
        <v>31.5</v>
      </c>
      <c r="O31">
        <v>27</v>
      </c>
      <c r="P31">
        <v>28.5</v>
      </c>
      <c r="Q31" t="s">
        <v>8</v>
      </c>
      <c r="R31" s="2">
        <v>59.5</v>
      </c>
      <c r="S31" s="2">
        <v>56</v>
      </c>
      <c r="T31" s="2">
        <v>57</v>
      </c>
      <c r="U31" s="2">
        <v>51</v>
      </c>
      <c r="V31" s="2">
        <v>50.5</v>
      </c>
      <c r="W31" t="s">
        <v>9</v>
      </c>
      <c r="X31">
        <f t="shared" si="0"/>
        <v>16</v>
      </c>
      <c r="Y31">
        <v>24</v>
      </c>
      <c r="Z31">
        <v>20</v>
      </c>
      <c r="AA31">
        <v>22</v>
      </c>
      <c r="AB31">
        <v>30</v>
      </c>
      <c r="AC31" s="1" t="s">
        <v>146</v>
      </c>
      <c r="AD31" s="1">
        <f t="shared" si="2"/>
        <v>76</v>
      </c>
      <c r="AE31" s="1">
        <f t="shared" si="3"/>
        <v>80</v>
      </c>
      <c r="AF31" s="1">
        <f t="shared" si="4"/>
        <v>77</v>
      </c>
      <c r="AG31" s="1">
        <f t="shared" si="5"/>
        <v>73</v>
      </c>
      <c r="AH31" s="1">
        <f t="shared" si="6"/>
        <v>81</v>
      </c>
      <c r="AI31" t="s">
        <v>8</v>
      </c>
      <c r="AJ31" t="s">
        <v>17</v>
      </c>
      <c r="AK31" t="s">
        <v>18</v>
      </c>
      <c r="AL31" t="s">
        <v>19</v>
      </c>
      <c r="AM31" t="s">
        <v>126</v>
      </c>
      <c r="AN31" t="s">
        <v>129</v>
      </c>
      <c r="AO31" t="s">
        <v>130</v>
      </c>
    </row>
    <row r="32" spans="1:41" x14ac:dyDescent="0.25">
      <c r="A32">
        <v>31</v>
      </c>
      <c r="B32" t="s">
        <v>26</v>
      </c>
      <c r="C32">
        <v>17989</v>
      </c>
      <c r="D32" t="s">
        <v>59</v>
      </c>
      <c r="E32" t="s">
        <v>28</v>
      </c>
      <c r="F32">
        <v>31</v>
      </c>
      <c r="G32">
        <v>20</v>
      </c>
      <c r="H32">
        <v>35</v>
      </c>
      <c r="I32">
        <v>19.5</v>
      </c>
      <c r="J32">
        <v>27</v>
      </c>
      <c r="K32" t="s">
        <v>71</v>
      </c>
      <c r="L32">
        <v>32</v>
      </c>
      <c r="M32">
        <v>26</v>
      </c>
      <c r="N32">
        <v>37.5</v>
      </c>
      <c r="O32">
        <v>19.5</v>
      </c>
      <c r="P32">
        <v>18.5</v>
      </c>
      <c r="Q32" t="s">
        <v>8</v>
      </c>
      <c r="R32" s="2">
        <v>56.5</v>
      </c>
      <c r="S32" s="2">
        <v>41.5</v>
      </c>
      <c r="T32" s="2">
        <v>67.5</v>
      </c>
      <c r="U32" s="2">
        <v>28</v>
      </c>
      <c r="V32" s="2">
        <v>42</v>
      </c>
      <c r="W32" t="s">
        <v>9</v>
      </c>
      <c r="X32">
        <f t="shared" si="0"/>
        <v>16</v>
      </c>
      <c r="Y32">
        <v>25.5</v>
      </c>
      <c r="Z32">
        <v>17</v>
      </c>
      <c r="AA32">
        <v>25</v>
      </c>
      <c r="AB32">
        <v>16</v>
      </c>
      <c r="AC32" s="1" t="s">
        <v>146</v>
      </c>
      <c r="AD32" s="1">
        <f t="shared" si="2"/>
        <v>73</v>
      </c>
      <c r="AE32" s="1">
        <f t="shared" si="3"/>
        <v>67</v>
      </c>
      <c r="AF32" s="1">
        <f t="shared" si="4"/>
        <v>85</v>
      </c>
      <c r="AG32" s="1">
        <f t="shared" si="5"/>
        <v>53</v>
      </c>
      <c r="AH32" s="1">
        <f t="shared" si="6"/>
        <v>58</v>
      </c>
      <c r="AI32" t="s">
        <v>8</v>
      </c>
      <c r="AJ32" t="s">
        <v>17</v>
      </c>
      <c r="AK32" t="s">
        <v>18</v>
      </c>
      <c r="AL32" t="s">
        <v>19</v>
      </c>
      <c r="AM32" t="s">
        <v>91</v>
      </c>
      <c r="AN32" t="s">
        <v>131</v>
      </c>
      <c r="AO32" t="s">
        <v>132</v>
      </c>
    </row>
    <row r="33" spans="1:41" x14ac:dyDescent="0.25">
      <c r="A33">
        <v>32</v>
      </c>
      <c r="B33" t="s">
        <v>26</v>
      </c>
      <c r="C33">
        <v>17066</v>
      </c>
      <c r="D33" t="s">
        <v>60</v>
      </c>
      <c r="E33" t="s">
        <v>28</v>
      </c>
      <c r="F33">
        <v>30</v>
      </c>
      <c r="G33">
        <v>19</v>
      </c>
      <c r="H33">
        <v>33.5</v>
      </c>
      <c r="I33">
        <v>23.5</v>
      </c>
      <c r="J33">
        <v>28</v>
      </c>
      <c r="K33" t="s">
        <v>71</v>
      </c>
      <c r="L33">
        <v>20.5</v>
      </c>
      <c r="M33">
        <v>27.5</v>
      </c>
      <c r="N33">
        <v>37</v>
      </c>
      <c r="O33">
        <v>17</v>
      </c>
      <c r="P33">
        <v>24.5</v>
      </c>
      <c r="Q33" t="s">
        <v>8</v>
      </c>
      <c r="R33" s="2">
        <v>55.5</v>
      </c>
      <c r="S33" s="2">
        <v>52.5</v>
      </c>
      <c r="T33" s="2">
        <v>70.5</v>
      </c>
      <c r="U33" s="2">
        <v>49</v>
      </c>
      <c r="V33" s="2">
        <v>58</v>
      </c>
      <c r="W33" t="s">
        <v>9</v>
      </c>
      <c r="X33">
        <f t="shared" si="0"/>
        <v>13</v>
      </c>
      <c r="Y33">
        <v>30</v>
      </c>
      <c r="Z33">
        <v>17</v>
      </c>
      <c r="AA33">
        <v>26</v>
      </c>
      <c r="AB33">
        <v>27</v>
      </c>
      <c r="AC33" s="1" t="s">
        <v>146</v>
      </c>
      <c r="AD33" s="1">
        <f t="shared" si="2"/>
        <v>69</v>
      </c>
      <c r="AE33" s="1">
        <f t="shared" si="3"/>
        <v>83</v>
      </c>
      <c r="AF33" s="1">
        <f t="shared" si="4"/>
        <v>88</v>
      </c>
      <c r="AG33" s="1">
        <f t="shared" si="5"/>
        <v>75</v>
      </c>
      <c r="AH33" s="1">
        <f t="shared" si="6"/>
        <v>85</v>
      </c>
      <c r="AI33" t="s">
        <v>8</v>
      </c>
      <c r="AJ33" t="s">
        <v>17</v>
      </c>
      <c r="AK33" t="s">
        <v>18</v>
      </c>
      <c r="AL33" t="s">
        <v>19</v>
      </c>
      <c r="AM33" t="s">
        <v>83</v>
      </c>
      <c r="AN33" t="s">
        <v>133</v>
      </c>
      <c r="AO33" t="s">
        <v>134</v>
      </c>
    </row>
    <row r="34" spans="1:41" x14ac:dyDescent="0.25">
      <c r="A34">
        <v>33</v>
      </c>
      <c r="B34" t="s">
        <v>26</v>
      </c>
      <c r="C34">
        <v>17633</v>
      </c>
      <c r="D34" t="s">
        <v>61</v>
      </c>
      <c r="E34" t="s">
        <v>28</v>
      </c>
      <c r="F34">
        <v>26</v>
      </c>
      <c r="G34">
        <v>22.5</v>
      </c>
      <c r="H34">
        <v>32</v>
      </c>
      <c r="I34">
        <v>20</v>
      </c>
      <c r="J34">
        <v>26.5</v>
      </c>
      <c r="K34" t="s">
        <v>71</v>
      </c>
      <c r="L34">
        <v>24.5</v>
      </c>
      <c r="M34">
        <v>24</v>
      </c>
      <c r="N34">
        <v>34</v>
      </c>
      <c r="O34">
        <v>18</v>
      </c>
      <c r="P34">
        <v>25</v>
      </c>
      <c r="Q34" t="s">
        <v>8</v>
      </c>
      <c r="R34" s="2">
        <v>46</v>
      </c>
      <c r="S34" s="2">
        <v>46</v>
      </c>
      <c r="T34" s="2">
        <v>63.5</v>
      </c>
      <c r="U34" s="2">
        <v>37</v>
      </c>
      <c r="V34" s="2">
        <v>40</v>
      </c>
      <c r="W34" t="s">
        <v>9</v>
      </c>
      <c r="X34">
        <f t="shared" si="0"/>
        <v>13</v>
      </c>
      <c r="Y34">
        <v>17</v>
      </c>
      <c r="Z34">
        <v>18</v>
      </c>
      <c r="AA34">
        <v>26</v>
      </c>
      <c r="AB34">
        <v>21</v>
      </c>
      <c r="AC34" s="1" t="s">
        <v>146</v>
      </c>
      <c r="AD34" s="1">
        <f t="shared" si="2"/>
        <v>59</v>
      </c>
      <c r="AE34" s="1">
        <f t="shared" si="3"/>
        <v>63</v>
      </c>
      <c r="AF34" s="1">
        <f t="shared" si="4"/>
        <v>82</v>
      </c>
      <c r="AG34" s="1">
        <f t="shared" si="5"/>
        <v>63</v>
      </c>
      <c r="AH34" s="1">
        <f t="shared" si="6"/>
        <v>61</v>
      </c>
      <c r="AI34" t="s">
        <v>8</v>
      </c>
      <c r="AJ34" t="s">
        <v>17</v>
      </c>
      <c r="AK34" t="s">
        <v>18</v>
      </c>
      <c r="AL34" t="s">
        <v>19</v>
      </c>
      <c r="AM34" t="s">
        <v>91</v>
      </c>
      <c r="AN34" t="s">
        <v>135</v>
      </c>
      <c r="AO34" t="s">
        <v>136</v>
      </c>
    </row>
    <row r="35" spans="1:41" x14ac:dyDescent="0.25">
      <c r="A35">
        <v>34</v>
      </c>
      <c r="B35" t="s">
        <v>26</v>
      </c>
      <c r="C35">
        <v>15424</v>
      </c>
      <c r="D35" t="s">
        <v>62</v>
      </c>
      <c r="E35" t="s">
        <v>28</v>
      </c>
      <c r="F35">
        <v>28</v>
      </c>
      <c r="G35">
        <v>19.5</v>
      </c>
      <c r="H35">
        <v>35</v>
      </c>
      <c r="I35">
        <v>11.5</v>
      </c>
      <c r="J35">
        <v>25</v>
      </c>
      <c r="K35" t="s">
        <v>71</v>
      </c>
      <c r="L35">
        <v>18</v>
      </c>
      <c r="M35">
        <v>23.5</v>
      </c>
      <c r="N35">
        <v>31.5</v>
      </c>
      <c r="O35">
        <v>16.5</v>
      </c>
      <c r="P35">
        <v>20.5</v>
      </c>
      <c r="Q35" t="s">
        <v>8</v>
      </c>
      <c r="R35" s="2">
        <v>46.5</v>
      </c>
      <c r="S35" s="2">
        <v>45</v>
      </c>
      <c r="T35" s="2">
        <v>68.5</v>
      </c>
      <c r="U35" s="2">
        <v>41</v>
      </c>
      <c r="V35" s="2">
        <v>51.5</v>
      </c>
      <c r="W35" t="s">
        <v>9</v>
      </c>
      <c r="X35">
        <f t="shared" si="0"/>
        <v>11.5</v>
      </c>
      <c r="Y35">
        <v>23.5</v>
      </c>
      <c r="Z35">
        <v>20</v>
      </c>
      <c r="AA35">
        <v>27</v>
      </c>
      <c r="AB35">
        <v>22</v>
      </c>
      <c r="AC35" s="1" t="s">
        <v>146</v>
      </c>
      <c r="AD35" s="1">
        <f t="shared" si="2"/>
        <v>58</v>
      </c>
      <c r="AE35" s="1">
        <f t="shared" si="3"/>
        <v>69</v>
      </c>
      <c r="AF35" s="1">
        <f t="shared" si="4"/>
        <v>89</v>
      </c>
      <c r="AG35" s="1">
        <f t="shared" si="5"/>
        <v>68</v>
      </c>
      <c r="AH35" s="1">
        <f t="shared" si="6"/>
        <v>74</v>
      </c>
      <c r="AI35" t="s">
        <v>8</v>
      </c>
      <c r="AJ35" t="s">
        <v>17</v>
      </c>
      <c r="AK35" t="s">
        <v>18</v>
      </c>
      <c r="AL35" t="s">
        <v>19</v>
      </c>
      <c r="AM35" t="s">
        <v>103</v>
      </c>
      <c r="AN35" t="s">
        <v>137</v>
      </c>
      <c r="AO35" t="s">
        <v>74</v>
      </c>
    </row>
    <row r="36" spans="1:41" x14ac:dyDescent="0.25">
      <c r="A36">
        <v>35</v>
      </c>
      <c r="B36" t="s">
        <v>26</v>
      </c>
      <c r="C36">
        <v>15416</v>
      </c>
      <c r="D36" t="s">
        <v>63</v>
      </c>
      <c r="E36" t="s">
        <v>28</v>
      </c>
      <c r="F36">
        <v>39</v>
      </c>
      <c r="G36">
        <v>33</v>
      </c>
      <c r="H36">
        <v>37.5</v>
      </c>
      <c r="I36">
        <v>27</v>
      </c>
      <c r="J36">
        <v>26.5</v>
      </c>
      <c r="K36" t="s">
        <v>71</v>
      </c>
      <c r="L36">
        <v>39</v>
      </c>
      <c r="M36">
        <v>34</v>
      </c>
      <c r="N36">
        <v>35</v>
      </c>
      <c r="O36">
        <v>25.5</v>
      </c>
      <c r="P36">
        <v>28</v>
      </c>
      <c r="Q36" t="s">
        <v>8</v>
      </c>
      <c r="R36" s="2">
        <v>78</v>
      </c>
      <c r="S36" s="2">
        <v>64.5</v>
      </c>
      <c r="T36" s="2">
        <v>71.5</v>
      </c>
      <c r="U36" s="2">
        <v>60</v>
      </c>
      <c r="V36" s="2">
        <v>58.5</v>
      </c>
      <c r="W36" t="s">
        <v>9</v>
      </c>
      <c r="X36">
        <f t="shared" si="0"/>
        <v>19.5</v>
      </c>
      <c r="Y36">
        <v>28</v>
      </c>
      <c r="Z36">
        <v>19</v>
      </c>
      <c r="AA36">
        <v>26</v>
      </c>
      <c r="AB36">
        <v>25</v>
      </c>
      <c r="AC36" s="1" t="s">
        <v>146</v>
      </c>
      <c r="AD36" s="1">
        <f t="shared" si="2"/>
        <v>98</v>
      </c>
      <c r="AE36" s="1">
        <f t="shared" si="3"/>
        <v>93</v>
      </c>
      <c r="AF36" s="1">
        <f t="shared" si="4"/>
        <v>91</v>
      </c>
      <c r="AG36" s="1">
        <f t="shared" si="5"/>
        <v>86</v>
      </c>
      <c r="AH36" s="1">
        <f t="shared" si="6"/>
        <v>84</v>
      </c>
      <c r="AI36" t="s">
        <v>8</v>
      </c>
      <c r="AJ36" t="s">
        <v>17</v>
      </c>
      <c r="AK36" t="s">
        <v>18</v>
      </c>
      <c r="AL36" t="s">
        <v>19</v>
      </c>
      <c r="AM36" t="s">
        <v>138</v>
      </c>
      <c r="AN36" t="s">
        <v>79</v>
      </c>
      <c r="AO36" t="s">
        <v>74</v>
      </c>
    </row>
    <row r="37" spans="1:41" x14ac:dyDescent="0.25">
      <c r="A37">
        <v>36</v>
      </c>
      <c r="B37" t="s">
        <v>26</v>
      </c>
      <c r="C37">
        <v>14619</v>
      </c>
      <c r="D37" t="s">
        <v>64</v>
      </c>
      <c r="E37" t="s">
        <v>28</v>
      </c>
      <c r="F37">
        <v>32</v>
      </c>
      <c r="G37" t="s">
        <v>23</v>
      </c>
      <c r="H37">
        <v>28</v>
      </c>
      <c r="I37">
        <v>20.5</v>
      </c>
      <c r="J37">
        <v>20.5</v>
      </c>
      <c r="K37" t="s">
        <v>71</v>
      </c>
      <c r="L37" t="s">
        <v>6</v>
      </c>
      <c r="M37">
        <v>24.5</v>
      </c>
      <c r="N37">
        <v>32.5</v>
      </c>
      <c r="O37">
        <v>28</v>
      </c>
      <c r="P37">
        <v>25.5</v>
      </c>
      <c r="Q37" t="s">
        <v>8</v>
      </c>
      <c r="R37" s="2">
        <v>57.5</v>
      </c>
      <c r="S37" s="2">
        <v>49.5</v>
      </c>
      <c r="T37" s="2">
        <v>54</v>
      </c>
      <c r="U37" s="2">
        <v>46</v>
      </c>
      <c r="V37" s="2">
        <v>43.5</v>
      </c>
      <c r="W37" t="s">
        <v>9</v>
      </c>
      <c r="X37">
        <f t="shared" si="0"/>
        <v>8</v>
      </c>
      <c r="Y37">
        <v>21</v>
      </c>
      <c r="Z37">
        <v>17</v>
      </c>
      <c r="AA37">
        <v>25</v>
      </c>
      <c r="AB37">
        <v>26</v>
      </c>
      <c r="AC37" s="1" t="s">
        <v>146</v>
      </c>
      <c r="AD37" s="1">
        <f t="shared" si="2"/>
        <v>66</v>
      </c>
      <c r="AE37" s="1">
        <f t="shared" si="3"/>
        <v>71</v>
      </c>
      <c r="AF37" s="1">
        <f t="shared" si="4"/>
        <v>71</v>
      </c>
      <c r="AG37" s="1">
        <f t="shared" si="5"/>
        <v>71</v>
      </c>
      <c r="AH37" s="1">
        <f t="shared" si="6"/>
        <v>70</v>
      </c>
      <c r="AI37" t="s">
        <v>8</v>
      </c>
      <c r="AJ37" t="s">
        <v>17</v>
      </c>
      <c r="AK37" t="s">
        <v>18</v>
      </c>
      <c r="AL37" t="s">
        <v>19</v>
      </c>
      <c r="AM37" t="s">
        <v>139</v>
      </c>
      <c r="AN37" t="s">
        <v>79</v>
      </c>
      <c r="AO37" t="s">
        <v>74</v>
      </c>
    </row>
    <row r="38" spans="1:41" x14ac:dyDescent="0.25">
      <c r="A38">
        <v>37</v>
      </c>
      <c r="B38" t="s">
        <v>26</v>
      </c>
      <c r="C38">
        <v>16827</v>
      </c>
      <c r="D38" t="s">
        <v>65</v>
      </c>
      <c r="E38" t="s">
        <v>28</v>
      </c>
      <c r="F38">
        <v>30</v>
      </c>
      <c r="G38">
        <v>23.5</v>
      </c>
      <c r="H38">
        <v>26</v>
      </c>
      <c r="I38">
        <v>23</v>
      </c>
      <c r="J38" t="s">
        <v>6</v>
      </c>
      <c r="K38" t="s">
        <v>71</v>
      </c>
      <c r="L38">
        <v>28</v>
      </c>
      <c r="M38">
        <v>23.5</v>
      </c>
      <c r="N38">
        <v>22.5</v>
      </c>
      <c r="O38">
        <v>21</v>
      </c>
      <c r="P38">
        <v>22</v>
      </c>
      <c r="Q38" t="s">
        <v>8</v>
      </c>
      <c r="R38" s="2">
        <v>51.5</v>
      </c>
      <c r="S38" s="2">
        <v>44</v>
      </c>
      <c r="T38" s="2">
        <v>51</v>
      </c>
      <c r="U38" s="2">
        <v>57</v>
      </c>
      <c r="V38" s="2">
        <v>50.5</v>
      </c>
      <c r="W38" t="s">
        <v>9</v>
      </c>
      <c r="X38">
        <f t="shared" si="0"/>
        <v>14.5</v>
      </c>
      <c r="Y38">
        <v>28</v>
      </c>
      <c r="Z38">
        <v>17</v>
      </c>
      <c r="AA38">
        <v>27</v>
      </c>
      <c r="AB38">
        <v>18</v>
      </c>
      <c r="AC38" s="1" t="s">
        <v>146</v>
      </c>
      <c r="AD38" s="1">
        <f t="shared" si="2"/>
        <v>66</v>
      </c>
      <c r="AE38" s="1">
        <f t="shared" si="3"/>
        <v>72</v>
      </c>
      <c r="AF38" s="1">
        <f t="shared" si="4"/>
        <v>68</v>
      </c>
      <c r="AG38" s="1">
        <f t="shared" si="5"/>
        <v>84</v>
      </c>
      <c r="AH38" s="1">
        <f t="shared" si="6"/>
        <v>69</v>
      </c>
      <c r="AI38" t="s">
        <v>8</v>
      </c>
      <c r="AJ38" t="s">
        <v>17</v>
      </c>
      <c r="AK38" t="s">
        <v>18</v>
      </c>
      <c r="AL38" t="s">
        <v>19</v>
      </c>
      <c r="AM38" t="s">
        <v>75</v>
      </c>
      <c r="AN38" t="s">
        <v>79</v>
      </c>
      <c r="AO38" t="s">
        <v>74</v>
      </c>
    </row>
    <row r="39" spans="1:41" x14ac:dyDescent="0.25">
      <c r="A39">
        <v>38</v>
      </c>
      <c r="B39" t="s">
        <v>26</v>
      </c>
      <c r="C39">
        <v>14626</v>
      </c>
      <c r="D39" t="s">
        <v>66</v>
      </c>
      <c r="E39" t="s">
        <v>28</v>
      </c>
      <c r="F39">
        <v>22</v>
      </c>
      <c r="G39">
        <v>17.5</v>
      </c>
      <c r="H39">
        <v>37.5</v>
      </c>
      <c r="I39">
        <v>11.5</v>
      </c>
      <c r="J39">
        <v>27</v>
      </c>
      <c r="K39" t="s">
        <v>71</v>
      </c>
      <c r="L39">
        <v>20.5</v>
      </c>
      <c r="M39" t="s">
        <v>7</v>
      </c>
      <c r="N39">
        <v>33</v>
      </c>
      <c r="O39">
        <v>27.5</v>
      </c>
      <c r="P39">
        <v>26</v>
      </c>
      <c r="Q39" t="s">
        <v>8</v>
      </c>
      <c r="R39" s="2">
        <v>35</v>
      </c>
      <c r="S39" s="2">
        <v>27</v>
      </c>
      <c r="T39" s="2">
        <v>65</v>
      </c>
      <c r="U39" s="2">
        <v>32</v>
      </c>
      <c r="V39" s="2">
        <v>57.5</v>
      </c>
      <c r="W39" t="s">
        <v>9</v>
      </c>
      <c r="X39">
        <f t="shared" si="0"/>
        <v>11</v>
      </c>
      <c r="Y39">
        <v>27</v>
      </c>
      <c r="Z39">
        <v>18</v>
      </c>
      <c r="AA39">
        <v>24</v>
      </c>
      <c r="AB39">
        <v>20</v>
      </c>
      <c r="AC39" s="1" t="s">
        <v>146</v>
      </c>
      <c r="AD39" s="1">
        <f t="shared" si="2"/>
        <v>46</v>
      </c>
      <c r="AE39" s="1">
        <f t="shared" si="3"/>
        <v>54</v>
      </c>
      <c r="AF39" s="1">
        <f t="shared" si="4"/>
        <v>83</v>
      </c>
      <c r="AG39" s="1">
        <f t="shared" si="5"/>
        <v>56</v>
      </c>
      <c r="AH39" s="1">
        <f t="shared" si="6"/>
        <v>78</v>
      </c>
      <c r="AI39" t="s">
        <v>8</v>
      </c>
      <c r="AJ39" t="s">
        <v>17</v>
      </c>
      <c r="AK39" t="s">
        <v>18</v>
      </c>
      <c r="AL39" t="s">
        <v>19</v>
      </c>
      <c r="AM39" t="s">
        <v>140</v>
      </c>
      <c r="AN39" t="s">
        <v>141</v>
      </c>
      <c r="AO39" t="s">
        <v>74</v>
      </c>
    </row>
    <row r="40" spans="1:41" x14ac:dyDescent="0.25">
      <c r="A40">
        <v>39</v>
      </c>
      <c r="B40" t="s">
        <v>26</v>
      </c>
      <c r="C40">
        <v>14907</v>
      </c>
      <c r="D40" t="s">
        <v>67</v>
      </c>
      <c r="E40" t="s">
        <v>28</v>
      </c>
      <c r="F40">
        <v>29</v>
      </c>
      <c r="G40">
        <v>21.5</v>
      </c>
      <c r="H40">
        <v>32</v>
      </c>
      <c r="I40">
        <v>20.5</v>
      </c>
      <c r="J40">
        <v>15</v>
      </c>
      <c r="K40" t="s">
        <v>71</v>
      </c>
      <c r="L40" t="s">
        <v>6</v>
      </c>
      <c r="M40">
        <v>21</v>
      </c>
      <c r="N40" t="s">
        <v>6</v>
      </c>
      <c r="O40">
        <v>20</v>
      </c>
      <c r="P40">
        <v>21</v>
      </c>
      <c r="Q40" t="s">
        <v>8</v>
      </c>
      <c r="R40" s="2">
        <v>39</v>
      </c>
      <c r="S40" s="2">
        <v>42.5</v>
      </c>
      <c r="T40" s="2">
        <v>46.5</v>
      </c>
      <c r="U40" s="2">
        <v>34</v>
      </c>
      <c r="V40" s="2">
        <v>26.5</v>
      </c>
      <c r="W40" t="s">
        <v>9</v>
      </c>
      <c r="X40">
        <f t="shared" si="0"/>
        <v>7.5</v>
      </c>
      <c r="Y40">
        <v>22</v>
      </c>
      <c r="Z40">
        <v>18</v>
      </c>
      <c r="AA40">
        <v>22</v>
      </c>
      <c r="AB40">
        <v>18</v>
      </c>
      <c r="AC40" s="1" t="s">
        <v>146</v>
      </c>
      <c r="AD40" s="1">
        <f t="shared" si="2"/>
        <v>47</v>
      </c>
      <c r="AE40" s="1">
        <f t="shared" si="3"/>
        <v>65</v>
      </c>
      <c r="AF40" s="1">
        <f t="shared" si="4"/>
        <v>65</v>
      </c>
      <c r="AG40" s="1">
        <f t="shared" si="5"/>
        <v>56</v>
      </c>
      <c r="AH40" s="1">
        <f t="shared" si="6"/>
        <v>45</v>
      </c>
      <c r="AI40" t="s">
        <v>8</v>
      </c>
      <c r="AJ40" t="s">
        <v>17</v>
      </c>
      <c r="AK40" t="s">
        <v>18</v>
      </c>
      <c r="AL40" t="s">
        <v>19</v>
      </c>
      <c r="AM40" t="s">
        <v>142</v>
      </c>
      <c r="AN40" t="s">
        <v>143</v>
      </c>
      <c r="AO40" t="s">
        <v>74</v>
      </c>
    </row>
    <row r="41" spans="1:41" x14ac:dyDescent="0.25">
      <c r="A41">
        <v>40</v>
      </c>
      <c r="B41" t="s">
        <v>26</v>
      </c>
      <c r="C41">
        <v>15259</v>
      </c>
      <c r="D41" t="s">
        <v>68</v>
      </c>
      <c r="E41" t="s">
        <v>28</v>
      </c>
      <c r="F41">
        <v>36</v>
      </c>
      <c r="G41">
        <v>24.5</v>
      </c>
      <c r="H41">
        <v>23</v>
      </c>
      <c r="I41">
        <v>17.5</v>
      </c>
      <c r="J41">
        <v>18.5</v>
      </c>
      <c r="K41" t="s">
        <v>71</v>
      </c>
      <c r="L41">
        <v>35.5</v>
      </c>
      <c r="M41">
        <v>25.5</v>
      </c>
      <c r="N41">
        <v>24.5</v>
      </c>
      <c r="O41">
        <v>23.5</v>
      </c>
      <c r="P41">
        <v>18</v>
      </c>
      <c r="Q41" t="s">
        <v>8</v>
      </c>
      <c r="R41" s="2">
        <v>65</v>
      </c>
      <c r="S41" s="2">
        <v>54.5</v>
      </c>
      <c r="T41" s="2">
        <v>37</v>
      </c>
      <c r="U41" s="2">
        <v>38</v>
      </c>
      <c r="V41" s="2">
        <v>54.5</v>
      </c>
      <c r="W41" t="s">
        <v>9</v>
      </c>
      <c r="X41">
        <f t="shared" si="0"/>
        <v>18</v>
      </c>
      <c r="Y41">
        <v>23</v>
      </c>
      <c r="Z41">
        <v>18</v>
      </c>
      <c r="AA41">
        <v>23</v>
      </c>
      <c r="AB41">
        <v>22</v>
      </c>
      <c r="AC41" s="1" t="s">
        <v>146</v>
      </c>
      <c r="AD41" s="1">
        <f t="shared" si="2"/>
        <v>83</v>
      </c>
      <c r="AE41" s="1">
        <f t="shared" si="3"/>
        <v>78</v>
      </c>
      <c r="AF41" s="1">
        <f t="shared" si="4"/>
        <v>55</v>
      </c>
      <c r="AG41" s="1">
        <f t="shared" si="5"/>
        <v>61</v>
      </c>
      <c r="AH41" s="1">
        <f t="shared" si="6"/>
        <v>77</v>
      </c>
      <c r="AI41" t="s">
        <v>8</v>
      </c>
      <c r="AJ41" t="s">
        <v>17</v>
      </c>
      <c r="AK41" t="s">
        <v>18</v>
      </c>
      <c r="AL41" t="s">
        <v>19</v>
      </c>
      <c r="AM41" t="s">
        <v>72</v>
      </c>
      <c r="AN41" t="s">
        <v>144</v>
      </c>
      <c r="AO41" t="s">
        <v>74</v>
      </c>
    </row>
    <row r="42" spans="1:41" x14ac:dyDescent="0.25">
      <c r="A42">
        <v>41</v>
      </c>
      <c r="B42" t="s">
        <v>26</v>
      </c>
      <c r="C42">
        <v>15753</v>
      </c>
      <c r="D42" t="s">
        <v>69</v>
      </c>
      <c r="E42" t="s">
        <v>28</v>
      </c>
      <c r="F42">
        <v>25</v>
      </c>
      <c r="G42">
        <v>17.5</v>
      </c>
      <c r="H42">
        <v>36</v>
      </c>
      <c r="I42">
        <v>19.5</v>
      </c>
      <c r="J42">
        <v>19</v>
      </c>
      <c r="K42" t="s">
        <v>71</v>
      </c>
      <c r="L42">
        <v>14.5</v>
      </c>
      <c r="M42">
        <v>23</v>
      </c>
      <c r="N42">
        <v>35.5</v>
      </c>
      <c r="O42">
        <v>18.5</v>
      </c>
      <c r="P42">
        <v>24.5</v>
      </c>
      <c r="Q42" t="s">
        <v>8</v>
      </c>
      <c r="R42" s="2">
        <v>47.5</v>
      </c>
      <c r="S42" s="2">
        <v>34.5</v>
      </c>
      <c r="T42" s="2">
        <v>72</v>
      </c>
      <c r="U42" s="2">
        <v>37</v>
      </c>
      <c r="V42" s="2">
        <v>45.5</v>
      </c>
      <c r="W42" t="s">
        <v>9</v>
      </c>
      <c r="X42">
        <f t="shared" si="0"/>
        <v>10</v>
      </c>
      <c r="Y42">
        <v>21.5</v>
      </c>
      <c r="Z42">
        <v>17</v>
      </c>
      <c r="AA42">
        <v>24</v>
      </c>
      <c r="AB42">
        <v>13</v>
      </c>
      <c r="AC42" s="1" t="s">
        <v>146</v>
      </c>
      <c r="AD42" s="1">
        <f t="shared" si="2"/>
        <v>58</v>
      </c>
      <c r="AE42" s="1">
        <f t="shared" si="3"/>
        <v>56</v>
      </c>
      <c r="AF42" s="1">
        <f t="shared" si="4"/>
        <v>89</v>
      </c>
      <c r="AG42" s="1">
        <f t="shared" si="5"/>
        <v>61</v>
      </c>
      <c r="AH42" s="1">
        <f t="shared" si="6"/>
        <v>59</v>
      </c>
      <c r="AI42" t="s">
        <v>8</v>
      </c>
      <c r="AJ42" t="s">
        <v>17</v>
      </c>
      <c r="AK42" t="s">
        <v>18</v>
      </c>
      <c r="AL42" t="s">
        <v>19</v>
      </c>
      <c r="AM42" t="s">
        <v>83</v>
      </c>
      <c r="AN42" t="s">
        <v>145</v>
      </c>
      <c r="AO42" t="s">
        <v>74</v>
      </c>
    </row>
    <row r="43" spans="1:41" x14ac:dyDescent="0.25">
      <c r="A43">
        <v>42</v>
      </c>
      <c r="B43" t="s">
        <v>26</v>
      </c>
      <c r="C43">
        <v>14706</v>
      </c>
      <c r="D43" t="s">
        <v>70</v>
      </c>
      <c r="E43" t="s">
        <v>28</v>
      </c>
      <c r="F43">
        <v>30</v>
      </c>
      <c r="G43">
        <v>21.5</v>
      </c>
      <c r="H43" t="s">
        <v>29</v>
      </c>
      <c r="I43" t="s">
        <v>6</v>
      </c>
      <c r="J43">
        <v>22.5</v>
      </c>
      <c r="K43" t="s">
        <v>71</v>
      </c>
      <c r="L43">
        <v>25.5</v>
      </c>
      <c r="M43">
        <v>20.5</v>
      </c>
      <c r="N43">
        <v>32</v>
      </c>
      <c r="O43">
        <v>18</v>
      </c>
      <c r="P43">
        <v>18</v>
      </c>
      <c r="Q43" t="s">
        <v>8</v>
      </c>
      <c r="R43" s="2">
        <v>50.5</v>
      </c>
      <c r="S43" s="2">
        <v>41</v>
      </c>
      <c r="T43" s="2">
        <v>53.5</v>
      </c>
      <c r="U43" s="2">
        <v>36</v>
      </c>
      <c r="V43" s="2">
        <v>43.5</v>
      </c>
      <c r="W43" t="s">
        <v>9</v>
      </c>
      <c r="X43">
        <f t="shared" si="0"/>
        <v>14</v>
      </c>
      <c r="Y43">
        <v>27.5</v>
      </c>
      <c r="Z43">
        <v>19</v>
      </c>
      <c r="AA43">
        <v>26</v>
      </c>
      <c r="AB43">
        <v>12</v>
      </c>
      <c r="AC43" s="1" t="s">
        <v>146</v>
      </c>
      <c r="AD43" s="1">
        <f t="shared" si="2"/>
        <v>65</v>
      </c>
      <c r="AE43" s="1">
        <f t="shared" si="3"/>
        <v>69</v>
      </c>
      <c r="AF43" s="1">
        <f t="shared" si="4"/>
        <v>73</v>
      </c>
      <c r="AG43" s="1">
        <f t="shared" si="5"/>
        <v>62</v>
      </c>
      <c r="AH43" s="1">
        <f t="shared" si="6"/>
        <v>56</v>
      </c>
      <c r="AI43" t="s">
        <v>8</v>
      </c>
      <c r="AJ43" t="s">
        <v>17</v>
      </c>
      <c r="AK43" t="s">
        <v>18</v>
      </c>
      <c r="AL43" t="s">
        <v>19</v>
      </c>
      <c r="AM43" t="s">
        <v>78</v>
      </c>
      <c r="AN43" t="s">
        <v>79</v>
      </c>
      <c r="AO43" t="s">
        <v>74</v>
      </c>
    </row>
  </sheetData>
  <phoneticPr fontId="18" type="noConversion"/>
  <conditionalFormatting sqref="R1:R1048576">
    <cfRule type="cellIs" dxfId="4" priority="5" operator="lessThan">
      <formula>26</formula>
    </cfRule>
  </conditionalFormatting>
  <conditionalFormatting sqref="T1:T3 T5:T11 T13:T14 T16:T1048576">
    <cfRule type="cellIs" dxfId="3" priority="4" operator="lessThan">
      <formula>26</formula>
    </cfRule>
  </conditionalFormatting>
  <conditionalFormatting sqref="S1:S1048576">
    <cfRule type="cellIs" dxfId="2" priority="3" operator="lessThan">
      <formula>23</formula>
    </cfRule>
  </conditionalFormatting>
  <conditionalFormatting sqref="U1:U1048576">
    <cfRule type="cellIs" dxfId="1" priority="2" operator="lessThan">
      <formula>23</formula>
    </cfRule>
  </conditionalFormatting>
  <conditionalFormatting sqref="V1:V1048576">
    <cfRule type="cellIs" dxfId="0" priority="1" operator="lessThan">
      <formula>23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XII-OVERALL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Madhavan Achuthalingam</dc:creator>
  <cp:lastModifiedBy>WEBEXCEL</cp:lastModifiedBy>
  <dcterms:created xsi:type="dcterms:W3CDTF">2024-10-08T12:53:51Z</dcterms:created>
  <dcterms:modified xsi:type="dcterms:W3CDTF">2024-10-11T06:28:45Z</dcterms:modified>
</cp:coreProperties>
</file>