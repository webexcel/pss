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XII-OVERALL" sheetId="1" r:id="rId1"/>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 i="1"/>
  <c r="AQ4"/>
  <c r="AQ5"/>
  <c r="AQ6"/>
  <c r="AQ7"/>
  <c r="AQ8"/>
  <c r="AQ9"/>
  <c r="AQ10"/>
  <c r="AQ11"/>
  <c r="AQ12"/>
  <c r="AQ13"/>
  <c r="AQ14"/>
  <c r="AQ15"/>
  <c r="AQ16"/>
  <c r="AQ17"/>
  <c r="AQ18"/>
  <c r="AQ19"/>
  <c r="AQ20"/>
  <c r="AQ21"/>
  <c r="AQ22"/>
  <c r="AQ23"/>
  <c r="AQ24"/>
  <c r="AQ25"/>
  <c r="AQ26"/>
  <c r="AQ27"/>
  <c r="AQ28"/>
  <c r="AQ29"/>
  <c r="AQ30"/>
  <c r="AQ2"/>
  <c r="AY2" s="1"/>
  <c r="AY4"/>
  <c r="AY6"/>
  <c r="AS3"/>
  <c r="AT3"/>
  <c r="AU3"/>
  <c r="AV3"/>
  <c r="AW3"/>
  <c r="AX3"/>
  <c r="AY3"/>
  <c r="AS4"/>
  <c r="AT4"/>
  <c r="AU4"/>
  <c r="AV4"/>
  <c r="AW4"/>
  <c r="AX4"/>
  <c r="AS5"/>
  <c r="AT5"/>
  <c r="AU5"/>
  <c r="AV5"/>
  <c r="AW5"/>
  <c r="AX5"/>
  <c r="AY5"/>
  <c r="AS6"/>
  <c r="AT6"/>
  <c r="AU6"/>
  <c r="AV6"/>
  <c r="AW6"/>
  <c r="AX6"/>
  <c r="AS7"/>
  <c r="AT7"/>
  <c r="AU7"/>
  <c r="AV7"/>
  <c r="AW7"/>
  <c r="AX7"/>
  <c r="AY7"/>
  <c r="AS8"/>
  <c r="AT8"/>
  <c r="AU8"/>
  <c r="AV8"/>
  <c r="AW8"/>
  <c r="AX8"/>
  <c r="AY8"/>
  <c r="AS9"/>
  <c r="AT9"/>
  <c r="AU9"/>
  <c r="AV9"/>
  <c r="AW9"/>
  <c r="AX9"/>
  <c r="AY9"/>
  <c r="AS10"/>
  <c r="AT10"/>
  <c r="AU10"/>
  <c r="AV10"/>
  <c r="AW10"/>
  <c r="AX10"/>
  <c r="AY10"/>
  <c r="AS11"/>
  <c r="AT11"/>
  <c r="AU11"/>
  <c r="AV11"/>
  <c r="AW11"/>
  <c r="AX11"/>
  <c r="AY11"/>
  <c r="AS12"/>
  <c r="AT12"/>
  <c r="AU12"/>
  <c r="AV12"/>
  <c r="AW12"/>
  <c r="AX12"/>
  <c r="AY12"/>
  <c r="AS13"/>
  <c r="AT13"/>
  <c r="AU13"/>
  <c r="AV13"/>
  <c r="AW13"/>
  <c r="AX13"/>
  <c r="AY13"/>
  <c r="AS14"/>
  <c r="AT14"/>
  <c r="AU14"/>
  <c r="AV14"/>
  <c r="AW14"/>
  <c r="AX14"/>
  <c r="AY14"/>
  <c r="AS15"/>
  <c r="AT15"/>
  <c r="AU15"/>
  <c r="AV15"/>
  <c r="AW15"/>
  <c r="AX15"/>
  <c r="AY15"/>
  <c r="AS16"/>
  <c r="AT16"/>
  <c r="AU16"/>
  <c r="AV16"/>
  <c r="AW16"/>
  <c r="AX16"/>
  <c r="AY16"/>
  <c r="AS17"/>
  <c r="AT17"/>
  <c r="AU17"/>
  <c r="AV17"/>
  <c r="AW17"/>
  <c r="AX17"/>
  <c r="AY17"/>
  <c r="AS18"/>
  <c r="AT18"/>
  <c r="AU18"/>
  <c r="AV18"/>
  <c r="AW18"/>
  <c r="AX18"/>
  <c r="AY18"/>
  <c r="AS19"/>
  <c r="AT19"/>
  <c r="AU19"/>
  <c r="AV19"/>
  <c r="AW19"/>
  <c r="AX19"/>
  <c r="AY19"/>
  <c r="AS20"/>
  <c r="AT20"/>
  <c r="AU20"/>
  <c r="AV20"/>
  <c r="AW20"/>
  <c r="AX20"/>
  <c r="AY20"/>
  <c r="AS21"/>
  <c r="AT21"/>
  <c r="AU21"/>
  <c r="AV21"/>
  <c r="AW21"/>
  <c r="AX21"/>
  <c r="AY21"/>
  <c r="AS22"/>
  <c r="AT22"/>
  <c r="AU22"/>
  <c r="AV22"/>
  <c r="AW22"/>
  <c r="AX22"/>
  <c r="AY22"/>
  <c r="AS23"/>
  <c r="AT23"/>
  <c r="AU23"/>
  <c r="AV23"/>
  <c r="AW23"/>
  <c r="AX23"/>
  <c r="AY23"/>
  <c r="AS24"/>
  <c r="AT24"/>
  <c r="AU24"/>
  <c r="AV24"/>
  <c r="AW24"/>
  <c r="AX24"/>
  <c r="AY24"/>
  <c r="AS25"/>
  <c r="AT25"/>
  <c r="AU25"/>
  <c r="AV25"/>
  <c r="AW25"/>
  <c r="AX25"/>
  <c r="AY25"/>
  <c r="AS26"/>
  <c r="AT26"/>
  <c r="AU26"/>
  <c r="AV26"/>
  <c r="AW26"/>
  <c r="AX26"/>
  <c r="AY26"/>
  <c r="AS27"/>
  <c r="AT27"/>
  <c r="AU27"/>
  <c r="AV27"/>
  <c r="AW27"/>
  <c r="AX27"/>
  <c r="AY27"/>
  <c r="AS28"/>
  <c r="AT28"/>
  <c r="AU28"/>
  <c r="AV28"/>
  <c r="AW28"/>
  <c r="AX28"/>
  <c r="AY28"/>
  <c r="AS29"/>
  <c r="AT29"/>
  <c r="AU29"/>
  <c r="AV29"/>
  <c r="AW29"/>
  <c r="AX29"/>
  <c r="AY29"/>
  <c r="AS30"/>
  <c r="AT30"/>
  <c r="AU30"/>
  <c r="AV30"/>
  <c r="AW30"/>
  <c r="AX30"/>
  <c r="AY30"/>
  <c r="AX2"/>
  <c r="AW2"/>
  <c r="AV2"/>
  <c r="AU2"/>
  <c r="AT2"/>
  <c r="AS2"/>
  <c r="AO3"/>
  <c r="AO4"/>
  <c r="AO5"/>
  <c r="AO6"/>
  <c r="AO7"/>
  <c r="AO8"/>
  <c r="AO9"/>
  <c r="AO10"/>
  <c r="AO11"/>
  <c r="AO12"/>
  <c r="AO13"/>
  <c r="AO14"/>
  <c r="AO15"/>
  <c r="AO16"/>
  <c r="AO17"/>
  <c r="AO18"/>
  <c r="AO19"/>
  <c r="AO20"/>
  <c r="AO21"/>
  <c r="AO22"/>
  <c r="AO23"/>
  <c r="AO24"/>
  <c r="AO25"/>
  <c r="AO26"/>
  <c r="AO27"/>
  <c r="AO28"/>
  <c r="AO29"/>
  <c r="AO30"/>
  <c r="AO2"/>
</calcChain>
</file>

<file path=xl/sharedStrings.xml><?xml version="1.0" encoding="utf-8"?>
<sst xmlns="http://schemas.openxmlformats.org/spreadsheetml/2006/main" count="520" uniqueCount="131">
  <si>
    <t>Roll_No</t>
  </si>
  <si>
    <t>CLASSSEC</t>
  </si>
  <si>
    <t>Adno</t>
  </si>
  <si>
    <t>name</t>
  </si>
  <si>
    <t>Exam</t>
  </si>
  <si>
    <t>English</t>
  </si>
  <si>
    <t>Physical_Education</t>
  </si>
  <si>
    <t>X_XII_UT-1</t>
  </si>
  <si>
    <t>AB</t>
  </si>
  <si>
    <t>ab</t>
  </si>
  <si>
    <t xml:space="preserve">											</t>
  </si>
  <si>
    <t xml:space="preserve">												</t>
  </si>
  <si>
    <t xml:space="preserve">													</t>
  </si>
  <si>
    <t xml:space="preserve">														</t>
  </si>
  <si>
    <t xml:space="preserve">															Â  Result</t>
  </si>
  <si>
    <t xml:space="preserve">										</t>
  </si>
  <si>
    <t>X_XII_UT-2</t>
  </si>
  <si>
    <t>X_XII_UT-3</t>
  </si>
  <si>
    <t>Quarterly</t>
  </si>
  <si>
    <t>Quarterly- IA / Practicals</t>
  </si>
  <si>
    <t>OD</t>
  </si>
  <si>
    <t>Accountancy</t>
  </si>
  <si>
    <t>Business_Studies</t>
  </si>
  <si>
    <t>Economics</t>
  </si>
  <si>
    <t>Applied_Maths</t>
  </si>
  <si>
    <t>Legal_Studies</t>
  </si>
  <si>
    <t>XII-D</t>
  </si>
  <si>
    <t>AADHITHYA P R</t>
  </si>
  <si>
    <t>A AFRAH SULTANA</t>
  </si>
  <si>
    <t>M AKSHITA</t>
  </si>
  <si>
    <t>N ANIRUDH BHARADWAJ</t>
  </si>
  <si>
    <t>ANIRUDH KUMARAN</t>
  </si>
  <si>
    <t>ARYAN HARI SUHAS</t>
  </si>
  <si>
    <t>GAYATHRI M</t>
  </si>
  <si>
    <t>KARTHIK RAJAGOPALAN</t>
  </si>
  <si>
    <t>KESHAV PRASHANTH RAO</t>
  </si>
  <si>
    <t>S MANASA</t>
  </si>
  <si>
    <t>MANASA M</t>
  </si>
  <si>
    <t>M MANASVINI</t>
  </si>
  <si>
    <t>PRANAV SHANKAR</t>
  </si>
  <si>
    <t>PRATHIKSHA K</t>
  </si>
  <si>
    <t>SATHVIKHA SREE S</t>
  </si>
  <si>
    <t>SHIVANI SRINIVASAN</t>
  </si>
  <si>
    <t>SHRIRAAM</t>
  </si>
  <si>
    <t>SHWETA S</t>
  </si>
  <si>
    <t>SHYAM S S</t>
  </si>
  <si>
    <t>N SINDHUJAA</t>
  </si>
  <si>
    <t>SIVAKUMAR SRIKANTH</t>
  </si>
  <si>
    <t>SRILAKSHMI</t>
  </si>
  <si>
    <t>SRIRAGHAV G</t>
  </si>
  <si>
    <t>SUBHASHINI RAVIKUMAR</t>
  </si>
  <si>
    <t>VARSHA A</t>
  </si>
  <si>
    <t>VARSHA RAMESH</t>
  </si>
  <si>
    <t>VINATI KARTHIK</t>
  </si>
  <si>
    <t>VRUDHI</t>
  </si>
  <si>
    <t>S SRINANDAN</t>
  </si>
  <si>
    <t>A</t>
  </si>
  <si>
    <t>T1</t>
  </si>
  <si>
    <t>T2</t>
  </si>
  <si>
    <t>T3</t>
  </si>
  <si>
    <t>Att</t>
  </si>
  <si>
    <t>Scholastic</t>
  </si>
  <si>
    <t>Sports</t>
  </si>
  <si>
    <t>Yes</t>
  </si>
  <si>
    <t>Good</t>
  </si>
  <si>
    <t>Regular</t>
  </si>
  <si>
    <t>108.5/117</t>
  </si>
  <si>
    <t>1.volunteer in Scintillations and PS AMBLE 2. Part of Manali trek</t>
  </si>
  <si>
    <t xml:space="preserve">1. Got black belt in Silambam. 2. Demonstrated silambam skills on the sports day.      </t>
  </si>
  <si>
    <t>115.5/117</t>
  </si>
  <si>
    <t>1. Member of Scintillations and PS AMBLE 2024 2. Participated in Manali Trek 3. Completed a certificate course on Management and Entrepreneurship conducted by P S Senior secondary school along with Great Lakes Institute of Management and won a Cash award of Rs 1</t>
  </si>
  <si>
    <t xml:space="preserve">000 for the best project. Participated in intramurals - Football and Badminton     </t>
  </si>
  <si>
    <t>115/117</t>
  </si>
  <si>
    <t>1. Event Head in Stock Show in PS AMBLE 2024 2. Completed a certificate course on Management and Entrepreneurship conducted by P S Senior secondary school along with Great Lakes Institute of Management 3. Member of Finance committee in Scintillations 2024 4. Part of Manali trek 5. Secured School 7th rank in Commerce Olympiad conducted by Science Olympiad Foundation.</t>
  </si>
  <si>
    <t xml:space="preserve">      </t>
  </si>
  <si>
    <t>1. Participated in Manali Kaisdar Trek 2. Completed a certificate course on Management and Entrepreneurship conducted by P S Senior secondary school along with Great Lakes Institute of Management. 3. Volunteer in Scintillations and PS AMBLE 4. Secured School 5th rank in Commerce Olympiad conducted by Science Olympiad Foundation. 5. Participated in Kalanjali culturals and PSBB business battle.</t>
  </si>
  <si>
    <t>114/117</t>
  </si>
  <si>
    <t>Culturals [Inter school] 1st Place - Adzap - Kalpakosha 2024 1st Place - Shipwreck - Kalanjali 2024 1st Place - Expectations vs Reality - Reflections 2024 1st Place - Shipwreck - Reflections 2024 3rd Place - Lawyers Up - Reflections 2024 1st Place - Shark Tank - Reflections 2024 Runner Up - Winners Event - Reflections 2024 3rd Place - Channel Surng - Maithri 2024 1st Place - Whose Line is it Anyway - Maithri 2024 Winner - Title Event - Maithri 2024 MUN: High Commendation - VITCMUN Chairperson - Lakeview MUN Best Delegate - Vanguard MUN Director - Axis MUN Chairperson - SANMUN'24 Vice Chairperson - PVMUN'24 Guest Chairperson - CVMUN'24 Vice Chairperson - SOMUN'24 Entrepreneurship: National Finalist - IIT Madras E-SUMMIT Second Runner-Up - IIT Madras E-Thletics Completed a certificate course on Management and Entrepreneurship conducted by P S Senior secondary school along with Great Lakes Institute of Management and won a prize for the Best Project . School Awards &amp; Positions: Head of Fest - PS Amble Core OC - Scintillations Most Outstanding Student of Class 9 - 12 Best Boy Student in Commerce Topper in Applied Maths Highest Aggregate in Economics</t>
  </si>
  <si>
    <t xml:space="preserve"> English and Applied Maths 3rd Place - Intra School Quiz Secured rank in Commerce Olympiad conducted by Science Olympiad Foundation. Sports: Winner - U18 Football Tournament - St Brittos Academy Runners Up - U18 Football Tournament - Lalaji Omega International School Best Defender - U18 Football Tournament - Lalaji Omega International School Winner - PS Educational Society Football Tournament     </t>
  </si>
  <si>
    <t>112/117</t>
  </si>
  <si>
    <t>1. Event Head in PS Hustle in PS AMBLE 2024 2. Part of Manali Trek 3. Member of Scintillation Disciplinary Committee 2024 4. Participated in inter school cultural competitions 5. Completed a certificate course on Management and Entrepreneurship conducted by P S Senior secondary school along with Great Lakes Institute of Management.</t>
  </si>
  <si>
    <t xml:space="preserve">Participated in 10 km Virtual marathon on Independence Day.      </t>
  </si>
  <si>
    <t>101/117</t>
  </si>
  <si>
    <t>1. Completed a certificate course on Management and Entrepreneurship conducted by P S Senior secondary school along with Great Lakes Institute of Management and secured 2nd prize for the best project. 2. Part of Registration committee and Prize committee in PS AMBLE and Scintillations 2024 3. Part of the Manali trek. 4.Participated in inter school dance competitions.</t>
  </si>
  <si>
    <t>117/117</t>
  </si>
  <si>
    <t>1. Secured School 1st Rank in Commerce olympiad conducted by Science Olympiad foundation. 2. Received school Wilisber scholarship for class 11 3. Participated in various inter school cultural programmes. 4. Created a python code for stock market simulator for PS AMBLE 2024 5. Volunteer in Scintillations 2024. 6. Participated in Mathematics talent test held by School. 7. Completed a certificate course on Management and Entrepreneurship conducted by P S Senior secondary school along with Great Lakes Institute of Management.</t>
  </si>
  <si>
    <t xml:space="preserve">Participated in 100km Independence day Cyclathon.      </t>
  </si>
  <si>
    <t>105/117</t>
  </si>
  <si>
    <t>1. Member of Scintillations and PS AMBLE 2024 2. Completed a certificate course on Management and Entrepreneurship conducted by P S Senior secondary school along with Great Lakes Institute of Management. 3. Participated in Manali Trek 4. Participated in Interschool Culturals Reflections.</t>
  </si>
  <si>
    <t xml:space="preserve">1. Won the Shraddha tournament U17   won the best player award Kalpakosha football 2nd place 2. St Brittos U18 football tournament winner 3. Omega International School Football Tournament U18 -runners-up 4. Inter school culturals Maithri- Football 1st place 5. Represented the school in the CBSE clusters football in Kingston academy Vellore     </t>
  </si>
  <si>
    <t>1. Member of Scintillations and PS AMBLE 2024 2. Member of School Farewell team Participated in Manali Trek 3. Completed a certificate course on Management and Entrepreneurship conducted by P S Senior secondary school along with Great Lakes Institute of Management and won 3rd place for the best project.</t>
  </si>
  <si>
    <t>105.5/117</t>
  </si>
  <si>
    <t>1.Member of Scintillations and PS AMBLE 2024 Member of School Farewell team 2. Participated in Manali Trek 3. Completed a certificate course on Management and Entrepreneurship conducted by P S Senior secondary school along with Great Lakes Institute of Management.</t>
  </si>
  <si>
    <t xml:space="preserve">1. Won Best goal keeper in CBSE South zone football tournament. 2. Member of Winning team in CBSE south zone foot ball tournament. 3. Won 2nd place in overalls in School Sports day. School Team captain . 4. Winner in Lady Andal Foot ball Tournament and St.Britto's foot ball tournament. 5. Participated in Omega U-19 foot ball tournament. 6. Entered Nationals in football tournament. 7. Won many events like High Jump and long jump and Relay in intra murals.      </t>
  </si>
  <si>
    <t>109.5/117</t>
  </si>
  <si>
    <t>1. Member of Scintillations and PS AMBLE 2024 team 2. Participated in Manali Trek 3. Completed a certificate course on Management and Entrepreneurship conducted by P S Senior secondary school along with Great Lakes Institute of Management. Participated in SOF commerce Olympiad Participated in interschool cultural competitons.</t>
  </si>
  <si>
    <t xml:space="preserve">1. Participated in intramurals for badminton  carrom and throwball.     </t>
  </si>
  <si>
    <t>103.5/117</t>
  </si>
  <si>
    <t>1. Participated in Manali trek. 2. Volunteer in School scintillations and PS AMBLE 2024 3. Participated in various inter-school culturals. 4. Received a gold medal and 12th rank in commerce Olympiad 2024 conducted by Science Olympiad foundation. 5. Completed a certificate course on Management and Entrepreneurship conducted by P S Senior secondary school along with Great Lakes Institute of Management.</t>
  </si>
  <si>
    <t>111/117</t>
  </si>
  <si>
    <t>1. Received a gold medal and got School 11th rank in commerce Olympiad conducted by Science Olympiad foundation. 2. Completed a certificate course on Management and Entrepreneurship conducted by P S Senior secondary school along with Great Lakes Institute of Management. 3. Event Head in Profit-o-logy in PS AMBLE 2024 4. Member of Decor team in School Scintillations 2024 5. Part of General narration in School Annual Day 2024 6. Participated in Tamil Play in School annual day.</t>
  </si>
  <si>
    <t>112.5/117</t>
  </si>
  <si>
    <t>1. Member of Scintillations and PS AMBLE 2024 2. Participated in Manali Trek 3. Completed a certificate course on Management and Entrepreneurship conducted by P S Senior secondary school along with Great Lakes Institute of Management and got a prize for 2nd best project.</t>
  </si>
  <si>
    <t xml:space="preserve">1. School Emerald team Vice captain. 2. Winners in CBSE clusters South zone Football tournament u-19 3. Entered Nationals. 4. Runner up in abacus football tournament. 5. Runner up in school football  badminton  basketball and throw ball [intramurals]    </t>
  </si>
  <si>
    <t>100/117</t>
  </si>
  <si>
    <t>1. Member of Scintillations and PS AMBLE 202 2. Participated in Manali Trek 3. Completed a certificate course on Management and Entrepreneurship conducted by P S Senior secondary school along with Great Lakes Institute of Management.</t>
  </si>
  <si>
    <t>110/117</t>
  </si>
  <si>
    <t>1. Participated in Manali Kaisdhar Trek 2. Completed a certificate course on Management and Entrepreneurship conducted by P S Senior secondary school along with Great Lakes Institute of Management. 3. Participated in Kalanjali culturals and PSBB Nungambakkam business battle 4. Part of School scintillations and PS AMBLE 5. Secured 4th rank in commerce olympiad conducted by Science Olympiad Foundation. 6. Part of school band performance on Teachers' Day</t>
  </si>
  <si>
    <t>1. Member of Scintillations and PS AMBLE 2024 {Team head - Profit-o-logy] 2. Participated in Manali Trek 3. Completed a certificate course on Management and Entrepreneurship conducted by P S Senior secondary school along with Great Lakes Institute of Management and secured a prize for 3rd best project.</t>
  </si>
  <si>
    <t xml:space="preserve">Participated in various intramurals like shotput  throw ball  discuss  javelin and carrom.   </t>
  </si>
  <si>
    <t>102/117</t>
  </si>
  <si>
    <t>1. Member of Scintillations and PS AMBLE 2024 2. Participated in Manali Trek 3. Completed a certificate course on Management and Entrepreneurship conducted by P S Senior secondary school along with Great Lakes Institute of Management.</t>
  </si>
  <si>
    <t xml:space="preserve">1. Emerged as winner of Abacus football tournament. 2. Emerged winners in PC Sekar foot tournment 3.Emerged as winners in Akshaya Premier League. Got the best player of the tournament out of 160 players. 4. Emerged as winners Vidya Mandir foot ball tournament and got the award for the most promising player. 5. Emerged as winners in St.Britto tournament. 6. Emerged as second runner-up in the U19 foot ball tournament conducted by Omega International School and won the best midfielder award. 7. Participated in various inter-school foot ball tournaments.      </t>
  </si>
  <si>
    <t>113/117</t>
  </si>
  <si>
    <t xml:space="preserve">Winner in Intramurals -Table Tennis      </t>
  </si>
  <si>
    <t>108/117</t>
  </si>
  <si>
    <t>1. Member of Scintillations and PS AMBLE 2024 2. Participated in Manali Trek 3. Completed a certificate course on Management and Entrepreneurship conducted by P S Senior secondary school along with Great Lakes Institute of Management. 4. Participated in SOF commerce Olympiad and secured School 2nd rank conducted by Science Olympiad foundation. 5.Part of PS MUN Organizing team. 6.AXISMUN - IPC- High commendation 7. Lakeview Mun - IPC- Best feature 8. EDMUN 24 - USG Logistics 9. Participated in interschool Culturals. 10.Member of Media Team. 11.Member of School Band. 12.Part of School Rhetoric team 13.Compered in School Annual sports day.</t>
  </si>
  <si>
    <t>1. Member of Scintillations and PS AMBLE 2024 [Finance and Prize committees 2. Participated in Manali Trek 3. Completed a certificate course on Management and Entrepreneurship conducted by P S Senior secondary school along with Great Lakes Institute of Management.</t>
  </si>
  <si>
    <t xml:space="preserve">Participated in intramurals - discus throw javelin throw and relay      </t>
  </si>
  <si>
    <t>102.5/117</t>
  </si>
  <si>
    <t>1. Head of External affairs for the event PS AMBLE 2024 [Organising committee] 2. Dance event head in scintillations and a participant in the scintillations performance team. 3. Completed a certificate course on Management and Entrepreneurship conducted by P S Senior secondary school along with Great Lakes Institute of Management and won 2nd Prize in the best project category. 4. Student council member 2024 5. Participated in Manali Trek. 6. Participated in School annual day dance programme.</t>
  </si>
  <si>
    <t>104/117</t>
  </si>
  <si>
    <t>1. Member of Scintillations and PS AMBLE 2024 2. Participated in Manali Trek 3. Completed a certificate course on Management and Entrepreneurship conducted by P S Senior secondary school along with Great Lakes Institute of Management and secured I prize in the best project category. 4. Participated in commerce Olympiad conducted by Science Olympiad Foundation and secured school 14th rank. 5. Part of the Editorial committee in the School magazine. 6. Participated in Inter school culturals [Creative writing]</t>
  </si>
  <si>
    <t>113.5/117</t>
  </si>
  <si>
    <t>1. Participated in Manali Kaisdar Trek 2. Completed a certificate course on Management and Entrepreneurship conducted by P S Senior secondary school along with Great Lakes Institute of Management. 3. Volunteer in Scintillations and PS AMBLE 2024 4. Part of Compering team in School Scintillations</t>
  </si>
  <si>
    <t xml:space="preserve"> PS AMBLE and Annual Day. 5. Participated in School Endowment competition.      </t>
  </si>
  <si>
    <t>1. Participated in Manali Kaisdar Trek 2. Completed a certificate course on Management and Entrepreneurship conducted by P S Senior secondary school along with Great Lakes Institute of Management. 3. Volunteer in Scintillations and PS AMBLE</t>
  </si>
  <si>
    <t>1.Member of Scintillations and PS AMBLE 2024 [Prize and Decor committees] 2.Participated in Manali Trek 3.Completed a certificate course on Management and Entrepreneurship conducted by P S Senior secondary school along with Great Lakes Institute of Management. 4.Participated in commerce Olympiad and secured school 19th rank conducted by Science Olympiad Foundation.</t>
  </si>
  <si>
    <t xml:space="preserve">Participated in various intramurals like Discuss throw  Javelin throw  Carron and shotput.    </t>
  </si>
  <si>
    <t>1.Member of Scintillations and PS AMBLE 2024 2.Participated in Manali Trek 3. Completed a certificate course on Management and Entrepreneurship conducted by P S Senior secondary school along with Great Lakes Institute of Management.</t>
  </si>
  <si>
    <t>TERM1-100</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</si>
</sst>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BF43"/>
  <sheetViews>
    <sheetView tabSelected="1" topLeftCell="AC1" workbookViewId="0">
      <selection activeCell="AY12" sqref="AY12"/>
    </sheetView>
  </sheetViews>
  <sheetFormatPr defaultColWidth="11.7109375" defaultRowHeight="15"/>
  <cols>
    <col min="12" max="40" width="8.85546875"/>
    <col min="42" max="42" width="8.85546875"/>
    <col min="52" max="57" width="8.85546875"/>
    <col min="58" max="58" width="255.7109375" bestFit="1" customWidth="1"/>
  </cols>
  <sheetData>
    <row r="1" spans="1:58">
      <c r="A1" t="s">
        <v>0</v>
      </c>
      <c r="B1" t="s">
        <v>1</v>
      </c>
      <c r="C1" t="s">
        <v>2</v>
      </c>
      <c r="D1" t="s">
        <v>3</v>
      </c>
      <c r="E1" t="s">
        <v>4</v>
      </c>
      <c r="F1" t="s">
        <v>5</v>
      </c>
      <c r="G1" t="s">
        <v>21</v>
      </c>
      <c r="H1" t="s">
        <v>22</v>
      </c>
      <c r="I1" t="s">
        <v>23</v>
      </c>
      <c r="J1" t="s">
        <v>24</v>
      </c>
      <c r="K1" t="s">
        <v>25</v>
      </c>
      <c r="L1" t="s">
        <v>6</v>
      </c>
      <c r="M1" t="s">
        <v>4</v>
      </c>
      <c r="N1" t="s">
        <v>5</v>
      </c>
      <c r="O1" t="s">
        <v>21</v>
      </c>
      <c r="P1" t="s">
        <v>22</v>
      </c>
      <c r="Q1" t="s">
        <v>23</v>
      </c>
      <c r="R1" t="s">
        <v>24</v>
      </c>
      <c r="S1" t="s">
        <v>25</v>
      </c>
      <c r="T1" t="s">
        <v>6</v>
      </c>
      <c r="U1" t="s">
        <v>4</v>
      </c>
      <c r="V1" t="s">
        <v>5</v>
      </c>
      <c r="W1" t="s">
        <v>21</v>
      </c>
      <c r="X1" t="s">
        <v>22</v>
      </c>
      <c r="Y1" t="s">
        <v>23</v>
      </c>
      <c r="Z1" t="s">
        <v>24</v>
      </c>
      <c r="AA1" t="s">
        <v>25</v>
      </c>
      <c r="AB1" t="s">
        <v>4</v>
      </c>
      <c r="AC1" t="s">
        <v>5</v>
      </c>
      <c r="AD1" t="s">
        <v>21</v>
      </c>
      <c r="AE1" t="s">
        <v>22</v>
      </c>
      <c r="AF1" t="s">
        <v>23</v>
      </c>
      <c r="AG1" t="s">
        <v>24</v>
      </c>
      <c r="AH1" t="s">
        <v>25</v>
      </c>
      <c r="AI1" t="s">
        <v>6</v>
      </c>
      <c r="AJ1" t="s">
        <v>4</v>
      </c>
      <c r="AK1" t="s">
        <v>5</v>
      </c>
      <c r="AL1" t="s">
        <v>21</v>
      </c>
      <c r="AM1" t="s">
        <v>22</v>
      </c>
      <c r="AN1" t="s">
        <v>23</v>
      </c>
      <c r="AO1" s="1" t="s">
        <v>24</v>
      </c>
      <c r="AP1" t="s">
        <v>25</v>
      </c>
      <c r="AQ1" s="1" t="s">
        <v>6</v>
      </c>
      <c r="AR1" s="1"/>
      <c r="AS1" s="1" t="s">
        <v>5</v>
      </c>
      <c r="AT1" s="1" t="s">
        <v>21</v>
      </c>
      <c r="AU1" s="1" t="s">
        <v>22</v>
      </c>
      <c r="AV1" s="1" t="s">
        <v>23</v>
      </c>
      <c r="AW1" s="1" t="s">
        <v>24</v>
      </c>
      <c r="AX1" s="1" t="s">
        <v>25</v>
      </c>
      <c r="AY1" s="1" t="s">
        <v>6</v>
      </c>
      <c r="AZ1" t="s">
        <v>4</v>
      </c>
      <c r="BA1" t="s">
        <v>57</v>
      </c>
      <c r="BB1" t="s">
        <v>58</v>
      </c>
      <c r="BC1" t="s">
        <v>59</v>
      </c>
      <c r="BD1" t="s">
        <v>60</v>
      </c>
      <c r="BE1" t="s">
        <v>61</v>
      </c>
      <c r="BF1" t="s">
        <v>62</v>
      </c>
    </row>
    <row r="2" spans="1:58">
      <c r="A2">
        <v>1</v>
      </c>
      <c r="B2" t="s">
        <v>26</v>
      </c>
      <c r="C2">
        <v>14353</v>
      </c>
      <c r="D2" t="s">
        <v>27</v>
      </c>
      <c r="E2" t="s">
        <v>7</v>
      </c>
      <c r="F2">
        <v>21</v>
      </c>
      <c r="G2">
        <v>24</v>
      </c>
      <c r="H2">
        <v>11</v>
      </c>
      <c r="I2">
        <v>16</v>
      </c>
      <c r="J2">
        <v>28</v>
      </c>
      <c r="K2">
        <v>0</v>
      </c>
      <c r="L2">
        <v>0</v>
      </c>
      <c r="M2" t="s">
        <v>16</v>
      </c>
      <c r="N2">
        <v>13.5</v>
      </c>
      <c r="O2">
        <v>24</v>
      </c>
      <c r="P2">
        <v>19</v>
      </c>
      <c r="Q2">
        <v>8</v>
      </c>
      <c r="R2">
        <v>18</v>
      </c>
      <c r="S2">
        <v>0</v>
      </c>
      <c r="T2">
        <v>0</v>
      </c>
      <c r="U2" t="s">
        <v>17</v>
      </c>
      <c r="V2">
        <v>20</v>
      </c>
      <c r="W2">
        <v>24</v>
      </c>
      <c r="X2">
        <v>16</v>
      </c>
      <c r="Y2">
        <v>20</v>
      </c>
      <c r="Z2">
        <v>28</v>
      </c>
      <c r="AA2">
        <v>0</v>
      </c>
      <c r="AB2" t="s">
        <v>18</v>
      </c>
      <c r="AC2">
        <v>28.5</v>
      </c>
      <c r="AD2">
        <v>39</v>
      </c>
      <c r="AE2">
        <v>25</v>
      </c>
      <c r="AF2">
        <v>39</v>
      </c>
      <c r="AG2">
        <v>58.5</v>
      </c>
      <c r="AH2">
        <v>0</v>
      </c>
      <c r="AI2">
        <v>0</v>
      </c>
      <c r="AJ2" t="s">
        <v>19</v>
      </c>
      <c r="AK2">
        <v>15</v>
      </c>
      <c r="AL2">
        <v>15</v>
      </c>
      <c r="AM2">
        <v>16</v>
      </c>
      <c r="AN2">
        <v>17</v>
      </c>
      <c r="AO2" s="1">
        <f>CEILING((N(J2)+N(R2)+N(Z2))/120*20,0.5)</f>
        <v>12.5</v>
      </c>
      <c r="AP2">
        <v>0</v>
      </c>
      <c r="AQ2" s="1">
        <f>CEILING((N(L2)+N(T2))/70*30,0.5)</f>
        <v>0</v>
      </c>
      <c r="AR2" s="1" t="s">
        <v>130</v>
      </c>
      <c r="AS2" s="1">
        <f>ROUND(N(AC2)+N(AK2),0)</f>
        <v>44</v>
      </c>
      <c r="AT2" s="1">
        <f t="shared" ref="AT2:AY2" si="0">ROUND(N(AD2)+N(AL2),0)</f>
        <v>54</v>
      </c>
      <c r="AU2" s="1">
        <f t="shared" si="0"/>
        <v>41</v>
      </c>
      <c r="AV2" s="1">
        <f t="shared" si="0"/>
        <v>56</v>
      </c>
      <c r="AW2" s="1">
        <f t="shared" si="0"/>
        <v>71</v>
      </c>
      <c r="AX2" s="1">
        <f t="shared" si="0"/>
        <v>0</v>
      </c>
      <c r="AY2" s="1">
        <f t="shared" si="0"/>
        <v>0</v>
      </c>
      <c r="AZ2" t="s">
        <v>18</v>
      </c>
      <c r="BA2" t="s">
        <v>63</v>
      </c>
      <c r="BB2" t="s">
        <v>64</v>
      </c>
      <c r="BC2" t="s">
        <v>65</v>
      </c>
      <c r="BD2" t="s">
        <v>66</v>
      </c>
      <c r="BE2" t="s">
        <v>67</v>
      </c>
      <c r="BF2" t="s">
        <v>68</v>
      </c>
    </row>
    <row r="3" spans="1:58">
      <c r="A3">
        <v>2</v>
      </c>
      <c r="B3" t="s">
        <v>26</v>
      </c>
      <c r="C3">
        <v>15439</v>
      </c>
      <c r="D3" t="s">
        <v>28</v>
      </c>
      <c r="E3" t="s">
        <v>7</v>
      </c>
      <c r="F3">
        <v>36</v>
      </c>
      <c r="G3">
        <v>23</v>
      </c>
      <c r="H3">
        <v>18</v>
      </c>
      <c r="I3">
        <v>16</v>
      </c>
      <c r="J3">
        <v>22.5</v>
      </c>
      <c r="K3">
        <v>0</v>
      </c>
      <c r="L3">
        <v>0</v>
      </c>
      <c r="M3" t="s">
        <v>16</v>
      </c>
      <c r="N3">
        <v>31</v>
      </c>
      <c r="O3">
        <v>22</v>
      </c>
      <c r="P3">
        <v>26</v>
      </c>
      <c r="Q3">
        <v>13</v>
      </c>
      <c r="R3">
        <v>15.5</v>
      </c>
      <c r="S3">
        <v>0</v>
      </c>
      <c r="T3">
        <v>0</v>
      </c>
      <c r="U3" t="s">
        <v>17</v>
      </c>
      <c r="V3">
        <v>31</v>
      </c>
      <c r="W3">
        <v>19</v>
      </c>
      <c r="X3">
        <v>20</v>
      </c>
      <c r="Y3">
        <v>31</v>
      </c>
      <c r="Z3">
        <v>13.5</v>
      </c>
      <c r="AA3">
        <v>0</v>
      </c>
      <c r="AB3" t="s">
        <v>18</v>
      </c>
      <c r="AC3">
        <v>54</v>
      </c>
      <c r="AD3">
        <v>38</v>
      </c>
      <c r="AE3">
        <v>48</v>
      </c>
      <c r="AF3">
        <v>53</v>
      </c>
      <c r="AG3">
        <v>33</v>
      </c>
      <c r="AH3">
        <v>0</v>
      </c>
      <c r="AI3">
        <v>0</v>
      </c>
      <c r="AJ3" t="s">
        <v>19</v>
      </c>
      <c r="AK3">
        <v>20</v>
      </c>
      <c r="AL3">
        <v>18</v>
      </c>
      <c r="AM3">
        <v>19</v>
      </c>
      <c r="AN3">
        <v>20</v>
      </c>
      <c r="AO3" s="1">
        <f t="shared" ref="AO3:AO30" si="1">CEILING((N(J3)+N(R3)+N(Z3))/120*20,0.5)</f>
        <v>9</v>
      </c>
      <c r="AP3">
        <v>0</v>
      </c>
      <c r="AQ3" s="1">
        <f t="shared" ref="AQ3:AQ30" si="2">CEILING((N(L3)+N(T3))/70*30,0.5)</f>
        <v>0</v>
      </c>
      <c r="AR3" s="1" t="s">
        <v>130</v>
      </c>
      <c r="AS3" s="1">
        <f t="shared" ref="AS3:AS30" si="3">ROUND(N(AC3)+N(AK3),0)</f>
        <v>74</v>
      </c>
      <c r="AT3" s="1">
        <f t="shared" ref="AT3:AT30" si="4">ROUND(N(AD3)+N(AL3),0)</f>
        <v>56</v>
      </c>
      <c r="AU3" s="1">
        <f t="shared" ref="AU3:AU30" si="5">ROUND(N(AE3)+N(AM3),0)</f>
        <v>67</v>
      </c>
      <c r="AV3" s="1">
        <f t="shared" ref="AV3:AV30" si="6">ROUND(N(AF3)+N(AN3),0)</f>
        <v>73</v>
      </c>
      <c r="AW3" s="1">
        <f t="shared" ref="AW3:AW30" si="7">ROUND(N(AG3)+N(AO3),0)</f>
        <v>42</v>
      </c>
      <c r="AX3" s="1">
        <f t="shared" ref="AX3:AX30" si="8">ROUND(N(AH3)+N(AP3),0)</f>
        <v>0</v>
      </c>
      <c r="AY3" s="1">
        <f t="shared" ref="AY3:AY30" si="9">ROUND(N(AI3)+N(AQ3),0)</f>
        <v>0</v>
      </c>
      <c r="AZ3" t="s">
        <v>18</v>
      </c>
      <c r="BA3" t="s">
        <v>63</v>
      </c>
      <c r="BB3" t="s">
        <v>64</v>
      </c>
      <c r="BC3" t="s">
        <v>65</v>
      </c>
      <c r="BD3" t="s">
        <v>69</v>
      </c>
      <c r="BE3" t="s">
        <v>70</v>
      </c>
      <c r="BF3" t="s">
        <v>71</v>
      </c>
    </row>
    <row r="4" spans="1:58">
      <c r="A4">
        <v>3</v>
      </c>
      <c r="B4" t="s">
        <v>26</v>
      </c>
      <c r="C4">
        <v>18279</v>
      </c>
      <c r="D4" t="s">
        <v>29</v>
      </c>
      <c r="E4" t="s">
        <v>7</v>
      </c>
      <c r="F4">
        <v>27.5</v>
      </c>
      <c r="G4">
        <v>28</v>
      </c>
      <c r="H4">
        <v>19</v>
      </c>
      <c r="I4">
        <v>22</v>
      </c>
      <c r="J4">
        <v>21</v>
      </c>
      <c r="K4">
        <v>0</v>
      </c>
      <c r="L4">
        <v>0</v>
      </c>
      <c r="M4" t="s">
        <v>16</v>
      </c>
      <c r="N4">
        <v>27</v>
      </c>
      <c r="O4">
        <v>18</v>
      </c>
      <c r="P4">
        <v>22</v>
      </c>
      <c r="Q4">
        <v>15</v>
      </c>
      <c r="R4">
        <v>26</v>
      </c>
      <c r="S4">
        <v>0</v>
      </c>
      <c r="T4">
        <v>0</v>
      </c>
      <c r="U4" t="s">
        <v>17</v>
      </c>
      <c r="V4">
        <v>27</v>
      </c>
      <c r="W4">
        <v>23</v>
      </c>
      <c r="X4">
        <v>22</v>
      </c>
      <c r="Y4">
        <v>22</v>
      </c>
      <c r="Z4">
        <v>23</v>
      </c>
      <c r="AA4">
        <v>0</v>
      </c>
      <c r="AB4" t="s">
        <v>18</v>
      </c>
      <c r="AC4">
        <v>45</v>
      </c>
      <c r="AD4">
        <v>53</v>
      </c>
      <c r="AE4">
        <v>52</v>
      </c>
      <c r="AF4">
        <v>51</v>
      </c>
      <c r="AG4">
        <v>45.5</v>
      </c>
      <c r="AH4">
        <v>0</v>
      </c>
      <c r="AI4">
        <v>0</v>
      </c>
      <c r="AJ4" t="s">
        <v>19</v>
      </c>
      <c r="AK4">
        <v>20</v>
      </c>
      <c r="AL4">
        <v>19</v>
      </c>
      <c r="AM4">
        <v>19</v>
      </c>
      <c r="AN4">
        <v>20</v>
      </c>
      <c r="AO4" s="1">
        <f t="shared" si="1"/>
        <v>12</v>
      </c>
      <c r="AP4">
        <v>0</v>
      </c>
      <c r="AQ4" s="1">
        <f t="shared" si="2"/>
        <v>0</v>
      </c>
      <c r="AR4" s="1" t="s">
        <v>130</v>
      </c>
      <c r="AS4" s="1">
        <f t="shared" si="3"/>
        <v>65</v>
      </c>
      <c r="AT4" s="1">
        <f t="shared" si="4"/>
        <v>72</v>
      </c>
      <c r="AU4" s="1">
        <f t="shared" si="5"/>
        <v>71</v>
      </c>
      <c r="AV4" s="1">
        <f t="shared" si="6"/>
        <v>71</v>
      </c>
      <c r="AW4" s="1">
        <f t="shared" si="7"/>
        <v>58</v>
      </c>
      <c r="AX4" s="1">
        <f t="shared" si="8"/>
        <v>0</v>
      </c>
      <c r="AY4" s="1">
        <f t="shared" si="9"/>
        <v>0</v>
      </c>
      <c r="AZ4" t="s">
        <v>18</v>
      </c>
      <c r="BA4" t="s">
        <v>63</v>
      </c>
      <c r="BB4" t="s">
        <v>64</v>
      </c>
      <c r="BC4" t="s">
        <v>65</v>
      </c>
      <c r="BD4" t="s">
        <v>72</v>
      </c>
      <c r="BE4" t="s">
        <v>73</v>
      </c>
      <c r="BF4" t="s">
        <v>74</v>
      </c>
    </row>
    <row r="5" spans="1:58">
      <c r="A5">
        <v>4</v>
      </c>
      <c r="B5" t="s">
        <v>26</v>
      </c>
      <c r="C5">
        <v>18471</v>
      </c>
      <c r="D5" t="s">
        <v>30</v>
      </c>
      <c r="E5" t="s">
        <v>7</v>
      </c>
      <c r="F5">
        <v>29</v>
      </c>
      <c r="G5">
        <v>29</v>
      </c>
      <c r="H5">
        <v>34</v>
      </c>
      <c r="I5">
        <v>30</v>
      </c>
      <c r="J5">
        <v>33</v>
      </c>
      <c r="K5">
        <v>0</v>
      </c>
      <c r="L5">
        <v>0</v>
      </c>
      <c r="M5" t="s">
        <v>16</v>
      </c>
      <c r="N5">
        <v>28.5</v>
      </c>
      <c r="O5">
        <v>29</v>
      </c>
      <c r="P5">
        <v>35</v>
      </c>
      <c r="Q5">
        <v>34</v>
      </c>
      <c r="R5">
        <v>29.5</v>
      </c>
      <c r="S5">
        <v>0</v>
      </c>
      <c r="T5">
        <v>0</v>
      </c>
      <c r="U5" t="s">
        <v>17</v>
      </c>
      <c r="V5">
        <v>30</v>
      </c>
      <c r="W5">
        <v>32</v>
      </c>
      <c r="X5">
        <v>33</v>
      </c>
      <c r="Y5">
        <v>25</v>
      </c>
      <c r="Z5">
        <v>27.5</v>
      </c>
      <c r="AA5">
        <v>0</v>
      </c>
      <c r="AB5" t="s">
        <v>18</v>
      </c>
      <c r="AC5">
        <v>54.5</v>
      </c>
      <c r="AD5">
        <v>62</v>
      </c>
      <c r="AE5">
        <v>68</v>
      </c>
      <c r="AF5">
        <v>74</v>
      </c>
      <c r="AG5">
        <v>53.5</v>
      </c>
      <c r="AH5">
        <v>0</v>
      </c>
      <c r="AI5">
        <v>0</v>
      </c>
      <c r="AJ5" t="s">
        <v>19</v>
      </c>
      <c r="AK5">
        <v>19.5</v>
      </c>
      <c r="AL5">
        <v>18</v>
      </c>
      <c r="AM5">
        <v>20</v>
      </c>
      <c r="AN5">
        <v>20</v>
      </c>
      <c r="AO5" s="1">
        <f t="shared" si="1"/>
        <v>15</v>
      </c>
      <c r="AP5">
        <v>0</v>
      </c>
      <c r="AQ5" s="1">
        <f t="shared" si="2"/>
        <v>0</v>
      </c>
      <c r="AR5" s="1" t="s">
        <v>130</v>
      </c>
      <c r="AS5" s="1">
        <f t="shared" si="3"/>
        <v>74</v>
      </c>
      <c r="AT5" s="1">
        <f t="shared" si="4"/>
        <v>80</v>
      </c>
      <c r="AU5" s="1">
        <f t="shared" si="5"/>
        <v>88</v>
      </c>
      <c r="AV5" s="1">
        <f t="shared" si="6"/>
        <v>94</v>
      </c>
      <c r="AW5" s="1">
        <f t="shared" si="7"/>
        <v>69</v>
      </c>
      <c r="AX5" s="1">
        <f t="shared" si="8"/>
        <v>0</v>
      </c>
      <c r="AY5" s="1">
        <f t="shared" si="9"/>
        <v>0</v>
      </c>
      <c r="AZ5" t="s">
        <v>18</v>
      </c>
      <c r="BA5" t="s">
        <v>63</v>
      </c>
      <c r="BB5" t="s">
        <v>64</v>
      </c>
      <c r="BC5" t="s">
        <v>65</v>
      </c>
      <c r="BD5" t="s">
        <v>69</v>
      </c>
      <c r="BE5" t="s">
        <v>75</v>
      </c>
      <c r="BF5" t="s">
        <v>74</v>
      </c>
    </row>
    <row r="6" spans="1:58">
      <c r="A6">
        <v>5</v>
      </c>
      <c r="B6" t="s">
        <v>26</v>
      </c>
      <c r="C6">
        <v>14329</v>
      </c>
      <c r="D6" t="s">
        <v>31</v>
      </c>
      <c r="E6" t="s">
        <v>7</v>
      </c>
      <c r="F6">
        <v>38.5</v>
      </c>
      <c r="G6">
        <v>36</v>
      </c>
      <c r="H6">
        <v>36</v>
      </c>
      <c r="I6">
        <v>37</v>
      </c>
      <c r="J6">
        <v>40</v>
      </c>
      <c r="K6">
        <v>0</v>
      </c>
      <c r="L6">
        <v>0</v>
      </c>
      <c r="M6" t="s">
        <v>16</v>
      </c>
      <c r="N6">
        <v>39</v>
      </c>
      <c r="O6">
        <v>39</v>
      </c>
      <c r="P6">
        <v>39</v>
      </c>
      <c r="Q6">
        <v>38</v>
      </c>
      <c r="R6">
        <v>39</v>
      </c>
      <c r="S6">
        <v>0</v>
      </c>
      <c r="T6">
        <v>0</v>
      </c>
      <c r="U6" t="s">
        <v>17</v>
      </c>
      <c r="V6">
        <v>38</v>
      </c>
      <c r="W6">
        <v>34</v>
      </c>
      <c r="X6">
        <v>37</v>
      </c>
      <c r="Y6">
        <v>39.5</v>
      </c>
      <c r="Z6">
        <v>38</v>
      </c>
      <c r="AA6">
        <v>0</v>
      </c>
      <c r="AB6" t="s">
        <v>18</v>
      </c>
      <c r="AC6">
        <v>70.5</v>
      </c>
      <c r="AD6">
        <v>73</v>
      </c>
      <c r="AE6">
        <v>72</v>
      </c>
      <c r="AF6">
        <v>76</v>
      </c>
      <c r="AG6">
        <v>75</v>
      </c>
      <c r="AH6">
        <v>0</v>
      </c>
      <c r="AI6">
        <v>0</v>
      </c>
      <c r="AJ6" t="s">
        <v>19</v>
      </c>
      <c r="AK6">
        <v>20</v>
      </c>
      <c r="AL6">
        <v>20</v>
      </c>
      <c r="AM6">
        <v>20</v>
      </c>
      <c r="AN6">
        <v>20</v>
      </c>
      <c r="AO6" s="1">
        <f t="shared" si="1"/>
        <v>19.5</v>
      </c>
      <c r="AP6">
        <v>0</v>
      </c>
      <c r="AQ6" s="1">
        <f t="shared" si="2"/>
        <v>0</v>
      </c>
      <c r="AR6" s="1" t="s">
        <v>130</v>
      </c>
      <c r="AS6" s="1">
        <f t="shared" si="3"/>
        <v>91</v>
      </c>
      <c r="AT6" s="1">
        <f t="shared" si="4"/>
        <v>93</v>
      </c>
      <c r="AU6" s="1">
        <f t="shared" si="5"/>
        <v>92</v>
      </c>
      <c r="AV6" s="1">
        <f t="shared" si="6"/>
        <v>96</v>
      </c>
      <c r="AW6" s="1">
        <f t="shared" si="7"/>
        <v>95</v>
      </c>
      <c r="AX6" s="1">
        <f t="shared" si="8"/>
        <v>0</v>
      </c>
      <c r="AY6" s="1">
        <f t="shared" si="9"/>
        <v>0</v>
      </c>
      <c r="AZ6" t="s">
        <v>18</v>
      </c>
      <c r="BA6" t="s">
        <v>63</v>
      </c>
      <c r="BB6" t="s">
        <v>64</v>
      </c>
      <c r="BC6" t="s">
        <v>65</v>
      </c>
      <c r="BD6" t="s">
        <v>76</v>
      </c>
      <c r="BE6" t="s">
        <v>77</v>
      </c>
      <c r="BF6" t="s">
        <v>78</v>
      </c>
    </row>
    <row r="7" spans="1:58">
      <c r="A7">
        <v>6</v>
      </c>
      <c r="B7" t="s">
        <v>26</v>
      </c>
      <c r="C7">
        <v>15241</v>
      </c>
      <c r="D7" t="s">
        <v>32</v>
      </c>
      <c r="E7" t="s">
        <v>7</v>
      </c>
      <c r="F7">
        <v>22</v>
      </c>
      <c r="G7">
        <v>19</v>
      </c>
      <c r="H7">
        <v>19</v>
      </c>
      <c r="I7">
        <v>12</v>
      </c>
      <c r="J7">
        <v>18</v>
      </c>
      <c r="K7">
        <v>0</v>
      </c>
      <c r="L7">
        <v>24</v>
      </c>
      <c r="M7" t="s">
        <v>16</v>
      </c>
      <c r="N7">
        <v>22</v>
      </c>
      <c r="O7">
        <v>16</v>
      </c>
      <c r="P7">
        <v>17</v>
      </c>
      <c r="Q7">
        <v>11</v>
      </c>
      <c r="R7">
        <v>13</v>
      </c>
      <c r="S7">
        <v>0</v>
      </c>
      <c r="T7">
        <v>17</v>
      </c>
      <c r="U7" t="s">
        <v>17</v>
      </c>
      <c r="V7">
        <v>23.5</v>
      </c>
      <c r="W7">
        <v>16</v>
      </c>
      <c r="X7">
        <v>20</v>
      </c>
      <c r="Y7">
        <v>0</v>
      </c>
      <c r="Z7">
        <v>5</v>
      </c>
      <c r="AA7">
        <v>0</v>
      </c>
      <c r="AB7" t="s">
        <v>18</v>
      </c>
      <c r="AC7">
        <v>30</v>
      </c>
      <c r="AD7">
        <v>25</v>
      </c>
      <c r="AE7">
        <v>22</v>
      </c>
      <c r="AF7">
        <v>36</v>
      </c>
      <c r="AG7">
        <v>34.5</v>
      </c>
      <c r="AH7">
        <v>0</v>
      </c>
      <c r="AI7">
        <v>38</v>
      </c>
      <c r="AJ7" t="s">
        <v>19</v>
      </c>
      <c r="AK7">
        <v>20</v>
      </c>
      <c r="AL7">
        <v>7</v>
      </c>
      <c r="AM7" t="s">
        <v>8</v>
      </c>
      <c r="AN7">
        <v>18</v>
      </c>
      <c r="AO7" s="1">
        <f t="shared" si="1"/>
        <v>6</v>
      </c>
      <c r="AP7">
        <v>0</v>
      </c>
      <c r="AQ7" s="1">
        <f t="shared" si="2"/>
        <v>18</v>
      </c>
      <c r="AR7" s="1" t="s">
        <v>130</v>
      </c>
      <c r="AS7" s="1">
        <f t="shared" si="3"/>
        <v>50</v>
      </c>
      <c r="AT7" s="1">
        <f t="shared" si="4"/>
        <v>32</v>
      </c>
      <c r="AU7" s="1">
        <f t="shared" si="5"/>
        <v>22</v>
      </c>
      <c r="AV7" s="1">
        <f t="shared" si="6"/>
        <v>54</v>
      </c>
      <c r="AW7" s="1">
        <f t="shared" si="7"/>
        <v>41</v>
      </c>
      <c r="AX7" s="1">
        <f t="shared" si="8"/>
        <v>0</v>
      </c>
      <c r="AY7" s="1">
        <f t="shared" si="9"/>
        <v>56</v>
      </c>
      <c r="AZ7" t="s">
        <v>18</v>
      </c>
      <c r="BA7" t="s">
        <v>63</v>
      </c>
      <c r="BB7" t="s">
        <v>64</v>
      </c>
      <c r="BC7" t="s">
        <v>65</v>
      </c>
      <c r="BD7" t="s">
        <v>79</v>
      </c>
      <c r="BE7" t="s">
        <v>80</v>
      </c>
      <c r="BF7" t="s">
        <v>81</v>
      </c>
    </row>
    <row r="8" spans="1:58">
      <c r="A8">
        <v>7</v>
      </c>
      <c r="B8" t="s">
        <v>26</v>
      </c>
      <c r="C8">
        <v>18284</v>
      </c>
      <c r="D8" t="s">
        <v>33</v>
      </c>
      <c r="E8" t="s">
        <v>7</v>
      </c>
      <c r="F8">
        <v>32.5</v>
      </c>
      <c r="G8">
        <v>28</v>
      </c>
      <c r="H8">
        <v>32</v>
      </c>
      <c r="I8">
        <v>31</v>
      </c>
      <c r="J8">
        <v>26</v>
      </c>
      <c r="K8">
        <v>0</v>
      </c>
      <c r="L8">
        <v>0</v>
      </c>
      <c r="M8" t="s">
        <v>16</v>
      </c>
      <c r="N8">
        <v>30</v>
      </c>
      <c r="O8">
        <v>32</v>
      </c>
      <c r="P8">
        <v>35</v>
      </c>
      <c r="Q8">
        <v>29</v>
      </c>
      <c r="R8">
        <v>32</v>
      </c>
      <c r="S8">
        <v>0</v>
      </c>
      <c r="T8">
        <v>0</v>
      </c>
      <c r="U8" t="s">
        <v>17</v>
      </c>
      <c r="V8">
        <v>32.5</v>
      </c>
      <c r="W8">
        <v>28</v>
      </c>
      <c r="X8">
        <v>35</v>
      </c>
      <c r="Y8">
        <v>36</v>
      </c>
      <c r="Z8">
        <v>25</v>
      </c>
      <c r="AA8">
        <v>0</v>
      </c>
      <c r="AB8" t="s">
        <v>18</v>
      </c>
      <c r="AC8">
        <v>66</v>
      </c>
      <c r="AD8">
        <v>48</v>
      </c>
      <c r="AE8">
        <v>60</v>
      </c>
      <c r="AF8">
        <v>67</v>
      </c>
      <c r="AG8">
        <v>45.5</v>
      </c>
      <c r="AH8">
        <v>0</v>
      </c>
      <c r="AI8">
        <v>0</v>
      </c>
      <c r="AJ8" t="s">
        <v>19</v>
      </c>
      <c r="AK8">
        <v>19</v>
      </c>
      <c r="AL8">
        <v>17</v>
      </c>
      <c r="AM8">
        <v>20</v>
      </c>
      <c r="AN8">
        <v>20</v>
      </c>
      <c r="AO8" s="1">
        <f t="shared" si="1"/>
        <v>14</v>
      </c>
      <c r="AP8">
        <v>0</v>
      </c>
      <c r="AQ8" s="1">
        <f t="shared" si="2"/>
        <v>0</v>
      </c>
      <c r="AR8" s="1" t="s">
        <v>130</v>
      </c>
      <c r="AS8" s="1">
        <f t="shared" si="3"/>
        <v>85</v>
      </c>
      <c r="AT8" s="1">
        <f t="shared" si="4"/>
        <v>65</v>
      </c>
      <c r="AU8" s="1">
        <f t="shared" si="5"/>
        <v>80</v>
      </c>
      <c r="AV8" s="1">
        <f t="shared" si="6"/>
        <v>87</v>
      </c>
      <c r="AW8" s="1">
        <f t="shared" si="7"/>
        <v>60</v>
      </c>
      <c r="AX8" s="1">
        <f t="shared" si="8"/>
        <v>0</v>
      </c>
      <c r="AY8" s="1">
        <f t="shared" si="9"/>
        <v>0</v>
      </c>
      <c r="AZ8" t="s">
        <v>18</v>
      </c>
      <c r="BA8" t="s">
        <v>63</v>
      </c>
      <c r="BB8" t="s">
        <v>64</v>
      </c>
      <c r="BC8" t="s">
        <v>65</v>
      </c>
      <c r="BD8" t="s">
        <v>82</v>
      </c>
      <c r="BE8" t="s">
        <v>83</v>
      </c>
      <c r="BF8" t="s">
        <v>74</v>
      </c>
    </row>
    <row r="9" spans="1:58">
      <c r="A9">
        <v>8</v>
      </c>
      <c r="B9" t="s">
        <v>26</v>
      </c>
      <c r="C9">
        <v>14453</v>
      </c>
      <c r="D9" t="s">
        <v>34</v>
      </c>
      <c r="E9" t="s">
        <v>7</v>
      </c>
      <c r="F9">
        <v>37</v>
      </c>
      <c r="G9">
        <v>39</v>
      </c>
      <c r="H9">
        <v>28</v>
      </c>
      <c r="I9">
        <v>30</v>
      </c>
      <c r="J9">
        <v>37</v>
      </c>
      <c r="K9">
        <v>0</v>
      </c>
      <c r="L9">
        <v>0</v>
      </c>
      <c r="M9" t="s">
        <v>16</v>
      </c>
      <c r="N9">
        <v>34</v>
      </c>
      <c r="O9">
        <v>36</v>
      </c>
      <c r="P9">
        <v>37</v>
      </c>
      <c r="Q9">
        <v>29</v>
      </c>
      <c r="R9">
        <v>36</v>
      </c>
      <c r="S9">
        <v>0</v>
      </c>
      <c r="T9">
        <v>0</v>
      </c>
      <c r="U9" t="s">
        <v>17</v>
      </c>
      <c r="V9">
        <v>36</v>
      </c>
      <c r="W9">
        <v>39</v>
      </c>
      <c r="X9">
        <v>37</v>
      </c>
      <c r="Y9">
        <v>35</v>
      </c>
      <c r="Z9">
        <v>39</v>
      </c>
      <c r="AA9">
        <v>0</v>
      </c>
      <c r="AB9" t="s">
        <v>18</v>
      </c>
      <c r="AC9">
        <v>61.5</v>
      </c>
      <c r="AD9">
        <v>73</v>
      </c>
      <c r="AE9">
        <v>68</v>
      </c>
      <c r="AF9">
        <v>70</v>
      </c>
      <c r="AG9">
        <v>73</v>
      </c>
      <c r="AH9">
        <v>0</v>
      </c>
      <c r="AI9">
        <v>0</v>
      </c>
      <c r="AJ9" t="s">
        <v>19</v>
      </c>
      <c r="AK9">
        <v>19.5</v>
      </c>
      <c r="AL9">
        <v>20</v>
      </c>
      <c r="AM9">
        <v>20</v>
      </c>
      <c r="AN9">
        <v>20</v>
      </c>
      <c r="AO9" s="1">
        <f t="shared" si="1"/>
        <v>19</v>
      </c>
      <c r="AP9">
        <v>0</v>
      </c>
      <c r="AQ9" s="1">
        <f t="shared" si="2"/>
        <v>0</v>
      </c>
      <c r="AR9" s="1" t="s">
        <v>130</v>
      </c>
      <c r="AS9" s="1">
        <f t="shared" si="3"/>
        <v>81</v>
      </c>
      <c r="AT9" s="1">
        <f t="shared" si="4"/>
        <v>93</v>
      </c>
      <c r="AU9" s="1">
        <f t="shared" si="5"/>
        <v>88</v>
      </c>
      <c r="AV9" s="1">
        <f t="shared" si="6"/>
        <v>90</v>
      </c>
      <c r="AW9" s="1">
        <f t="shared" si="7"/>
        <v>92</v>
      </c>
      <c r="AX9" s="1">
        <f t="shared" si="8"/>
        <v>0</v>
      </c>
      <c r="AY9" s="1">
        <f t="shared" si="9"/>
        <v>0</v>
      </c>
      <c r="AZ9" t="s">
        <v>18</v>
      </c>
      <c r="BA9" t="s">
        <v>63</v>
      </c>
      <c r="BB9" t="s">
        <v>64</v>
      </c>
      <c r="BC9" t="s">
        <v>65</v>
      </c>
      <c r="BD9" t="s">
        <v>84</v>
      </c>
      <c r="BE9" t="s">
        <v>85</v>
      </c>
      <c r="BF9" t="s">
        <v>86</v>
      </c>
    </row>
    <row r="10" spans="1:58">
      <c r="A10">
        <v>9</v>
      </c>
      <c r="B10" t="s">
        <v>26</v>
      </c>
      <c r="C10">
        <v>17594</v>
      </c>
      <c r="D10" t="s">
        <v>35</v>
      </c>
      <c r="E10" t="s">
        <v>7</v>
      </c>
      <c r="F10">
        <v>28</v>
      </c>
      <c r="G10">
        <v>20</v>
      </c>
      <c r="H10">
        <v>20</v>
      </c>
      <c r="I10">
        <v>18</v>
      </c>
      <c r="J10">
        <v>28</v>
      </c>
      <c r="K10">
        <v>0</v>
      </c>
      <c r="L10">
        <v>0</v>
      </c>
      <c r="M10" t="s">
        <v>16</v>
      </c>
      <c r="N10">
        <v>26.5</v>
      </c>
      <c r="O10">
        <v>21</v>
      </c>
      <c r="P10">
        <v>26</v>
      </c>
      <c r="Q10">
        <v>22</v>
      </c>
      <c r="R10">
        <v>26.5</v>
      </c>
      <c r="S10">
        <v>0</v>
      </c>
      <c r="T10">
        <v>0</v>
      </c>
      <c r="U10" t="s">
        <v>17</v>
      </c>
      <c r="V10">
        <v>25</v>
      </c>
      <c r="W10">
        <v>14</v>
      </c>
      <c r="X10">
        <v>15</v>
      </c>
      <c r="Y10">
        <v>22</v>
      </c>
      <c r="Z10">
        <v>15</v>
      </c>
      <c r="AA10">
        <v>0</v>
      </c>
      <c r="AB10" t="s">
        <v>18</v>
      </c>
      <c r="AC10">
        <v>0</v>
      </c>
      <c r="AD10">
        <v>36</v>
      </c>
      <c r="AE10">
        <v>45</v>
      </c>
      <c r="AF10" t="s">
        <v>8</v>
      </c>
      <c r="AG10" t="s">
        <v>56</v>
      </c>
      <c r="AH10">
        <v>0</v>
      </c>
      <c r="AI10">
        <v>0</v>
      </c>
      <c r="AJ10" t="s">
        <v>19</v>
      </c>
      <c r="AK10">
        <v>19</v>
      </c>
      <c r="AL10">
        <v>7</v>
      </c>
      <c r="AM10">
        <v>14</v>
      </c>
      <c r="AN10">
        <v>20</v>
      </c>
      <c r="AO10" s="1">
        <f t="shared" si="1"/>
        <v>12</v>
      </c>
      <c r="AP10">
        <v>0</v>
      </c>
      <c r="AQ10" s="1">
        <f t="shared" si="2"/>
        <v>0</v>
      </c>
      <c r="AR10" s="1" t="s">
        <v>130</v>
      </c>
      <c r="AS10" s="1">
        <f t="shared" si="3"/>
        <v>19</v>
      </c>
      <c r="AT10" s="1">
        <f t="shared" si="4"/>
        <v>43</v>
      </c>
      <c r="AU10" s="1">
        <f t="shared" si="5"/>
        <v>59</v>
      </c>
      <c r="AV10" s="1">
        <f t="shared" si="6"/>
        <v>20</v>
      </c>
      <c r="AW10" s="1">
        <f t="shared" si="7"/>
        <v>12</v>
      </c>
      <c r="AX10" s="1">
        <f t="shared" si="8"/>
        <v>0</v>
      </c>
      <c r="AY10" s="1">
        <f t="shared" si="9"/>
        <v>0</v>
      </c>
      <c r="AZ10" t="s">
        <v>18</v>
      </c>
      <c r="BA10" t="s">
        <v>63</v>
      </c>
      <c r="BB10" t="s">
        <v>64</v>
      </c>
      <c r="BC10" t="s">
        <v>65</v>
      </c>
      <c r="BD10" t="s">
        <v>87</v>
      </c>
      <c r="BE10" t="s">
        <v>88</v>
      </c>
      <c r="BF10" t="s">
        <v>89</v>
      </c>
    </row>
    <row r="11" spans="1:58">
      <c r="A11">
        <v>10</v>
      </c>
      <c r="B11" t="s">
        <v>26</v>
      </c>
      <c r="C11">
        <v>18311</v>
      </c>
      <c r="D11" t="s">
        <v>36</v>
      </c>
      <c r="E11" t="s">
        <v>7</v>
      </c>
      <c r="F11">
        <v>33</v>
      </c>
      <c r="G11">
        <v>24</v>
      </c>
      <c r="H11">
        <v>18</v>
      </c>
      <c r="I11">
        <v>18</v>
      </c>
      <c r="J11">
        <v>31.5</v>
      </c>
      <c r="K11">
        <v>0</v>
      </c>
      <c r="L11">
        <v>0</v>
      </c>
      <c r="M11" t="s">
        <v>16</v>
      </c>
      <c r="N11">
        <v>28.5</v>
      </c>
      <c r="O11">
        <v>23</v>
      </c>
      <c r="P11">
        <v>23</v>
      </c>
      <c r="Q11">
        <v>21</v>
      </c>
      <c r="R11">
        <v>18.5</v>
      </c>
      <c r="S11">
        <v>0</v>
      </c>
      <c r="T11">
        <v>0</v>
      </c>
      <c r="U11" t="s">
        <v>17</v>
      </c>
      <c r="V11">
        <v>32.5</v>
      </c>
      <c r="W11">
        <v>24</v>
      </c>
      <c r="X11">
        <v>18</v>
      </c>
      <c r="Y11">
        <v>23</v>
      </c>
      <c r="Z11">
        <v>30.5</v>
      </c>
      <c r="AA11">
        <v>0</v>
      </c>
      <c r="AB11" t="s">
        <v>18</v>
      </c>
      <c r="AC11">
        <v>59.5</v>
      </c>
      <c r="AD11">
        <v>48</v>
      </c>
      <c r="AE11">
        <v>40</v>
      </c>
      <c r="AF11">
        <v>46</v>
      </c>
      <c r="AG11">
        <v>47</v>
      </c>
      <c r="AH11">
        <v>0</v>
      </c>
      <c r="AI11">
        <v>0</v>
      </c>
      <c r="AJ11" t="s">
        <v>19</v>
      </c>
      <c r="AK11">
        <v>19.5</v>
      </c>
      <c r="AL11">
        <v>16</v>
      </c>
      <c r="AM11">
        <v>20</v>
      </c>
      <c r="AN11">
        <v>20</v>
      </c>
      <c r="AO11" s="1">
        <f t="shared" si="1"/>
        <v>13.5</v>
      </c>
      <c r="AP11">
        <v>0</v>
      </c>
      <c r="AQ11" s="1">
        <f t="shared" si="2"/>
        <v>0</v>
      </c>
      <c r="AR11" s="1" t="s">
        <v>130</v>
      </c>
      <c r="AS11" s="1">
        <f t="shared" si="3"/>
        <v>79</v>
      </c>
      <c r="AT11" s="1">
        <f t="shared" si="4"/>
        <v>64</v>
      </c>
      <c r="AU11" s="1">
        <f t="shared" si="5"/>
        <v>60</v>
      </c>
      <c r="AV11" s="1">
        <f t="shared" si="6"/>
        <v>66</v>
      </c>
      <c r="AW11" s="1">
        <f t="shared" si="7"/>
        <v>61</v>
      </c>
      <c r="AX11" s="1">
        <f t="shared" si="8"/>
        <v>0</v>
      </c>
      <c r="AY11" s="1">
        <f t="shared" si="9"/>
        <v>0</v>
      </c>
      <c r="AZ11" t="s">
        <v>18</v>
      </c>
      <c r="BA11" t="s">
        <v>63</v>
      </c>
      <c r="BB11" t="s">
        <v>64</v>
      </c>
      <c r="BC11" t="s">
        <v>65</v>
      </c>
      <c r="BD11" t="s">
        <v>76</v>
      </c>
      <c r="BE11" t="s">
        <v>90</v>
      </c>
      <c r="BF11" t="s">
        <v>74</v>
      </c>
    </row>
    <row r="12" spans="1:58">
      <c r="A12">
        <v>11</v>
      </c>
      <c r="B12" t="s">
        <v>26</v>
      </c>
      <c r="C12">
        <v>15239</v>
      </c>
      <c r="D12" t="s">
        <v>37</v>
      </c>
      <c r="E12" t="s">
        <v>7</v>
      </c>
      <c r="F12">
        <v>37.5</v>
      </c>
      <c r="G12">
        <v>37</v>
      </c>
      <c r="H12">
        <v>33</v>
      </c>
      <c r="I12">
        <v>38</v>
      </c>
      <c r="J12">
        <v>36</v>
      </c>
      <c r="K12">
        <v>0</v>
      </c>
      <c r="L12">
        <v>0</v>
      </c>
      <c r="M12" t="s">
        <v>16</v>
      </c>
      <c r="N12">
        <v>35.5</v>
      </c>
      <c r="O12">
        <v>36</v>
      </c>
      <c r="P12">
        <v>30</v>
      </c>
      <c r="Q12">
        <v>34</v>
      </c>
      <c r="R12">
        <v>39</v>
      </c>
      <c r="S12">
        <v>0</v>
      </c>
      <c r="T12">
        <v>0</v>
      </c>
      <c r="U12" t="s">
        <v>17</v>
      </c>
      <c r="V12">
        <v>31</v>
      </c>
      <c r="W12">
        <v>38</v>
      </c>
      <c r="X12">
        <v>35</v>
      </c>
      <c r="Y12">
        <v>28</v>
      </c>
      <c r="Z12">
        <v>33.5</v>
      </c>
      <c r="AA12">
        <v>0</v>
      </c>
      <c r="AB12" t="s">
        <v>18</v>
      </c>
      <c r="AC12">
        <v>64.5</v>
      </c>
      <c r="AD12">
        <v>63</v>
      </c>
      <c r="AE12">
        <v>58</v>
      </c>
      <c r="AF12">
        <v>66</v>
      </c>
      <c r="AG12">
        <v>54.5</v>
      </c>
      <c r="AH12">
        <v>0</v>
      </c>
      <c r="AI12">
        <v>0</v>
      </c>
      <c r="AJ12" t="s">
        <v>19</v>
      </c>
      <c r="AK12">
        <v>19</v>
      </c>
      <c r="AL12">
        <v>16</v>
      </c>
      <c r="AM12">
        <v>20</v>
      </c>
      <c r="AN12">
        <v>18</v>
      </c>
      <c r="AO12" s="1">
        <f t="shared" si="1"/>
        <v>18.5</v>
      </c>
      <c r="AP12">
        <v>0</v>
      </c>
      <c r="AQ12" s="1">
        <f t="shared" si="2"/>
        <v>0</v>
      </c>
      <c r="AR12" s="1" t="s">
        <v>130</v>
      </c>
      <c r="AS12" s="1">
        <f t="shared" si="3"/>
        <v>84</v>
      </c>
      <c r="AT12" s="1">
        <f t="shared" si="4"/>
        <v>79</v>
      </c>
      <c r="AU12" s="1">
        <f t="shared" si="5"/>
        <v>78</v>
      </c>
      <c r="AV12" s="1">
        <f t="shared" si="6"/>
        <v>84</v>
      </c>
      <c r="AW12" s="1">
        <f t="shared" si="7"/>
        <v>73</v>
      </c>
      <c r="AX12" s="1">
        <f t="shared" si="8"/>
        <v>0</v>
      </c>
      <c r="AY12" s="1">
        <f t="shared" si="9"/>
        <v>0</v>
      </c>
      <c r="AZ12" t="s">
        <v>18</v>
      </c>
      <c r="BA12" t="s">
        <v>63</v>
      </c>
      <c r="BB12" t="s">
        <v>64</v>
      </c>
      <c r="BC12" t="s">
        <v>65</v>
      </c>
      <c r="BD12" t="s">
        <v>91</v>
      </c>
      <c r="BE12" t="s">
        <v>92</v>
      </c>
      <c r="BF12" t="s">
        <v>93</v>
      </c>
    </row>
    <row r="13" spans="1:58">
      <c r="A13">
        <v>12</v>
      </c>
      <c r="B13" t="s">
        <v>26</v>
      </c>
      <c r="C13">
        <v>14338</v>
      </c>
      <c r="D13" t="s">
        <v>38</v>
      </c>
      <c r="E13" t="s">
        <v>7</v>
      </c>
      <c r="F13">
        <v>29</v>
      </c>
      <c r="G13">
        <v>23</v>
      </c>
      <c r="H13">
        <v>20</v>
      </c>
      <c r="I13">
        <v>18</v>
      </c>
      <c r="J13">
        <v>27</v>
      </c>
      <c r="K13">
        <v>0</v>
      </c>
      <c r="L13">
        <v>0</v>
      </c>
      <c r="M13" t="s">
        <v>16</v>
      </c>
      <c r="N13">
        <v>20.5</v>
      </c>
      <c r="O13">
        <v>22</v>
      </c>
      <c r="P13">
        <v>30</v>
      </c>
      <c r="Q13">
        <v>18</v>
      </c>
      <c r="R13">
        <v>27</v>
      </c>
      <c r="S13">
        <v>0</v>
      </c>
      <c r="T13">
        <v>0</v>
      </c>
      <c r="U13" t="s">
        <v>17</v>
      </c>
      <c r="V13">
        <v>33</v>
      </c>
      <c r="W13">
        <v>20</v>
      </c>
      <c r="X13">
        <v>24</v>
      </c>
      <c r="Y13">
        <v>31</v>
      </c>
      <c r="Z13">
        <v>26</v>
      </c>
      <c r="AA13">
        <v>0</v>
      </c>
      <c r="AB13" t="s">
        <v>18</v>
      </c>
      <c r="AC13">
        <v>44</v>
      </c>
      <c r="AD13">
        <v>39</v>
      </c>
      <c r="AE13">
        <v>50</v>
      </c>
      <c r="AF13">
        <v>54</v>
      </c>
      <c r="AG13">
        <v>40</v>
      </c>
      <c r="AH13">
        <v>0</v>
      </c>
      <c r="AI13">
        <v>0</v>
      </c>
      <c r="AJ13" t="s">
        <v>19</v>
      </c>
      <c r="AK13">
        <v>19</v>
      </c>
      <c r="AL13">
        <v>18</v>
      </c>
      <c r="AM13">
        <v>15</v>
      </c>
      <c r="AN13">
        <v>15</v>
      </c>
      <c r="AO13" s="1">
        <f t="shared" si="1"/>
        <v>13.5</v>
      </c>
      <c r="AP13">
        <v>0</v>
      </c>
      <c r="AQ13" s="1">
        <f t="shared" si="2"/>
        <v>0</v>
      </c>
      <c r="AR13" s="1" t="s">
        <v>130</v>
      </c>
      <c r="AS13" s="1">
        <f t="shared" si="3"/>
        <v>63</v>
      </c>
      <c r="AT13" s="1">
        <f t="shared" si="4"/>
        <v>57</v>
      </c>
      <c r="AU13" s="1">
        <f t="shared" si="5"/>
        <v>65</v>
      </c>
      <c r="AV13" s="1">
        <f t="shared" si="6"/>
        <v>69</v>
      </c>
      <c r="AW13" s="1">
        <f t="shared" si="7"/>
        <v>54</v>
      </c>
      <c r="AX13" s="1">
        <f t="shared" si="8"/>
        <v>0</v>
      </c>
      <c r="AY13" s="1">
        <f t="shared" si="9"/>
        <v>0</v>
      </c>
      <c r="AZ13" t="s">
        <v>18</v>
      </c>
      <c r="BA13" t="s">
        <v>63</v>
      </c>
      <c r="BB13" t="s">
        <v>64</v>
      </c>
      <c r="BC13" t="s">
        <v>65</v>
      </c>
      <c r="BD13" t="s">
        <v>94</v>
      </c>
      <c r="BE13" t="s">
        <v>95</v>
      </c>
      <c r="BF13" t="s">
        <v>96</v>
      </c>
    </row>
    <row r="14" spans="1:58">
      <c r="A14">
        <v>13</v>
      </c>
      <c r="B14" t="s">
        <v>26</v>
      </c>
      <c r="C14">
        <v>15207</v>
      </c>
      <c r="D14" t="s">
        <v>39</v>
      </c>
      <c r="E14" t="s">
        <v>7</v>
      </c>
      <c r="F14">
        <v>34</v>
      </c>
      <c r="G14">
        <v>28</v>
      </c>
      <c r="H14">
        <v>21</v>
      </c>
      <c r="I14">
        <v>20</v>
      </c>
      <c r="J14">
        <v>29</v>
      </c>
      <c r="K14">
        <v>0</v>
      </c>
      <c r="L14">
        <v>0</v>
      </c>
      <c r="M14" t="s">
        <v>16</v>
      </c>
      <c r="N14">
        <v>28</v>
      </c>
      <c r="O14">
        <v>25</v>
      </c>
      <c r="P14">
        <v>23</v>
      </c>
      <c r="Q14">
        <v>13</v>
      </c>
      <c r="R14">
        <v>24</v>
      </c>
      <c r="S14">
        <v>0</v>
      </c>
      <c r="T14">
        <v>0</v>
      </c>
      <c r="U14" t="s">
        <v>17</v>
      </c>
      <c r="V14">
        <v>22.5</v>
      </c>
      <c r="W14">
        <v>29</v>
      </c>
      <c r="X14">
        <v>20</v>
      </c>
      <c r="Y14">
        <v>26</v>
      </c>
      <c r="Z14">
        <v>15</v>
      </c>
      <c r="AA14">
        <v>0</v>
      </c>
      <c r="AB14" t="s">
        <v>18</v>
      </c>
      <c r="AC14">
        <v>53</v>
      </c>
      <c r="AD14">
        <v>59</v>
      </c>
      <c r="AE14">
        <v>54</v>
      </c>
      <c r="AF14">
        <v>32</v>
      </c>
      <c r="AG14">
        <v>49.5</v>
      </c>
      <c r="AH14">
        <v>0</v>
      </c>
      <c r="AI14">
        <v>0</v>
      </c>
      <c r="AJ14" t="s">
        <v>19</v>
      </c>
      <c r="AK14">
        <v>19.5</v>
      </c>
      <c r="AL14">
        <v>18</v>
      </c>
      <c r="AM14">
        <v>18</v>
      </c>
      <c r="AN14">
        <v>18</v>
      </c>
      <c r="AO14" s="1">
        <f t="shared" si="1"/>
        <v>11.5</v>
      </c>
      <c r="AP14">
        <v>0</v>
      </c>
      <c r="AQ14" s="1">
        <f t="shared" si="2"/>
        <v>0</v>
      </c>
      <c r="AR14" s="1" t="s">
        <v>130</v>
      </c>
      <c r="AS14" s="1">
        <f t="shared" si="3"/>
        <v>73</v>
      </c>
      <c r="AT14" s="1">
        <f t="shared" si="4"/>
        <v>77</v>
      </c>
      <c r="AU14" s="1">
        <f t="shared" si="5"/>
        <v>72</v>
      </c>
      <c r="AV14" s="1">
        <f t="shared" si="6"/>
        <v>50</v>
      </c>
      <c r="AW14" s="1">
        <f t="shared" si="7"/>
        <v>61</v>
      </c>
      <c r="AX14" s="1">
        <f t="shared" si="8"/>
        <v>0</v>
      </c>
      <c r="AY14" s="1">
        <f t="shared" si="9"/>
        <v>0</v>
      </c>
      <c r="AZ14" t="s">
        <v>18</v>
      </c>
      <c r="BA14" t="s">
        <v>63</v>
      </c>
      <c r="BB14" t="s">
        <v>64</v>
      </c>
      <c r="BC14" t="s">
        <v>65</v>
      </c>
      <c r="BD14" t="s">
        <v>97</v>
      </c>
      <c r="BE14" t="s">
        <v>98</v>
      </c>
      <c r="BF14" t="s">
        <v>74</v>
      </c>
    </row>
    <row r="15" spans="1:58">
      <c r="A15">
        <v>14</v>
      </c>
      <c r="B15" t="s">
        <v>26</v>
      </c>
      <c r="C15">
        <v>14463</v>
      </c>
      <c r="D15" t="s">
        <v>40</v>
      </c>
      <c r="E15" t="s">
        <v>7</v>
      </c>
      <c r="F15">
        <v>33</v>
      </c>
      <c r="G15">
        <v>30</v>
      </c>
      <c r="H15">
        <v>27</v>
      </c>
      <c r="I15">
        <v>24</v>
      </c>
      <c r="J15">
        <v>21.5</v>
      </c>
      <c r="K15">
        <v>0</v>
      </c>
      <c r="L15">
        <v>32</v>
      </c>
      <c r="M15" t="s">
        <v>16</v>
      </c>
      <c r="N15">
        <v>35.5</v>
      </c>
      <c r="O15">
        <v>20</v>
      </c>
      <c r="P15">
        <v>32</v>
      </c>
      <c r="Q15">
        <v>33</v>
      </c>
      <c r="R15">
        <v>27</v>
      </c>
      <c r="S15">
        <v>0</v>
      </c>
      <c r="T15">
        <v>33</v>
      </c>
      <c r="U15" t="s">
        <v>17</v>
      </c>
      <c r="V15">
        <v>29.5</v>
      </c>
      <c r="W15">
        <v>28</v>
      </c>
      <c r="X15">
        <v>35</v>
      </c>
      <c r="Y15">
        <v>31</v>
      </c>
      <c r="Z15">
        <v>21.5</v>
      </c>
      <c r="AA15">
        <v>0</v>
      </c>
      <c r="AB15" t="s">
        <v>18</v>
      </c>
      <c r="AC15">
        <v>68.5</v>
      </c>
      <c r="AD15">
        <v>52</v>
      </c>
      <c r="AE15">
        <v>61</v>
      </c>
      <c r="AF15">
        <v>67</v>
      </c>
      <c r="AG15">
        <v>45</v>
      </c>
      <c r="AH15">
        <v>0</v>
      </c>
      <c r="AI15">
        <v>57</v>
      </c>
      <c r="AJ15" t="s">
        <v>19</v>
      </c>
      <c r="AK15">
        <v>20</v>
      </c>
      <c r="AL15">
        <v>20</v>
      </c>
      <c r="AM15">
        <v>20</v>
      </c>
      <c r="AN15">
        <v>20</v>
      </c>
      <c r="AO15" s="1">
        <f t="shared" si="1"/>
        <v>12</v>
      </c>
      <c r="AP15">
        <v>0</v>
      </c>
      <c r="AQ15" s="1">
        <f t="shared" si="2"/>
        <v>28</v>
      </c>
      <c r="AR15" s="1" t="s">
        <v>130</v>
      </c>
      <c r="AS15" s="1">
        <f t="shared" si="3"/>
        <v>89</v>
      </c>
      <c r="AT15" s="1">
        <f t="shared" si="4"/>
        <v>72</v>
      </c>
      <c r="AU15" s="1">
        <f t="shared" si="5"/>
        <v>81</v>
      </c>
      <c r="AV15" s="1">
        <f t="shared" si="6"/>
        <v>87</v>
      </c>
      <c r="AW15" s="1">
        <f t="shared" si="7"/>
        <v>57</v>
      </c>
      <c r="AX15" s="1">
        <f t="shared" si="8"/>
        <v>0</v>
      </c>
      <c r="AY15" s="1">
        <f t="shared" si="9"/>
        <v>85</v>
      </c>
      <c r="AZ15" t="s">
        <v>18</v>
      </c>
      <c r="BA15" t="s">
        <v>63</v>
      </c>
      <c r="BB15" t="s">
        <v>64</v>
      </c>
      <c r="BC15" t="s">
        <v>65</v>
      </c>
      <c r="BD15" t="s">
        <v>99</v>
      </c>
      <c r="BE15" t="s">
        <v>100</v>
      </c>
      <c r="BF15" t="s">
        <v>74</v>
      </c>
    </row>
    <row r="16" spans="1:58">
      <c r="A16">
        <v>15</v>
      </c>
      <c r="B16" t="s">
        <v>26</v>
      </c>
      <c r="C16">
        <v>14554</v>
      </c>
      <c r="D16" t="s">
        <v>41</v>
      </c>
      <c r="E16" t="s">
        <v>7</v>
      </c>
      <c r="F16">
        <v>20.5</v>
      </c>
      <c r="G16">
        <v>29</v>
      </c>
      <c r="H16">
        <v>15</v>
      </c>
      <c r="I16">
        <v>20</v>
      </c>
      <c r="J16">
        <v>14.5</v>
      </c>
      <c r="K16">
        <v>0</v>
      </c>
      <c r="L16">
        <v>28</v>
      </c>
      <c r="M16" t="s">
        <v>16</v>
      </c>
      <c r="N16">
        <v>20.5</v>
      </c>
      <c r="O16">
        <v>14</v>
      </c>
      <c r="P16">
        <v>22</v>
      </c>
      <c r="Q16">
        <v>11</v>
      </c>
      <c r="R16">
        <v>10.5</v>
      </c>
      <c r="S16">
        <v>0</v>
      </c>
      <c r="T16" t="s">
        <v>9</v>
      </c>
      <c r="U16" t="s">
        <v>17</v>
      </c>
      <c r="V16">
        <v>23.5</v>
      </c>
      <c r="W16">
        <v>21</v>
      </c>
      <c r="X16">
        <v>19</v>
      </c>
      <c r="Y16">
        <v>27</v>
      </c>
      <c r="Z16">
        <v>11.5</v>
      </c>
      <c r="AA16">
        <v>0</v>
      </c>
      <c r="AB16" t="s">
        <v>18</v>
      </c>
      <c r="AC16">
        <v>37.5</v>
      </c>
      <c r="AD16">
        <v>29</v>
      </c>
      <c r="AE16">
        <v>24</v>
      </c>
      <c r="AF16">
        <v>43</v>
      </c>
      <c r="AG16">
        <v>34.5</v>
      </c>
      <c r="AH16">
        <v>0</v>
      </c>
      <c r="AI16" t="s">
        <v>20</v>
      </c>
      <c r="AJ16" t="s">
        <v>19</v>
      </c>
      <c r="AK16">
        <v>18</v>
      </c>
      <c r="AL16">
        <v>19</v>
      </c>
      <c r="AM16">
        <v>18</v>
      </c>
      <c r="AN16">
        <v>18</v>
      </c>
      <c r="AO16" s="1">
        <f t="shared" si="1"/>
        <v>6.5</v>
      </c>
      <c r="AP16">
        <v>0</v>
      </c>
      <c r="AQ16" s="1">
        <f t="shared" si="2"/>
        <v>12</v>
      </c>
      <c r="AR16" s="1" t="s">
        <v>130</v>
      </c>
      <c r="AS16" s="1">
        <f t="shared" si="3"/>
        <v>56</v>
      </c>
      <c r="AT16" s="1">
        <f t="shared" si="4"/>
        <v>48</v>
      </c>
      <c r="AU16" s="1">
        <f t="shared" si="5"/>
        <v>42</v>
      </c>
      <c r="AV16" s="1">
        <f t="shared" si="6"/>
        <v>61</v>
      </c>
      <c r="AW16" s="1">
        <f t="shared" si="7"/>
        <v>41</v>
      </c>
      <c r="AX16" s="1">
        <f t="shared" si="8"/>
        <v>0</v>
      </c>
      <c r="AY16" s="1">
        <f t="shared" si="9"/>
        <v>12</v>
      </c>
      <c r="AZ16" t="s">
        <v>18</v>
      </c>
      <c r="BA16" t="s">
        <v>63</v>
      </c>
      <c r="BB16" t="s">
        <v>64</v>
      </c>
      <c r="BC16" t="s">
        <v>65</v>
      </c>
      <c r="BD16" t="s">
        <v>101</v>
      </c>
      <c r="BE16" t="s">
        <v>102</v>
      </c>
      <c r="BF16" t="s">
        <v>103</v>
      </c>
    </row>
    <row r="17" spans="1:58">
      <c r="A17">
        <v>16</v>
      </c>
      <c r="B17" t="s">
        <v>26</v>
      </c>
      <c r="C17">
        <v>18467</v>
      </c>
      <c r="D17" t="s">
        <v>42</v>
      </c>
      <c r="E17" t="s">
        <v>7</v>
      </c>
      <c r="F17">
        <v>21.5</v>
      </c>
      <c r="G17">
        <v>25</v>
      </c>
      <c r="H17">
        <v>14</v>
      </c>
      <c r="I17">
        <v>22</v>
      </c>
      <c r="J17">
        <v>19</v>
      </c>
      <c r="K17">
        <v>0</v>
      </c>
      <c r="L17">
        <v>0</v>
      </c>
      <c r="M17" t="s">
        <v>16</v>
      </c>
      <c r="N17">
        <v>26.5</v>
      </c>
      <c r="O17">
        <v>16</v>
      </c>
      <c r="P17">
        <v>14</v>
      </c>
      <c r="Q17">
        <v>13</v>
      </c>
      <c r="R17">
        <v>13</v>
      </c>
      <c r="S17">
        <v>0</v>
      </c>
      <c r="T17">
        <v>0</v>
      </c>
      <c r="U17" t="s">
        <v>17</v>
      </c>
      <c r="V17">
        <v>25</v>
      </c>
      <c r="W17">
        <v>28</v>
      </c>
      <c r="X17">
        <v>17</v>
      </c>
      <c r="Y17">
        <v>26</v>
      </c>
      <c r="Z17">
        <v>20.5</v>
      </c>
      <c r="AA17">
        <v>0</v>
      </c>
      <c r="AB17" t="s">
        <v>18</v>
      </c>
      <c r="AC17">
        <v>41.5</v>
      </c>
      <c r="AD17">
        <v>32</v>
      </c>
      <c r="AE17">
        <v>41</v>
      </c>
      <c r="AF17">
        <v>32</v>
      </c>
      <c r="AG17">
        <v>27</v>
      </c>
      <c r="AH17">
        <v>0</v>
      </c>
      <c r="AI17">
        <v>0</v>
      </c>
      <c r="AJ17" t="s">
        <v>19</v>
      </c>
      <c r="AK17">
        <v>20</v>
      </c>
      <c r="AL17">
        <v>12</v>
      </c>
      <c r="AM17">
        <v>16</v>
      </c>
      <c r="AN17">
        <v>18</v>
      </c>
      <c r="AO17" s="1">
        <f t="shared" si="1"/>
        <v>9</v>
      </c>
      <c r="AP17">
        <v>0</v>
      </c>
      <c r="AQ17" s="1">
        <f t="shared" si="2"/>
        <v>0</v>
      </c>
      <c r="AR17" s="1" t="s">
        <v>130</v>
      </c>
      <c r="AS17" s="1">
        <f t="shared" si="3"/>
        <v>62</v>
      </c>
      <c r="AT17" s="1">
        <f t="shared" si="4"/>
        <v>44</v>
      </c>
      <c r="AU17" s="1">
        <f t="shared" si="5"/>
        <v>57</v>
      </c>
      <c r="AV17" s="1">
        <f t="shared" si="6"/>
        <v>50</v>
      </c>
      <c r="AW17" s="1">
        <f t="shared" si="7"/>
        <v>36</v>
      </c>
      <c r="AX17" s="1">
        <f t="shared" si="8"/>
        <v>0</v>
      </c>
      <c r="AY17" s="1">
        <f t="shared" si="9"/>
        <v>0</v>
      </c>
      <c r="AZ17" t="s">
        <v>18</v>
      </c>
      <c r="BA17" t="s">
        <v>63</v>
      </c>
      <c r="BB17" t="s">
        <v>64</v>
      </c>
      <c r="BC17" t="s">
        <v>65</v>
      </c>
      <c r="BD17" t="s">
        <v>104</v>
      </c>
      <c r="BE17" t="s">
        <v>105</v>
      </c>
      <c r="BF17" t="s">
        <v>74</v>
      </c>
    </row>
    <row r="18" spans="1:58">
      <c r="A18">
        <v>17</v>
      </c>
      <c r="B18" t="s">
        <v>26</v>
      </c>
      <c r="C18">
        <v>18278</v>
      </c>
      <c r="D18" t="s">
        <v>43</v>
      </c>
      <c r="E18" t="s">
        <v>7</v>
      </c>
      <c r="F18">
        <v>31</v>
      </c>
      <c r="G18">
        <v>36</v>
      </c>
      <c r="H18">
        <v>29</v>
      </c>
      <c r="I18">
        <v>27</v>
      </c>
      <c r="J18">
        <v>33.5</v>
      </c>
      <c r="K18">
        <v>0</v>
      </c>
      <c r="L18">
        <v>0</v>
      </c>
      <c r="M18" t="s">
        <v>16</v>
      </c>
      <c r="N18" t="s">
        <v>8</v>
      </c>
      <c r="O18" t="s">
        <v>8</v>
      </c>
      <c r="P18" t="s">
        <v>8</v>
      </c>
      <c r="Q18" t="s">
        <v>8</v>
      </c>
      <c r="R18" t="s">
        <v>8</v>
      </c>
      <c r="S18">
        <v>0</v>
      </c>
      <c r="T18">
        <v>0</v>
      </c>
      <c r="U18" t="s">
        <v>17</v>
      </c>
      <c r="V18">
        <v>30.5</v>
      </c>
      <c r="W18">
        <v>36</v>
      </c>
      <c r="X18">
        <v>35</v>
      </c>
      <c r="Y18">
        <v>29</v>
      </c>
      <c r="Z18">
        <v>29</v>
      </c>
      <c r="AA18">
        <v>0</v>
      </c>
      <c r="AB18" t="s">
        <v>18</v>
      </c>
      <c r="AC18">
        <v>52.5</v>
      </c>
      <c r="AD18">
        <v>73</v>
      </c>
      <c r="AE18">
        <v>65</v>
      </c>
      <c r="AF18">
        <v>67</v>
      </c>
      <c r="AG18">
        <v>71</v>
      </c>
      <c r="AH18">
        <v>0</v>
      </c>
      <c r="AI18">
        <v>0</v>
      </c>
      <c r="AJ18" t="s">
        <v>19</v>
      </c>
      <c r="AK18">
        <v>20</v>
      </c>
      <c r="AL18">
        <v>18</v>
      </c>
      <c r="AM18">
        <v>20</v>
      </c>
      <c r="AN18">
        <v>20</v>
      </c>
      <c r="AO18" s="1">
        <f t="shared" si="1"/>
        <v>10.5</v>
      </c>
      <c r="AP18">
        <v>0</v>
      </c>
      <c r="AQ18" s="1">
        <f t="shared" si="2"/>
        <v>0</v>
      </c>
      <c r="AR18" s="1" t="s">
        <v>130</v>
      </c>
      <c r="AS18" s="1">
        <f t="shared" si="3"/>
        <v>73</v>
      </c>
      <c r="AT18" s="1">
        <f t="shared" si="4"/>
        <v>91</v>
      </c>
      <c r="AU18" s="1">
        <f t="shared" si="5"/>
        <v>85</v>
      </c>
      <c r="AV18" s="1">
        <f t="shared" si="6"/>
        <v>87</v>
      </c>
      <c r="AW18" s="1">
        <f t="shared" si="7"/>
        <v>82</v>
      </c>
      <c r="AX18" s="1">
        <f t="shared" si="8"/>
        <v>0</v>
      </c>
      <c r="AY18" s="1">
        <f t="shared" si="9"/>
        <v>0</v>
      </c>
      <c r="AZ18" t="s">
        <v>18</v>
      </c>
      <c r="BA18" t="s">
        <v>63</v>
      </c>
      <c r="BB18" t="s">
        <v>64</v>
      </c>
      <c r="BC18" t="s">
        <v>65</v>
      </c>
      <c r="BD18" t="s">
        <v>106</v>
      </c>
      <c r="BE18" t="s">
        <v>107</v>
      </c>
      <c r="BF18" t="s">
        <v>74</v>
      </c>
    </row>
    <row r="19" spans="1:58">
      <c r="A19">
        <v>18</v>
      </c>
      <c r="B19" t="s">
        <v>26</v>
      </c>
      <c r="C19">
        <v>18396</v>
      </c>
      <c r="D19" t="s">
        <v>44</v>
      </c>
      <c r="E19" t="s">
        <v>7</v>
      </c>
      <c r="F19">
        <v>30</v>
      </c>
      <c r="G19">
        <v>33</v>
      </c>
      <c r="H19">
        <v>30</v>
      </c>
      <c r="I19">
        <v>24</v>
      </c>
      <c r="J19">
        <v>34</v>
      </c>
      <c r="K19">
        <v>0</v>
      </c>
      <c r="L19">
        <v>0</v>
      </c>
      <c r="M19" t="s">
        <v>16</v>
      </c>
      <c r="N19">
        <v>35.5</v>
      </c>
      <c r="O19">
        <v>29</v>
      </c>
      <c r="P19">
        <v>39</v>
      </c>
      <c r="Q19">
        <v>29</v>
      </c>
      <c r="R19">
        <v>31.5</v>
      </c>
      <c r="S19">
        <v>0</v>
      </c>
      <c r="T19">
        <v>0</v>
      </c>
      <c r="U19" t="s">
        <v>17</v>
      </c>
      <c r="V19">
        <v>28.5</v>
      </c>
      <c r="W19">
        <v>32</v>
      </c>
      <c r="X19">
        <v>37</v>
      </c>
      <c r="Y19">
        <v>38</v>
      </c>
      <c r="Z19">
        <v>28.5</v>
      </c>
      <c r="AA19">
        <v>0</v>
      </c>
      <c r="AB19" t="s">
        <v>18</v>
      </c>
      <c r="AC19">
        <v>46.5</v>
      </c>
      <c r="AD19">
        <v>57</v>
      </c>
      <c r="AE19">
        <v>66</v>
      </c>
      <c r="AF19">
        <v>68</v>
      </c>
      <c r="AG19">
        <v>58.5</v>
      </c>
      <c r="AH19">
        <v>0</v>
      </c>
      <c r="AI19">
        <v>0</v>
      </c>
      <c r="AJ19" t="s">
        <v>19</v>
      </c>
      <c r="AK19">
        <v>19</v>
      </c>
      <c r="AL19">
        <v>12</v>
      </c>
      <c r="AM19">
        <v>20</v>
      </c>
      <c r="AN19">
        <v>20</v>
      </c>
      <c r="AO19" s="1">
        <f t="shared" si="1"/>
        <v>16</v>
      </c>
      <c r="AP19">
        <v>0</v>
      </c>
      <c r="AQ19" s="1">
        <f t="shared" si="2"/>
        <v>0</v>
      </c>
      <c r="AR19" s="1" t="s">
        <v>130</v>
      </c>
      <c r="AS19" s="1">
        <f t="shared" si="3"/>
        <v>66</v>
      </c>
      <c r="AT19" s="1">
        <f t="shared" si="4"/>
        <v>69</v>
      </c>
      <c r="AU19" s="1">
        <f t="shared" si="5"/>
        <v>86</v>
      </c>
      <c r="AV19" s="1">
        <f t="shared" si="6"/>
        <v>88</v>
      </c>
      <c r="AW19" s="1">
        <f t="shared" si="7"/>
        <v>75</v>
      </c>
      <c r="AX19" s="1">
        <f t="shared" si="8"/>
        <v>0</v>
      </c>
      <c r="AY19" s="1">
        <f t="shared" si="9"/>
        <v>0</v>
      </c>
      <c r="AZ19" t="s">
        <v>18</v>
      </c>
      <c r="BA19" t="s">
        <v>63</v>
      </c>
      <c r="BB19" t="s">
        <v>64</v>
      </c>
      <c r="BC19" t="s">
        <v>65</v>
      </c>
      <c r="BD19" t="s">
        <v>79</v>
      </c>
      <c r="BE19" t="s">
        <v>108</v>
      </c>
      <c r="BF19" t="s">
        <v>109</v>
      </c>
    </row>
    <row r="20" spans="1:58">
      <c r="A20">
        <v>19</v>
      </c>
      <c r="B20" t="s">
        <v>26</v>
      </c>
      <c r="C20">
        <v>14436</v>
      </c>
      <c r="D20" t="s">
        <v>45</v>
      </c>
      <c r="E20" t="s">
        <v>7</v>
      </c>
      <c r="F20">
        <v>26.5</v>
      </c>
      <c r="G20">
        <v>21</v>
      </c>
      <c r="H20">
        <v>16</v>
      </c>
      <c r="I20">
        <v>17</v>
      </c>
      <c r="J20">
        <v>20</v>
      </c>
      <c r="K20">
        <v>0</v>
      </c>
      <c r="L20">
        <v>25</v>
      </c>
      <c r="M20" t="s">
        <v>16</v>
      </c>
      <c r="N20">
        <v>22</v>
      </c>
      <c r="O20">
        <v>18</v>
      </c>
      <c r="P20">
        <v>26</v>
      </c>
      <c r="Q20">
        <v>26</v>
      </c>
      <c r="R20">
        <v>18</v>
      </c>
      <c r="S20">
        <v>0</v>
      </c>
      <c r="T20" t="s">
        <v>9</v>
      </c>
      <c r="U20" t="s">
        <v>17</v>
      </c>
      <c r="V20">
        <v>22.5</v>
      </c>
      <c r="W20">
        <v>28</v>
      </c>
      <c r="X20">
        <v>27</v>
      </c>
      <c r="Y20">
        <v>18</v>
      </c>
      <c r="Z20">
        <v>20</v>
      </c>
      <c r="AA20">
        <v>0</v>
      </c>
      <c r="AB20" t="s">
        <v>18</v>
      </c>
      <c r="AC20">
        <v>0</v>
      </c>
      <c r="AD20">
        <v>39</v>
      </c>
      <c r="AE20">
        <v>42</v>
      </c>
      <c r="AF20" t="s">
        <v>20</v>
      </c>
      <c r="AG20" t="s">
        <v>56</v>
      </c>
      <c r="AH20">
        <v>0</v>
      </c>
      <c r="AI20">
        <v>49</v>
      </c>
      <c r="AJ20" t="s">
        <v>19</v>
      </c>
      <c r="AK20">
        <v>20</v>
      </c>
      <c r="AL20">
        <v>8</v>
      </c>
      <c r="AM20" t="s">
        <v>8</v>
      </c>
      <c r="AN20">
        <v>15</v>
      </c>
      <c r="AO20" s="1">
        <f t="shared" si="1"/>
        <v>10</v>
      </c>
      <c r="AP20">
        <v>0</v>
      </c>
      <c r="AQ20" s="1">
        <f t="shared" si="2"/>
        <v>11</v>
      </c>
      <c r="AR20" s="1" t="s">
        <v>130</v>
      </c>
      <c r="AS20" s="1">
        <f t="shared" si="3"/>
        <v>20</v>
      </c>
      <c r="AT20" s="1">
        <f t="shared" si="4"/>
        <v>47</v>
      </c>
      <c r="AU20" s="1">
        <f t="shared" si="5"/>
        <v>42</v>
      </c>
      <c r="AV20" s="1">
        <f t="shared" si="6"/>
        <v>15</v>
      </c>
      <c r="AW20" s="1">
        <f t="shared" si="7"/>
        <v>10</v>
      </c>
      <c r="AX20" s="1">
        <f t="shared" si="8"/>
        <v>0</v>
      </c>
      <c r="AY20" s="1">
        <f t="shared" si="9"/>
        <v>60</v>
      </c>
      <c r="AZ20" t="s">
        <v>18</v>
      </c>
      <c r="BA20" t="s">
        <v>63</v>
      </c>
      <c r="BB20" t="s">
        <v>64</v>
      </c>
      <c r="BC20" t="s">
        <v>65</v>
      </c>
      <c r="BD20" t="s">
        <v>110</v>
      </c>
      <c r="BE20" t="s">
        <v>111</v>
      </c>
      <c r="BF20" t="s">
        <v>112</v>
      </c>
    </row>
    <row r="21" spans="1:58">
      <c r="A21">
        <v>20</v>
      </c>
      <c r="B21" t="s">
        <v>26</v>
      </c>
      <c r="C21">
        <v>18465</v>
      </c>
      <c r="D21" t="s">
        <v>46</v>
      </c>
      <c r="E21" t="s">
        <v>7</v>
      </c>
      <c r="F21">
        <v>35</v>
      </c>
      <c r="G21">
        <v>24</v>
      </c>
      <c r="H21">
        <v>9</v>
      </c>
      <c r="I21">
        <v>21</v>
      </c>
      <c r="J21">
        <v>23</v>
      </c>
      <c r="K21">
        <v>0</v>
      </c>
      <c r="L21">
        <v>0</v>
      </c>
      <c r="M21" t="s">
        <v>16</v>
      </c>
      <c r="N21">
        <v>20</v>
      </c>
      <c r="O21">
        <v>24</v>
      </c>
      <c r="P21">
        <v>24</v>
      </c>
      <c r="Q21">
        <v>8</v>
      </c>
      <c r="R21">
        <v>16.5</v>
      </c>
      <c r="S21">
        <v>0</v>
      </c>
      <c r="T21">
        <v>0</v>
      </c>
      <c r="U21" t="s">
        <v>17</v>
      </c>
      <c r="V21">
        <v>24</v>
      </c>
      <c r="W21">
        <v>22</v>
      </c>
      <c r="X21">
        <v>19</v>
      </c>
      <c r="Y21">
        <v>26</v>
      </c>
      <c r="Z21">
        <v>20.5</v>
      </c>
      <c r="AA21">
        <v>0</v>
      </c>
      <c r="AB21" t="s">
        <v>18</v>
      </c>
      <c r="AC21">
        <v>35</v>
      </c>
      <c r="AD21">
        <v>42</v>
      </c>
      <c r="AE21">
        <v>41</v>
      </c>
      <c r="AF21">
        <v>49</v>
      </c>
      <c r="AG21">
        <v>34.5</v>
      </c>
      <c r="AH21">
        <v>0</v>
      </c>
      <c r="AI21">
        <v>0</v>
      </c>
      <c r="AJ21" t="s">
        <v>19</v>
      </c>
      <c r="AK21">
        <v>19</v>
      </c>
      <c r="AL21">
        <v>18</v>
      </c>
      <c r="AM21">
        <v>18</v>
      </c>
      <c r="AN21">
        <v>20</v>
      </c>
      <c r="AO21" s="1">
        <f t="shared" si="1"/>
        <v>10</v>
      </c>
      <c r="AP21">
        <v>0</v>
      </c>
      <c r="AQ21" s="1">
        <f t="shared" si="2"/>
        <v>0</v>
      </c>
      <c r="AR21" s="1" t="s">
        <v>130</v>
      </c>
      <c r="AS21" s="1">
        <f t="shared" si="3"/>
        <v>54</v>
      </c>
      <c r="AT21" s="1">
        <f t="shared" si="4"/>
        <v>60</v>
      </c>
      <c r="AU21" s="1">
        <f t="shared" si="5"/>
        <v>59</v>
      </c>
      <c r="AV21" s="1">
        <f t="shared" si="6"/>
        <v>69</v>
      </c>
      <c r="AW21" s="1">
        <f t="shared" si="7"/>
        <v>45</v>
      </c>
      <c r="AX21" s="1">
        <f t="shared" si="8"/>
        <v>0</v>
      </c>
      <c r="AY21" s="1">
        <f t="shared" si="9"/>
        <v>0</v>
      </c>
      <c r="AZ21" t="s">
        <v>18</v>
      </c>
      <c r="BA21" t="s">
        <v>63</v>
      </c>
      <c r="BB21" t="s">
        <v>64</v>
      </c>
      <c r="BC21" t="s">
        <v>65</v>
      </c>
      <c r="BD21" t="s">
        <v>113</v>
      </c>
      <c r="BE21" t="s">
        <v>111</v>
      </c>
      <c r="BF21" t="s">
        <v>114</v>
      </c>
    </row>
    <row r="22" spans="1:58">
      <c r="A22">
        <v>21</v>
      </c>
      <c r="B22" t="s">
        <v>26</v>
      </c>
      <c r="C22">
        <v>18341</v>
      </c>
      <c r="D22" t="s">
        <v>47</v>
      </c>
      <c r="E22" t="s">
        <v>7</v>
      </c>
      <c r="F22">
        <v>32.5</v>
      </c>
      <c r="G22">
        <v>30</v>
      </c>
      <c r="H22">
        <v>36</v>
      </c>
      <c r="I22">
        <v>29</v>
      </c>
      <c r="J22">
        <v>21</v>
      </c>
      <c r="K22">
        <v>0</v>
      </c>
      <c r="L22">
        <v>0</v>
      </c>
      <c r="M22" t="s">
        <v>16</v>
      </c>
      <c r="N22">
        <v>32.5</v>
      </c>
      <c r="O22">
        <v>26</v>
      </c>
      <c r="P22">
        <v>33</v>
      </c>
      <c r="Q22">
        <v>22</v>
      </c>
      <c r="R22">
        <v>24.5</v>
      </c>
      <c r="S22">
        <v>0</v>
      </c>
      <c r="T22">
        <v>0</v>
      </c>
      <c r="U22" t="s">
        <v>17</v>
      </c>
      <c r="V22">
        <v>31</v>
      </c>
      <c r="W22">
        <v>28</v>
      </c>
      <c r="X22">
        <v>31</v>
      </c>
      <c r="Y22">
        <v>33</v>
      </c>
      <c r="Z22">
        <v>28</v>
      </c>
      <c r="AA22">
        <v>0</v>
      </c>
      <c r="AB22" t="s">
        <v>18</v>
      </c>
      <c r="AC22">
        <v>64.5</v>
      </c>
      <c r="AD22">
        <v>49</v>
      </c>
      <c r="AE22">
        <v>65</v>
      </c>
      <c r="AF22">
        <v>64</v>
      </c>
      <c r="AG22">
        <v>55</v>
      </c>
      <c r="AH22">
        <v>0</v>
      </c>
      <c r="AI22">
        <v>0</v>
      </c>
      <c r="AJ22" t="s">
        <v>19</v>
      </c>
      <c r="AK22">
        <v>20</v>
      </c>
      <c r="AL22">
        <v>18</v>
      </c>
      <c r="AM22" t="s">
        <v>8</v>
      </c>
      <c r="AN22">
        <v>20</v>
      </c>
      <c r="AO22" s="1">
        <f t="shared" si="1"/>
        <v>12.5</v>
      </c>
      <c r="AP22">
        <v>0</v>
      </c>
      <c r="AQ22" s="1">
        <f t="shared" si="2"/>
        <v>0</v>
      </c>
      <c r="AR22" s="1" t="s">
        <v>130</v>
      </c>
      <c r="AS22" s="1">
        <f t="shared" si="3"/>
        <v>85</v>
      </c>
      <c r="AT22" s="1">
        <f t="shared" si="4"/>
        <v>67</v>
      </c>
      <c r="AU22" s="1">
        <f t="shared" si="5"/>
        <v>65</v>
      </c>
      <c r="AV22" s="1">
        <f t="shared" si="6"/>
        <v>84</v>
      </c>
      <c r="AW22" s="1">
        <f t="shared" si="7"/>
        <v>68</v>
      </c>
      <c r="AX22" s="1">
        <f t="shared" si="8"/>
        <v>0</v>
      </c>
      <c r="AY22" s="1">
        <f t="shared" si="9"/>
        <v>0</v>
      </c>
      <c r="AZ22" t="s">
        <v>18</v>
      </c>
      <c r="BA22" t="s">
        <v>63</v>
      </c>
      <c r="BB22" t="s">
        <v>64</v>
      </c>
      <c r="BC22" t="s">
        <v>65</v>
      </c>
      <c r="BD22" t="s">
        <v>115</v>
      </c>
      <c r="BE22" t="s">
        <v>116</v>
      </c>
      <c r="BF22" t="s">
        <v>74</v>
      </c>
    </row>
    <row r="23" spans="1:58">
      <c r="A23">
        <v>22</v>
      </c>
      <c r="B23" t="s">
        <v>26</v>
      </c>
      <c r="C23">
        <v>18462</v>
      </c>
      <c r="D23" t="s">
        <v>48</v>
      </c>
      <c r="E23" t="s">
        <v>7</v>
      </c>
      <c r="F23">
        <v>32</v>
      </c>
      <c r="G23">
        <v>28</v>
      </c>
      <c r="H23">
        <v>33</v>
      </c>
      <c r="I23">
        <v>16</v>
      </c>
      <c r="J23">
        <v>26.5</v>
      </c>
      <c r="K23">
        <v>0</v>
      </c>
      <c r="L23">
        <v>0</v>
      </c>
      <c r="M23" t="s">
        <v>16</v>
      </c>
      <c r="N23">
        <v>27</v>
      </c>
      <c r="O23">
        <v>26</v>
      </c>
      <c r="P23">
        <v>37</v>
      </c>
      <c r="Q23">
        <v>21</v>
      </c>
      <c r="R23">
        <v>22</v>
      </c>
      <c r="S23">
        <v>0</v>
      </c>
      <c r="T23">
        <v>0</v>
      </c>
      <c r="U23" t="s">
        <v>17</v>
      </c>
      <c r="V23">
        <v>29.5</v>
      </c>
      <c r="W23">
        <v>33</v>
      </c>
      <c r="X23">
        <v>28</v>
      </c>
      <c r="Y23">
        <v>32</v>
      </c>
      <c r="Z23">
        <v>15</v>
      </c>
      <c r="AA23">
        <v>0</v>
      </c>
      <c r="AB23" t="s">
        <v>18</v>
      </c>
      <c r="AC23">
        <v>56.5</v>
      </c>
      <c r="AD23">
        <v>50</v>
      </c>
      <c r="AE23">
        <v>61</v>
      </c>
      <c r="AF23">
        <v>64</v>
      </c>
      <c r="AG23">
        <v>57.5</v>
      </c>
      <c r="AH23">
        <v>0</v>
      </c>
      <c r="AI23">
        <v>0</v>
      </c>
      <c r="AJ23" t="s">
        <v>19</v>
      </c>
      <c r="AK23">
        <v>19</v>
      </c>
      <c r="AL23">
        <v>20</v>
      </c>
      <c r="AM23">
        <v>20</v>
      </c>
      <c r="AN23">
        <v>19</v>
      </c>
      <c r="AO23" s="1">
        <f t="shared" si="1"/>
        <v>11</v>
      </c>
      <c r="AP23">
        <v>0</v>
      </c>
      <c r="AQ23" s="1">
        <f t="shared" si="2"/>
        <v>0</v>
      </c>
      <c r="AR23" s="1" t="s">
        <v>130</v>
      </c>
      <c r="AS23" s="1">
        <f t="shared" si="3"/>
        <v>76</v>
      </c>
      <c r="AT23" s="1">
        <f t="shared" si="4"/>
        <v>70</v>
      </c>
      <c r="AU23" s="1">
        <f t="shared" si="5"/>
        <v>81</v>
      </c>
      <c r="AV23" s="1">
        <f t="shared" si="6"/>
        <v>83</v>
      </c>
      <c r="AW23" s="1">
        <f t="shared" si="7"/>
        <v>69</v>
      </c>
      <c r="AX23" s="1">
        <f t="shared" si="8"/>
        <v>0</v>
      </c>
      <c r="AY23" s="1">
        <f t="shared" si="9"/>
        <v>0</v>
      </c>
      <c r="AZ23" t="s">
        <v>18</v>
      </c>
      <c r="BA23" t="s">
        <v>63</v>
      </c>
      <c r="BB23" t="s">
        <v>64</v>
      </c>
      <c r="BC23" t="s">
        <v>65</v>
      </c>
      <c r="BD23" t="s">
        <v>79</v>
      </c>
      <c r="BE23" t="s">
        <v>117</v>
      </c>
      <c r="BF23" t="s">
        <v>118</v>
      </c>
    </row>
    <row r="24" spans="1:58">
      <c r="A24">
        <v>23</v>
      </c>
      <c r="B24" t="s">
        <v>26</v>
      </c>
      <c r="C24">
        <v>14424</v>
      </c>
      <c r="D24" t="s">
        <v>49</v>
      </c>
      <c r="E24" t="s">
        <v>7</v>
      </c>
      <c r="F24">
        <v>24.5</v>
      </c>
      <c r="G24">
        <v>10</v>
      </c>
      <c r="H24">
        <v>10</v>
      </c>
      <c r="I24">
        <v>16</v>
      </c>
      <c r="J24">
        <v>15</v>
      </c>
      <c r="K24">
        <v>0</v>
      </c>
      <c r="L24">
        <v>0</v>
      </c>
      <c r="M24" t="s">
        <v>16</v>
      </c>
      <c r="N24">
        <v>15</v>
      </c>
      <c r="O24">
        <v>23</v>
      </c>
      <c r="P24">
        <v>22</v>
      </c>
      <c r="Q24">
        <v>12</v>
      </c>
      <c r="R24">
        <v>14</v>
      </c>
      <c r="S24">
        <v>0</v>
      </c>
      <c r="T24">
        <v>0</v>
      </c>
      <c r="U24" t="s">
        <v>17</v>
      </c>
      <c r="V24">
        <v>23</v>
      </c>
      <c r="W24">
        <v>28</v>
      </c>
      <c r="X24">
        <v>15</v>
      </c>
      <c r="Y24">
        <v>17</v>
      </c>
      <c r="Z24">
        <v>13.5</v>
      </c>
      <c r="AA24">
        <v>0</v>
      </c>
      <c r="AB24" t="s">
        <v>18</v>
      </c>
      <c r="AC24">
        <v>37.5</v>
      </c>
      <c r="AD24">
        <v>40</v>
      </c>
      <c r="AE24">
        <v>40</v>
      </c>
      <c r="AF24">
        <v>36</v>
      </c>
      <c r="AG24">
        <v>30.5</v>
      </c>
      <c r="AH24">
        <v>0</v>
      </c>
      <c r="AI24">
        <v>0</v>
      </c>
      <c r="AJ24" t="s">
        <v>19</v>
      </c>
      <c r="AK24">
        <v>15</v>
      </c>
      <c r="AL24">
        <v>11</v>
      </c>
      <c r="AM24" t="s">
        <v>8</v>
      </c>
      <c r="AN24">
        <v>15</v>
      </c>
      <c r="AO24" s="1">
        <f t="shared" si="1"/>
        <v>7.5</v>
      </c>
      <c r="AP24">
        <v>0</v>
      </c>
      <c r="AQ24" s="1">
        <f t="shared" si="2"/>
        <v>0</v>
      </c>
      <c r="AR24" s="1" t="s">
        <v>130</v>
      </c>
      <c r="AS24" s="1">
        <f t="shared" si="3"/>
        <v>53</v>
      </c>
      <c r="AT24" s="1">
        <f t="shared" si="4"/>
        <v>51</v>
      </c>
      <c r="AU24" s="1">
        <f t="shared" si="5"/>
        <v>40</v>
      </c>
      <c r="AV24" s="1">
        <f t="shared" si="6"/>
        <v>51</v>
      </c>
      <c r="AW24" s="1">
        <f t="shared" si="7"/>
        <v>38</v>
      </c>
      <c r="AX24" s="1">
        <f t="shared" si="8"/>
        <v>0</v>
      </c>
      <c r="AY24" s="1">
        <f t="shared" si="9"/>
        <v>0</v>
      </c>
      <c r="AZ24" t="s">
        <v>18</v>
      </c>
      <c r="BA24" t="s">
        <v>63</v>
      </c>
      <c r="BB24" t="s">
        <v>64</v>
      </c>
      <c r="BC24" t="s">
        <v>65</v>
      </c>
      <c r="BD24" t="s">
        <v>76</v>
      </c>
      <c r="BE24" t="s">
        <v>111</v>
      </c>
      <c r="BF24" t="s">
        <v>74</v>
      </c>
    </row>
    <row r="25" spans="1:58">
      <c r="A25">
        <v>24</v>
      </c>
      <c r="B25" t="s">
        <v>26</v>
      </c>
      <c r="C25">
        <v>16662</v>
      </c>
      <c r="D25" t="s">
        <v>50</v>
      </c>
      <c r="E25" t="s">
        <v>7</v>
      </c>
      <c r="F25">
        <v>33.5</v>
      </c>
      <c r="G25">
        <v>37</v>
      </c>
      <c r="H25">
        <v>37</v>
      </c>
      <c r="I25">
        <v>31</v>
      </c>
      <c r="J25">
        <v>35.5</v>
      </c>
      <c r="K25">
        <v>0</v>
      </c>
      <c r="L25">
        <v>0</v>
      </c>
      <c r="M25" t="s">
        <v>16</v>
      </c>
      <c r="N25">
        <v>28</v>
      </c>
      <c r="O25">
        <v>33</v>
      </c>
      <c r="P25">
        <v>39</v>
      </c>
      <c r="Q25">
        <v>33</v>
      </c>
      <c r="R25">
        <v>28.5</v>
      </c>
      <c r="S25">
        <v>0</v>
      </c>
      <c r="T25">
        <v>0</v>
      </c>
      <c r="U25" t="s">
        <v>17</v>
      </c>
      <c r="V25">
        <v>31.5</v>
      </c>
      <c r="W25">
        <v>37</v>
      </c>
      <c r="X25">
        <v>39</v>
      </c>
      <c r="Y25">
        <v>33</v>
      </c>
      <c r="Z25">
        <v>30</v>
      </c>
      <c r="AA25">
        <v>0</v>
      </c>
      <c r="AB25" t="s">
        <v>18</v>
      </c>
      <c r="AC25">
        <v>54.5</v>
      </c>
      <c r="AD25">
        <v>64</v>
      </c>
      <c r="AE25">
        <v>75</v>
      </c>
      <c r="AF25">
        <v>75</v>
      </c>
      <c r="AG25">
        <v>63.5</v>
      </c>
      <c r="AH25">
        <v>0</v>
      </c>
      <c r="AI25">
        <v>0</v>
      </c>
      <c r="AJ25" t="s">
        <v>19</v>
      </c>
      <c r="AK25">
        <v>18</v>
      </c>
      <c r="AL25">
        <v>19</v>
      </c>
      <c r="AM25">
        <v>20</v>
      </c>
      <c r="AN25">
        <v>20</v>
      </c>
      <c r="AO25" s="1">
        <f t="shared" si="1"/>
        <v>16</v>
      </c>
      <c r="AP25">
        <v>0</v>
      </c>
      <c r="AQ25" s="1">
        <f t="shared" si="2"/>
        <v>0</v>
      </c>
      <c r="AR25" s="1" t="s">
        <v>130</v>
      </c>
      <c r="AS25" s="1">
        <f t="shared" si="3"/>
        <v>73</v>
      </c>
      <c r="AT25" s="1">
        <f t="shared" si="4"/>
        <v>83</v>
      </c>
      <c r="AU25" s="1">
        <f t="shared" si="5"/>
        <v>95</v>
      </c>
      <c r="AV25" s="1">
        <f t="shared" si="6"/>
        <v>95</v>
      </c>
      <c r="AW25" s="1">
        <f t="shared" si="7"/>
        <v>80</v>
      </c>
      <c r="AX25" s="1">
        <f t="shared" si="8"/>
        <v>0</v>
      </c>
      <c r="AY25" s="1">
        <f t="shared" si="9"/>
        <v>0</v>
      </c>
      <c r="AZ25" t="s">
        <v>18</v>
      </c>
      <c r="BA25" t="s">
        <v>63</v>
      </c>
      <c r="BB25" t="s">
        <v>64</v>
      </c>
      <c r="BC25" t="s">
        <v>65</v>
      </c>
      <c r="BD25" t="s">
        <v>119</v>
      </c>
      <c r="BE25" t="s">
        <v>120</v>
      </c>
      <c r="BF25" t="s">
        <v>74</v>
      </c>
    </row>
    <row r="26" spans="1:58">
      <c r="A26">
        <v>25</v>
      </c>
      <c r="B26" t="s">
        <v>26</v>
      </c>
      <c r="C26">
        <v>14409</v>
      </c>
      <c r="D26" t="s">
        <v>51</v>
      </c>
      <c r="E26" t="s">
        <v>7</v>
      </c>
      <c r="F26">
        <v>39</v>
      </c>
      <c r="G26">
        <v>27</v>
      </c>
      <c r="H26">
        <v>24</v>
      </c>
      <c r="I26">
        <v>28</v>
      </c>
      <c r="J26">
        <v>31</v>
      </c>
      <c r="K26">
        <v>0</v>
      </c>
      <c r="L26">
        <v>0</v>
      </c>
      <c r="M26" t="s">
        <v>16</v>
      </c>
      <c r="N26">
        <v>34.5</v>
      </c>
      <c r="O26">
        <v>29</v>
      </c>
      <c r="P26">
        <v>35</v>
      </c>
      <c r="Q26">
        <v>23</v>
      </c>
      <c r="R26">
        <v>26</v>
      </c>
      <c r="S26">
        <v>0</v>
      </c>
      <c r="T26">
        <v>0</v>
      </c>
      <c r="U26" t="s">
        <v>17</v>
      </c>
      <c r="V26">
        <v>33.5</v>
      </c>
      <c r="W26">
        <v>28</v>
      </c>
      <c r="X26">
        <v>30</v>
      </c>
      <c r="Y26">
        <v>34</v>
      </c>
      <c r="Z26">
        <v>32</v>
      </c>
      <c r="AA26">
        <v>0</v>
      </c>
      <c r="AB26" t="s">
        <v>18</v>
      </c>
      <c r="AC26">
        <v>60.5</v>
      </c>
      <c r="AD26">
        <v>59</v>
      </c>
      <c r="AE26">
        <v>67</v>
      </c>
      <c r="AF26">
        <v>58</v>
      </c>
      <c r="AG26">
        <v>50</v>
      </c>
      <c r="AH26">
        <v>0</v>
      </c>
      <c r="AI26">
        <v>0</v>
      </c>
      <c r="AJ26" t="s">
        <v>19</v>
      </c>
      <c r="AK26">
        <v>20</v>
      </c>
      <c r="AL26">
        <v>17</v>
      </c>
      <c r="AM26">
        <v>19</v>
      </c>
      <c r="AN26">
        <v>20</v>
      </c>
      <c r="AO26" s="1">
        <f t="shared" si="1"/>
        <v>15</v>
      </c>
      <c r="AP26">
        <v>0</v>
      </c>
      <c r="AQ26" s="1">
        <f t="shared" si="2"/>
        <v>0</v>
      </c>
      <c r="AR26" s="1" t="s">
        <v>130</v>
      </c>
      <c r="AS26" s="1">
        <f t="shared" si="3"/>
        <v>81</v>
      </c>
      <c r="AT26" s="1">
        <f t="shared" si="4"/>
        <v>76</v>
      </c>
      <c r="AU26" s="1">
        <f t="shared" si="5"/>
        <v>86</v>
      </c>
      <c r="AV26" s="1">
        <f t="shared" si="6"/>
        <v>78</v>
      </c>
      <c r="AW26" s="1">
        <f t="shared" si="7"/>
        <v>65</v>
      </c>
      <c r="AX26" s="1">
        <f t="shared" si="8"/>
        <v>0</v>
      </c>
      <c r="AY26" s="1">
        <f t="shared" si="9"/>
        <v>0</v>
      </c>
      <c r="AZ26" t="s">
        <v>18</v>
      </c>
      <c r="BA26" t="s">
        <v>63</v>
      </c>
      <c r="BB26" t="s">
        <v>64</v>
      </c>
      <c r="BC26" t="s">
        <v>65</v>
      </c>
      <c r="BD26" t="s">
        <v>121</v>
      </c>
      <c r="BE26" t="s">
        <v>122</v>
      </c>
      <c r="BF26" t="s">
        <v>74</v>
      </c>
    </row>
    <row r="27" spans="1:58">
      <c r="A27">
        <v>26</v>
      </c>
      <c r="B27" t="s">
        <v>26</v>
      </c>
      <c r="C27">
        <v>14415</v>
      </c>
      <c r="D27" t="s">
        <v>52</v>
      </c>
      <c r="E27" t="s">
        <v>7</v>
      </c>
      <c r="F27">
        <v>37.5</v>
      </c>
      <c r="G27">
        <v>26</v>
      </c>
      <c r="H27">
        <v>24</v>
      </c>
      <c r="I27">
        <v>21</v>
      </c>
      <c r="J27">
        <v>20</v>
      </c>
      <c r="K27">
        <v>0</v>
      </c>
      <c r="L27">
        <v>0</v>
      </c>
      <c r="M27" t="s">
        <v>16</v>
      </c>
      <c r="N27">
        <v>32</v>
      </c>
      <c r="O27">
        <v>25</v>
      </c>
      <c r="P27">
        <v>27</v>
      </c>
      <c r="Q27">
        <v>21</v>
      </c>
      <c r="R27">
        <v>15</v>
      </c>
      <c r="S27">
        <v>0</v>
      </c>
      <c r="T27">
        <v>0</v>
      </c>
      <c r="U27" t="s">
        <v>17</v>
      </c>
      <c r="V27">
        <v>31</v>
      </c>
      <c r="W27">
        <v>32</v>
      </c>
      <c r="X27">
        <v>26</v>
      </c>
      <c r="Y27">
        <v>33</v>
      </c>
      <c r="Z27">
        <v>19</v>
      </c>
      <c r="AA27">
        <v>0</v>
      </c>
      <c r="AB27" t="s">
        <v>18</v>
      </c>
      <c r="AC27">
        <v>66.5</v>
      </c>
      <c r="AD27">
        <v>53</v>
      </c>
      <c r="AE27">
        <v>60</v>
      </c>
      <c r="AF27">
        <v>60</v>
      </c>
      <c r="AG27">
        <v>45</v>
      </c>
      <c r="AH27">
        <v>0</v>
      </c>
      <c r="AI27">
        <v>0</v>
      </c>
      <c r="AJ27" t="s">
        <v>19</v>
      </c>
      <c r="AK27">
        <v>20</v>
      </c>
      <c r="AL27">
        <v>18</v>
      </c>
      <c r="AM27">
        <v>19</v>
      </c>
      <c r="AN27">
        <v>20</v>
      </c>
      <c r="AO27" s="1">
        <f t="shared" si="1"/>
        <v>9</v>
      </c>
      <c r="AP27">
        <v>0</v>
      </c>
      <c r="AQ27" s="1">
        <f t="shared" si="2"/>
        <v>0</v>
      </c>
      <c r="AR27" s="1" t="s">
        <v>130</v>
      </c>
      <c r="AS27" s="1">
        <f t="shared" si="3"/>
        <v>87</v>
      </c>
      <c r="AT27" s="1">
        <f t="shared" si="4"/>
        <v>71</v>
      </c>
      <c r="AU27" s="1">
        <f t="shared" si="5"/>
        <v>79</v>
      </c>
      <c r="AV27" s="1">
        <f t="shared" si="6"/>
        <v>80</v>
      </c>
      <c r="AW27" s="1">
        <f t="shared" si="7"/>
        <v>54</v>
      </c>
      <c r="AX27" s="1">
        <f t="shared" si="8"/>
        <v>0</v>
      </c>
      <c r="AY27" s="1">
        <f t="shared" si="9"/>
        <v>0</v>
      </c>
      <c r="AZ27" t="s">
        <v>18</v>
      </c>
      <c r="BA27" t="s">
        <v>63</v>
      </c>
      <c r="BB27" t="s">
        <v>64</v>
      </c>
      <c r="BC27" t="s">
        <v>65</v>
      </c>
      <c r="BD27" t="s">
        <v>123</v>
      </c>
      <c r="BE27" t="s">
        <v>124</v>
      </c>
      <c r="BF27" t="s">
        <v>125</v>
      </c>
    </row>
    <row r="28" spans="1:58">
      <c r="A28">
        <v>27</v>
      </c>
      <c r="B28" t="s">
        <v>26</v>
      </c>
      <c r="C28">
        <v>16812</v>
      </c>
      <c r="D28" t="s">
        <v>53</v>
      </c>
      <c r="E28" t="s">
        <v>7</v>
      </c>
      <c r="F28">
        <v>32.5</v>
      </c>
      <c r="G28">
        <v>27</v>
      </c>
      <c r="H28">
        <v>30</v>
      </c>
      <c r="I28">
        <v>17</v>
      </c>
      <c r="J28">
        <v>18</v>
      </c>
      <c r="K28">
        <v>0</v>
      </c>
      <c r="L28">
        <v>0</v>
      </c>
      <c r="M28" t="s">
        <v>16</v>
      </c>
      <c r="N28">
        <v>32</v>
      </c>
      <c r="O28">
        <v>24</v>
      </c>
      <c r="P28">
        <v>25</v>
      </c>
      <c r="Q28">
        <v>16</v>
      </c>
      <c r="R28">
        <v>20</v>
      </c>
      <c r="S28">
        <v>0</v>
      </c>
      <c r="T28">
        <v>0</v>
      </c>
      <c r="U28" t="s">
        <v>17</v>
      </c>
      <c r="V28">
        <v>29</v>
      </c>
      <c r="W28">
        <v>28</v>
      </c>
      <c r="X28">
        <v>27</v>
      </c>
      <c r="Y28">
        <v>25</v>
      </c>
      <c r="Z28">
        <v>21.5</v>
      </c>
      <c r="AA28">
        <v>0</v>
      </c>
      <c r="AB28" t="s">
        <v>18</v>
      </c>
      <c r="AC28">
        <v>49</v>
      </c>
      <c r="AD28">
        <v>56</v>
      </c>
      <c r="AE28">
        <v>58</v>
      </c>
      <c r="AF28">
        <v>58</v>
      </c>
      <c r="AG28">
        <v>30.5</v>
      </c>
      <c r="AH28">
        <v>0</v>
      </c>
      <c r="AI28">
        <v>0</v>
      </c>
      <c r="AJ28" t="s">
        <v>19</v>
      </c>
      <c r="AK28">
        <v>19</v>
      </c>
      <c r="AL28">
        <v>17</v>
      </c>
      <c r="AM28">
        <v>19</v>
      </c>
      <c r="AN28">
        <v>15</v>
      </c>
      <c r="AO28" s="1">
        <f t="shared" si="1"/>
        <v>10</v>
      </c>
      <c r="AP28">
        <v>0</v>
      </c>
      <c r="AQ28" s="1">
        <f t="shared" si="2"/>
        <v>0</v>
      </c>
      <c r="AR28" s="1" t="s">
        <v>130</v>
      </c>
      <c r="AS28" s="1">
        <f t="shared" si="3"/>
        <v>68</v>
      </c>
      <c r="AT28" s="1">
        <f t="shared" si="4"/>
        <v>73</v>
      </c>
      <c r="AU28" s="1">
        <f t="shared" si="5"/>
        <v>77</v>
      </c>
      <c r="AV28" s="1">
        <f t="shared" si="6"/>
        <v>73</v>
      </c>
      <c r="AW28" s="1">
        <f t="shared" si="7"/>
        <v>41</v>
      </c>
      <c r="AX28" s="1">
        <f t="shared" si="8"/>
        <v>0</v>
      </c>
      <c r="AY28" s="1">
        <f t="shared" si="9"/>
        <v>0</v>
      </c>
      <c r="AZ28" t="s">
        <v>18</v>
      </c>
      <c r="BA28" t="s">
        <v>63</v>
      </c>
      <c r="BB28" t="s">
        <v>64</v>
      </c>
      <c r="BC28" t="s">
        <v>65</v>
      </c>
      <c r="BD28" t="s">
        <v>76</v>
      </c>
      <c r="BE28" t="s">
        <v>126</v>
      </c>
      <c r="BF28" t="s">
        <v>74</v>
      </c>
    </row>
    <row r="29" spans="1:58">
      <c r="A29">
        <v>28</v>
      </c>
      <c r="B29" t="s">
        <v>26</v>
      </c>
      <c r="C29">
        <v>14441</v>
      </c>
      <c r="D29" t="s">
        <v>54</v>
      </c>
      <c r="E29" t="s">
        <v>7</v>
      </c>
      <c r="F29">
        <v>31</v>
      </c>
      <c r="G29">
        <v>33</v>
      </c>
      <c r="H29">
        <v>25</v>
      </c>
      <c r="I29">
        <v>18</v>
      </c>
      <c r="J29">
        <v>18</v>
      </c>
      <c r="K29">
        <v>0</v>
      </c>
      <c r="L29">
        <v>0</v>
      </c>
      <c r="M29" t="s">
        <v>16</v>
      </c>
      <c r="N29">
        <v>22</v>
      </c>
      <c r="O29">
        <v>30</v>
      </c>
      <c r="P29">
        <v>35</v>
      </c>
      <c r="Q29">
        <v>26</v>
      </c>
      <c r="R29">
        <v>27.5</v>
      </c>
      <c r="S29">
        <v>0</v>
      </c>
      <c r="T29">
        <v>0</v>
      </c>
      <c r="U29" t="s">
        <v>17</v>
      </c>
      <c r="V29">
        <v>26.5</v>
      </c>
      <c r="W29">
        <v>30</v>
      </c>
      <c r="X29">
        <v>31</v>
      </c>
      <c r="Y29">
        <v>32</v>
      </c>
      <c r="Z29">
        <v>25.5</v>
      </c>
      <c r="AA29">
        <v>0</v>
      </c>
      <c r="AB29" t="s">
        <v>18</v>
      </c>
      <c r="AC29">
        <v>53</v>
      </c>
      <c r="AD29">
        <v>49</v>
      </c>
      <c r="AE29">
        <v>57</v>
      </c>
      <c r="AF29">
        <v>61</v>
      </c>
      <c r="AG29">
        <v>49.5</v>
      </c>
      <c r="AH29">
        <v>0</v>
      </c>
      <c r="AI29">
        <v>0</v>
      </c>
      <c r="AJ29" t="s">
        <v>19</v>
      </c>
      <c r="AK29">
        <v>18</v>
      </c>
      <c r="AL29">
        <v>19</v>
      </c>
      <c r="AM29">
        <v>20</v>
      </c>
      <c r="AN29">
        <v>20</v>
      </c>
      <c r="AO29" s="1">
        <f t="shared" si="1"/>
        <v>12</v>
      </c>
      <c r="AP29">
        <v>0</v>
      </c>
      <c r="AQ29" s="1">
        <f t="shared" si="2"/>
        <v>0</v>
      </c>
      <c r="AR29" s="1" t="s">
        <v>130</v>
      </c>
      <c r="AS29" s="1">
        <f t="shared" si="3"/>
        <v>71</v>
      </c>
      <c r="AT29" s="1">
        <f t="shared" si="4"/>
        <v>68</v>
      </c>
      <c r="AU29" s="1">
        <f t="shared" si="5"/>
        <v>77</v>
      </c>
      <c r="AV29" s="1">
        <f t="shared" si="6"/>
        <v>81</v>
      </c>
      <c r="AW29" s="1">
        <f t="shared" si="7"/>
        <v>62</v>
      </c>
      <c r="AX29" s="1">
        <f t="shared" si="8"/>
        <v>0</v>
      </c>
      <c r="AY29" s="1">
        <f t="shared" si="9"/>
        <v>0</v>
      </c>
      <c r="AZ29" t="s">
        <v>18</v>
      </c>
      <c r="BA29" t="s">
        <v>63</v>
      </c>
      <c r="BB29" t="s">
        <v>64</v>
      </c>
      <c r="BC29" t="s">
        <v>65</v>
      </c>
      <c r="BD29" t="s">
        <v>106</v>
      </c>
      <c r="BE29" t="s">
        <v>127</v>
      </c>
      <c r="BF29" t="s">
        <v>128</v>
      </c>
    </row>
    <row r="30" spans="1:58">
      <c r="A30">
        <v>29</v>
      </c>
      <c r="B30" t="s">
        <v>26</v>
      </c>
      <c r="C30">
        <v>16999</v>
      </c>
      <c r="D30" t="s">
        <v>55</v>
      </c>
      <c r="E30" t="s">
        <v>7</v>
      </c>
      <c r="F30">
        <v>26.5</v>
      </c>
      <c r="G30">
        <v>12</v>
      </c>
      <c r="H30">
        <v>10</v>
      </c>
      <c r="I30">
        <v>14</v>
      </c>
      <c r="J30">
        <v>0</v>
      </c>
      <c r="K30">
        <v>23</v>
      </c>
      <c r="L30">
        <v>0</v>
      </c>
      <c r="M30" t="s">
        <v>16</v>
      </c>
      <c r="N30">
        <v>18</v>
      </c>
      <c r="O30">
        <v>18</v>
      </c>
      <c r="P30">
        <v>27</v>
      </c>
      <c r="Q30">
        <v>15</v>
      </c>
      <c r="R30">
        <v>0</v>
      </c>
      <c r="S30">
        <v>31</v>
      </c>
      <c r="T30">
        <v>0</v>
      </c>
      <c r="U30" t="s">
        <v>17</v>
      </c>
      <c r="V30">
        <v>27</v>
      </c>
      <c r="W30">
        <v>25</v>
      </c>
      <c r="X30">
        <v>17</v>
      </c>
      <c r="Y30">
        <v>17</v>
      </c>
      <c r="Z30">
        <v>0</v>
      </c>
      <c r="AA30">
        <v>21</v>
      </c>
      <c r="AB30" t="s">
        <v>18</v>
      </c>
      <c r="AC30">
        <v>40</v>
      </c>
      <c r="AD30">
        <v>29</v>
      </c>
      <c r="AE30">
        <v>34</v>
      </c>
      <c r="AF30">
        <v>43</v>
      </c>
      <c r="AG30">
        <v>0</v>
      </c>
      <c r="AH30">
        <v>31</v>
      </c>
      <c r="AI30">
        <v>0</v>
      </c>
      <c r="AJ30" t="s">
        <v>19</v>
      </c>
      <c r="AK30">
        <v>19.5</v>
      </c>
      <c r="AL30">
        <v>8</v>
      </c>
      <c r="AM30">
        <v>20</v>
      </c>
      <c r="AN30">
        <v>20</v>
      </c>
      <c r="AO30" s="1">
        <f t="shared" si="1"/>
        <v>0</v>
      </c>
      <c r="AP30">
        <v>16</v>
      </c>
      <c r="AQ30" s="1">
        <f t="shared" si="2"/>
        <v>0</v>
      </c>
      <c r="AR30" s="1" t="s">
        <v>130</v>
      </c>
      <c r="AS30" s="1">
        <f t="shared" si="3"/>
        <v>60</v>
      </c>
      <c r="AT30" s="1">
        <f t="shared" si="4"/>
        <v>37</v>
      </c>
      <c r="AU30" s="1">
        <f t="shared" si="5"/>
        <v>54</v>
      </c>
      <c r="AV30" s="1">
        <f t="shared" si="6"/>
        <v>63</v>
      </c>
      <c r="AW30" s="1">
        <f t="shared" si="7"/>
        <v>0</v>
      </c>
      <c r="AX30" s="1">
        <f t="shared" si="8"/>
        <v>47</v>
      </c>
      <c r="AY30" s="1">
        <f t="shared" si="9"/>
        <v>0</v>
      </c>
      <c r="AZ30" t="s">
        <v>18</v>
      </c>
      <c r="BA30" t="s">
        <v>63</v>
      </c>
      <c r="BB30" t="s">
        <v>64</v>
      </c>
      <c r="BC30" t="s">
        <v>65</v>
      </c>
      <c r="BD30" t="s">
        <v>97</v>
      </c>
      <c r="BE30" t="s">
        <v>129</v>
      </c>
      <c r="BF30" t="s">
        <v>74</v>
      </c>
    </row>
    <row r="31" spans="1:58">
      <c r="AO31" s="2"/>
    </row>
    <row r="32" spans="1:58">
      <c r="A32" t="s">
        <v>10</v>
      </c>
    </row>
    <row r="33" spans="1:1">
      <c r="A33" t="s">
        <v>11</v>
      </c>
    </row>
    <row r="34" spans="1:1">
      <c r="A34" t="s">
        <v>12</v>
      </c>
    </row>
    <row r="35" spans="1:1">
      <c r="A35" t="s">
        <v>13</v>
      </c>
    </row>
    <row r="36" spans="1:1">
      <c r="A36" t="s">
        <v>14</v>
      </c>
    </row>
    <row r="37" spans="1:1">
      <c r="A37" t="s">
        <v>13</v>
      </c>
    </row>
    <row r="38" spans="1:1">
      <c r="A38" t="s">
        <v>13</v>
      </c>
    </row>
    <row r="39" spans="1:1">
      <c r="A39" t="s">
        <v>13</v>
      </c>
    </row>
    <row r="40" spans="1:1">
      <c r="A40" t="s">
        <v>12</v>
      </c>
    </row>
    <row r="41" spans="1:1">
      <c r="A41" t="s">
        <v>11</v>
      </c>
    </row>
    <row r="42" spans="1:1">
      <c r="A42" t="s">
        <v>10</v>
      </c>
    </row>
    <row r="43" spans="1:1">
      <c r="A4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Lakshmi</cp:lastModifiedBy>
  <dcterms:created xsi:type="dcterms:W3CDTF">2024-10-08T12:53:51Z</dcterms:created>
  <dcterms:modified xsi:type="dcterms:W3CDTF">2024-10-10T09:12:48Z</dcterms:modified>
</cp:coreProperties>
</file>